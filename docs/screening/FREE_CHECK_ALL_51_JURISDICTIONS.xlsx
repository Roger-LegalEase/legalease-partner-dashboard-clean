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6cae1abd8e4496" /></Relationships>
</file>

<file path=xl/workbook.xml><?xml version="1.0" encoding="utf-8"?>
<x:workbook xmlns:x="http://schemas.openxmlformats.org/spreadsheetml/2006/main">
  <x:sheets>
    <x:sheet xmlns:r="http://schemas.openxmlformats.org/officeDocument/2006/relationships" name="Overview" sheetId="2" r:id="R799c0a7803e64699"/>
    <x:sheet xmlns:r="http://schemas.openxmlformats.org/officeDocument/2006/relationships" name="State Summary" sheetId="3" r:id="R6d30f84e18904bc8"/>
    <x:sheet xmlns:r="http://schemas.openxmlformats.org/officeDocument/2006/relationships" name="Free Check Questions" sheetId="4" r:id="R5352c88e274544c9"/>
    <x:sheet xmlns:r="http://schemas.openxmlformats.org/officeDocument/2006/relationships" name="State Logic" sheetId="5" r:id="R3405fecb9db14cbb"/>
    <x:sheet xmlns:r="http://schemas.openxmlformats.org/officeDocument/2006/relationships" name="Pathways" sheetId="6" r:id="Rec617abad4364087"/>
    <x:sheet xmlns:r="http://schemas.openxmlformats.org/officeDocument/2006/relationships" name="Deferred to Packet" sheetId="7" r:id="Rfaa5ecbebca3471e"/>
    <x:sheet xmlns:r="http://schemas.openxmlformats.org/officeDocument/2006/relationships" name="Sources &amp; Rules" sheetId="8" r:id="Rfa4cd1940fea4ca5"/>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8"/>
      <x:color rgb="FFFFFFFF"/>
      <x:name val="Carlito"/>
    </x:font>
    <x:font>
      <x:i/>
      <x:sz val="10"/>
      <x:color rgb="FF17212B"/>
      <x:name val="Carlito"/>
    </x:font>
    <x:font>
      <x:b/>
      <x:sz val="11"/>
      <x:color rgb="FFFFFFFF"/>
      <x:name val="Carlito"/>
    </x:font>
    <x:font>
      <x:b/>
      <x:sz val="16"/>
      <x:color rgb="FF0B1F33"/>
      <x:name val="Carlito"/>
    </x:font>
    <x:font>
      <x:b/>
      <x:sz val="12"/>
      <x:color rgb="FFFFFFFF"/>
      <x:name val="Carlito"/>
    </x:font>
    <x:font>
      <x:sz val="10"/>
      <x:color rgb="FF17212B"/>
      <x:name val="Carlito"/>
    </x:font>
    <x:font>
      <x:b/>
      <x:sz val="10"/>
      <x:color rgb="FF0B1F33"/>
      <x:name val="Carlito"/>
    </x:font>
    <x:font>
      <x:b/>
      <x:sz val="11"/>
      <x:color rgb="FF17212B"/>
      <x:name val="Carlito"/>
    </x:font>
  </x:fonts>
  <x:fills count="9">
    <x:fill>
      <x:patternFill patternType="none"/>
    </x:fill>
    <x:fill>
      <x:patternFill patternType="gray125"/>
    </x:fill>
    <x:fill>
      <x:patternFill patternType="solid">
        <x:fgColor rgb="FF0B1F33"/>
      </x:patternFill>
    </x:fill>
    <x:fill>
      <x:patternFill patternType="solid">
        <x:fgColor rgb="FFEAF2F8"/>
      </x:patternFill>
    </x:fill>
    <x:fill>
      <x:patternFill patternType="solid">
        <x:fgColor rgb="FFF04800"/>
      </x:patternFill>
    </x:fill>
    <x:fill>
      <x:patternFill patternType="solid">
        <x:fgColor rgb="FFF4F6F8"/>
      </x:patternFill>
    </x:fill>
    <x:fill>
      <x:patternFill patternType="solid">
        <x:fgColor rgb="FF17354F"/>
      </x:patternFill>
    </x:fill>
    <x:fill>
      <x:patternFill patternType="solid">
        <x:fgColor rgb="FFDDF3F0"/>
      </x:patternFill>
    </x:fill>
    <x:fill>
      <x:patternFill patternType="solid">
        <x:fgColor rgb="FFFFF2CC"/>
      </x:patternFill>
    </x:fill>
  </x:fills>
  <x:borders count="24">
    <x:border/>
    <x:border/>
    <x:border>
      <x:left/>
      <x:top/>
    </x:border>
    <x:border>
      <x:right/>
      <x:top/>
    </x:border>
    <x:border>
      <x:left/>
    </x:border>
    <x:border>
      <x:right/>
    </x:border>
    <x:border>
      <x:left/>
      <x:bottom/>
    </x:border>
    <x:border>
      <x:right/>
      <x:bottom/>
    </x:border>
    <x:border>
      <x:left/>
      <x:top/>
    </x:border>
    <x:border>
      <x:right/>
      <x:top/>
    </x:border>
    <x:border>
      <x:left/>
    </x:border>
    <x:border>
      <x:right/>
    </x:border>
    <x:border>
      <x:left/>
      <x:bottom/>
    </x:border>
    <x:border>
      <x:right/>
      <x:bottom/>
    </x:border>
    <x:border>
      <x:left/>
      <x:top/>
      <x:bottom/>
    </x:border>
    <x:border>
      <x:right/>
      <x:top/>
      <x:bottom/>
    </x:border>
    <x:border>
      <x:left/>
      <x:top/>
      <x:bottom/>
    </x:border>
    <x:border>
      <x:right/>
      <x:top/>
      <x:bottom/>
    </x:border>
    <x:border>
      <x:top/>
      <x:bottom/>
    </x:border>
    <x:border>
      <x:top/>
      <x:bottom/>
    </x:border>
    <x:border>
      <x:top/>
    </x:border>
    <x:border>
      <x:bottom/>
    </x:border>
    <x:border>
      <x:top/>
    </x:border>
    <x:border>
      <x:bottom/>
    </x:border>
  </x:borders>
  <x:cellStyleXfs count="1">
    <x:xf numFmtId="0" fontId="0" fillId="0" borderId="0"/>
  </x:cellStyleXfs>
  <x:cellXfs count="15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0" fillId="6" borderId="1" xfId="0" applyNumberFormat="1" applyFont="1" applyFill="1" applyBorder="1"/>
    <x:xf numFmtId="0" fontId="5" fillId="6" borderId="1" xfId="0" applyNumberFormat="1" applyFont="1" applyFill="1" applyBorder="1"/>
    <x:xf numFmtId="0" fontId="6" fillId="0" borderId="0" xfId="0" applyNumberFormat="1" applyFont="1" applyFill="1" applyBorder="1"/>
    <x:xf numFmtId="0" fontId="6" fillId="0" borderId="2" xfId="0" applyNumberFormat="1" applyFont="1" applyFill="1" applyBorder="1"/>
    <x:xf numFmtId="0" fontId="6" fillId="0" borderId="3" xfId="0" applyNumberFormat="1" applyFont="1" applyFill="1" applyBorder="1"/>
    <x:xf numFmtId="0" fontId="6" fillId="0" borderId="4" xfId="0" applyNumberFormat="1" applyFont="1" applyFill="1" applyBorder="1"/>
    <x:xf numFmtId="0" fontId="6" fillId="0" borderId="5" xfId="0" applyNumberFormat="1" applyFont="1" applyFill="1" applyBorder="1"/>
    <x:xf numFmtId="0" fontId="6" fillId="0" borderId="6" xfId="0" applyNumberFormat="1" applyFont="1" applyFill="1" applyBorder="1"/>
    <x:xf numFmtId="0" fontId="6" fillId="0" borderId="7" xfId="0" applyNumberFormat="1" applyFont="1" applyFill="1" applyBorder="1"/>
    <x:xf numFmtId="0" fontId="6" fillId="0" borderId="2" xfId="0" applyNumberFormat="1" applyFont="1" applyFill="1" applyBorder="1" applyAlignment="1">
      <x:alignment wrapText="1"/>
    </x:xf>
    <x:xf numFmtId="0" fontId="6" fillId="0" borderId="3" xfId="0" applyNumberFormat="1" applyFont="1" applyFill="1" applyBorder="1" applyAlignment="1">
      <x:alignment wrapText="1"/>
    </x:xf>
    <x:xf numFmtId="0" fontId="6" fillId="0" borderId="4" xfId="0" applyNumberFormat="1" applyFont="1" applyFill="1" applyBorder="1" applyAlignment="1">
      <x:alignment wrapText="1"/>
    </x:xf>
    <x:xf numFmtId="0" fontId="6" fillId="0" borderId="5" xfId="0" applyNumberFormat="1" applyFont="1" applyFill="1" applyBorder="1" applyAlignment="1">
      <x:alignment wrapText="1"/>
    </x:xf>
    <x:xf numFmtId="0" fontId="6" fillId="0" borderId="6" xfId="0" applyNumberFormat="1" applyFont="1" applyFill="1" applyBorder="1" applyAlignment="1">
      <x:alignment wrapText="1"/>
    </x:xf>
    <x:xf numFmtId="0" fontId="6" fillId="0" borderId="7" xfId="0" applyNumberFormat="1" applyFont="1" applyFill="1" applyBorder="1" applyAlignment="1">
      <x:alignment wrapText="1"/>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1" xfId="0" applyNumberFormat="1" applyFont="1" applyFill="1" applyBorder="1"/>
    <x:xf numFmtId="0" fontId="6" fillId="0" borderId="8" xfId="0" applyNumberFormat="1" applyFont="1" applyFill="1" applyBorder="1"/>
    <x:xf numFmtId="0" fontId="6" fillId="0" borderId="9" xfId="0" applyNumberFormat="1" applyFont="1" applyFill="1" applyBorder="1"/>
    <x:xf numFmtId="0" fontId="6" fillId="0" borderId="10" xfId="0" applyNumberFormat="1" applyFont="1" applyFill="1" applyBorder="1"/>
    <x:xf numFmtId="0" fontId="6" fillId="0" borderId="11" xfId="0" applyNumberFormat="1" applyFont="1" applyFill="1" applyBorder="1"/>
    <x:xf numFmtId="0" fontId="6" fillId="0" borderId="12" xfId="0" applyNumberFormat="1" applyFont="1" applyFill="1" applyBorder="1"/>
    <x:xf numFmtId="0" fontId="6" fillId="0" borderId="13" xfId="0" applyNumberFormat="1" applyFont="1" applyFill="1" applyBorder="1"/>
    <x:xf numFmtId="0" fontId="6" fillId="0" borderId="8" xfId="0" applyNumberFormat="1" applyFont="1" applyFill="1" applyBorder="1" applyAlignment="1">
      <x:alignment wrapText="1"/>
    </x:xf>
    <x:xf numFmtId="0" fontId="6" fillId="0" borderId="9" xfId="0" applyNumberFormat="1" applyFont="1" applyFill="1" applyBorder="1" applyAlignment="1">
      <x:alignment wrapText="1"/>
    </x:xf>
    <x:xf numFmtId="0" fontId="6" fillId="0" borderId="10" xfId="0" applyNumberFormat="1" applyFont="1" applyFill="1" applyBorder="1" applyAlignment="1">
      <x:alignment wrapText="1"/>
    </x:xf>
    <x:xf numFmtId="0" fontId="6" fillId="0" borderId="11" xfId="0" applyNumberFormat="1" applyFont="1" applyFill="1" applyBorder="1" applyAlignment="1">
      <x:alignment wrapText="1"/>
    </x:xf>
    <x:xf numFmtId="0" fontId="6" fillId="0" borderId="12" xfId="0" applyNumberFormat="1" applyFont="1" applyFill="1" applyBorder="1" applyAlignment="1">
      <x:alignment wrapText="1"/>
    </x:xf>
    <x:xf numFmtId="0" fontId="6" fillId="0" borderId="13" xfId="0" applyNumberFormat="1" applyFont="1" applyFill="1" applyBorder="1" applyAlignment="1">
      <x:alignment wrapText="1"/>
    </x:xf>
    <x:xf numFmtId="0" fontId="6" fillId="0" borderId="8" xfId="0" applyNumberFormat="1" applyFont="1" applyFill="1" applyBorder="1" applyAlignment="1">
      <x:alignment vertical="top" wrapText="1"/>
    </x:xf>
    <x:xf numFmtId="0" fontId="6" fillId="0" borderId="9"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0" borderId="11"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7" borderId="2" xfId="0" applyNumberFormat="1" applyFont="1" applyFill="1" applyBorder="1" applyAlignment="1">
      <x:alignment vertical="top" wrapText="1"/>
    </x:xf>
    <x:xf numFmtId="0" fontId="6" fillId="7" borderId="4" xfId="0" applyNumberFormat="1" applyFont="1" applyFill="1" applyBorder="1" applyAlignment="1">
      <x:alignment vertical="top" wrapText="1"/>
    </x:xf>
    <x:xf numFmtId="0" fontId="6" fillId="7" borderId="6" xfId="0" applyNumberFormat="1" applyFont="1" applyFill="1" applyBorder="1" applyAlignment="1">
      <x:alignment vertical="top" wrapText="1"/>
    </x:xf>
    <x:xf numFmtId="0" fontId="7" fillId="7" borderId="2" xfId="0" applyNumberFormat="1" applyFont="1" applyFill="1" applyBorder="1" applyAlignment="1">
      <x:alignment vertical="top" wrapText="1"/>
    </x:xf>
    <x:xf numFmtId="0" fontId="7" fillId="7" borderId="4" xfId="0" applyNumberFormat="1" applyFont="1" applyFill="1" applyBorder="1" applyAlignment="1">
      <x:alignment vertical="top" wrapText="1"/>
    </x:xf>
    <x:xf numFmtId="0" fontId="7" fillId="7" borderId="6" xfId="0" applyNumberFormat="1" applyFont="1" applyFill="1" applyBorder="1" applyAlignment="1">
      <x:alignment vertical="top" wrapText="1"/>
    </x:xf>
    <x:xf numFmtId="0" fontId="7" fillId="7" borderId="2" xfId="0" applyNumberFormat="1" applyFont="1" applyFill="1" applyBorder="1" applyAlignment="1">
      <x:alignment horizontal="center" vertical="top" wrapText="1"/>
    </x:xf>
    <x:xf numFmtId="0" fontId="7" fillId="7" borderId="4" xfId="0" applyNumberFormat="1" applyFont="1" applyFill="1" applyBorder="1" applyAlignment="1">
      <x:alignment horizontal="center" vertical="top" wrapText="1"/>
    </x:xf>
    <x:xf numFmtId="0" fontId="7" fillId="7" borderId="6" xfId="0" applyNumberFormat="1" applyFont="1" applyFill="1" applyBorder="1" applyAlignment="1">
      <x:alignment horizontal="center" vertical="top" wrapText="1"/>
    </x:xf>
    <x:xf numFmtId="0" fontId="7" fillId="7" borderId="2" xfId="0" applyNumberFormat="1" applyFont="1" applyFill="1" applyBorder="1" applyAlignment="1">
      <x:alignment horizontal="center" vertical="center" wrapText="1"/>
    </x:xf>
    <x:xf numFmtId="0" fontId="7" fillId="7" borderId="4" xfId="0" applyNumberFormat="1" applyFont="1" applyFill="1" applyBorder="1" applyAlignment="1">
      <x:alignment horizontal="center" vertical="center" wrapText="1"/>
    </x:xf>
    <x:xf numFmtId="0" fontId="7" fillId="7" borderId="6" xfId="0" applyNumberFormat="1" applyFont="1" applyFill="1" applyBorder="1" applyAlignment="1">
      <x:alignment horizontal="center" vertical="center" wrapText="1"/>
    </x:xf>
    <x:xf numFmtId="0" fontId="6" fillId="7" borderId="8" xfId="0" applyNumberFormat="1" applyFont="1" applyFill="1" applyBorder="1" applyAlignment="1">
      <x:alignment vertical="top" wrapText="1"/>
    </x:xf>
    <x:xf numFmtId="0" fontId="6" fillId="7" borderId="10" xfId="0" applyNumberFormat="1" applyFont="1" applyFill="1" applyBorder="1" applyAlignment="1">
      <x:alignment vertical="top" wrapText="1"/>
    </x:xf>
    <x:xf numFmtId="0" fontId="6" fillId="7" borderId="12" xfId="0" applyNumberFormat="1" applyFont="1" applyFill="1" applyBorder="1" applyAlignment="1">
      <x:alignment vertical="top" wrapText="1"/>
    </x:xf>
    <x:xf numFmtId="0" fontId="7" fillId="7" borderId="8" xfId="0" applyNumberFormat="1" applyFont="1" applyFill="1" applyBorder="1" applyAlignment="1">
      <x:alignment vertical="top" wrapText="1"/>
    </x:xf>
    <x:xf numFmtId="0" fontId="7" fillId="7" borderId="10" xfId="0" applyNumberFormat="1" applyFont="1" applyFill="1" applyBorder="1" applyAlignment="1">
      <x:alignment vertical="top" wrapText="1"/>
    </x:xf>
    <x:xf numFmtId="0" fontId="7" fillId="7" borderId="12" xfId="0" applyNumberFormat="1" applyFont="1" applyFill="1" applyBorder="1" applyAlignment="1">
      <x:alignment vertical="top" wrapText="1"/>
    </x:xf>
    <x:xf numFmtId="0" fontId="7" fillId="7" borderId="8" xfId="0" applyNumberFormat="1" applyFont="1" applyFill="1" applyBorder="1" applyAlignment="1">
      <x:alignment horizontal="center" vertical="top" wrapText="1"/>
    </x:xf>
    <x:xf numFmtId="0" fontId="7" fillId="7" borderId="10" xfId="0" applyNumberFormat="1" applyFont="1" applyFill="1" applyBorder="1" applyAlignment="1">
      <x:alignment horizontal="center" vertical="top" wrapText="1"/>
    </x:xf>
    <x:xf numFmtId="0" fontId="7" fillId="7" borderId="12" xfId="0" applyNumberFormat="1" applyFont="1" applyFill="1" applyBorder="1" applyAlignment="1">
      <x:alignment horizontal="center" vertical="top" wrapText="1"/>
    </x:xf>
    <x:xf numFmtId="0" fontId="7" fillId="7" borderId="8" xfId="0" applyNumberFormat="1" applyFont="1" applyFill="1" applyBorder="1" applyAlignment="1">
      <x:alignment horizontal="center" vertical="center" wrapText="1"/>
    </x:xf>
    <x:xf numFmtId="0" fontId="7" fillId="7" borderId="10" xfId="0" applyNumberFormat="1" applyFont="1" applyFill="1" applyBorder="1" applyAlignment="1">
      <x:alignment horizontal="center" vertical="center" wrapText="1"/>
    </x:xf>
    <x:xf numFmtId="0" fontId="7" fillId="7" borderId="12" xfId="0" applyNumberFormat="1" applyFont="1" applyFill="1" applyBorder="1" applyAlignment="1">
      <x:alignment horizontal="center" vertical="center" wrapText="1"/>
    </x:xf>
    <x:xf numFmtId="0" fontId="3" fillId="6" borderId="0" xfId="0" applyNumberFormat="1" applyFont="1" applyFill="1" applyBorder="1"/>
    <x:xf numFmtId="0" fontId="3" fillId="6" borderId="14" xfId="0" applyNumberFormat="1" applyFont="1" applyFill="1" applyBorder="1"/>
    <x:xf numFmtId="0" fontId="3" fillId="6" borderId="15" xfId="0" applyNumberFormat="1" applyFont="1" applyFill="1" applyBorder="1"/>
    <x:xf numFmtId="0" fontId="3" fillId="6" borderId="14" xfId="0" applyNumberFormat="1" applyFont="1" applyFill="1" applyBorder="1" applyAlignment="1">
      <x:alignment wrapText="1"/>
    </x:xf>
    <x:xf numFmtId="0" fontId="3" fillId="6" borderId="15" xfId="0" applyNumberFormat="1" applyFont="1" applyFill="1" applyBorder="1" applyAlignment="1">
      <x:alignment wrapText="1"/>
    </x:xf>
    <x:xf numFmtId="0" fontId="3" fillId="6" borderId="14" xfId="0" applyNumberFormat="1" applyFont="1" applyFill="1" applyBorder="1" applyAlignment="1">
      <x:alignment horizontal="center" wrapText="1"/>
    </x:xf>
    <x:xf numFmtId="0" fontId="3" fillId="6" borderId="15" xfId="0" applyNumberFormat="1" applyFont="1" applyFill="1" applyBorder="1" applyAlignment="1">
      <x:alignment horizontal="center" wrapText="1"/>
    </x:xf>
    <x:xf numFmtId="0" fontId="3" fillId="6" borderId="14" xfId="0" applyNumberFormat="1" applyFont="1" applyFill="1" applyBorder="1" applyAlignment="1">
      <x:alignment horizontal="center" vertical="center" wrapText="1"/>
    </x:xf>
    <x:xf numFmtId="0" fontId="3" fillId="6" borderId="15" xfId="0" applyNumberFormat="1" applyFont="1" applyFill="1" applyBorder="1" applyAlignment="1">
      <x:alignment horizontal="center" vertical="center" wrapText="1"/>
    </x:xf>
    <x:xf numFmtId="0" fontId="3" fillId="6" borderId="1" xfId="0" applyNumberFormat="1" applyFont="1" applyFill="1" applyBorder="1"/>
    <x:xf numFmtId="0" fontId="3" fillId="6" borderId="16" xfId="0" applyNumberFormat="1" applyFont="1" applyFill="1" applyBorder="1"/>
    <x:xf numFmtId="0" fontId="3" fillId="6" borderId="17" xfId="0" applyNumberFormat="1" applyFont="1" applyFill="1" applyBorder="1"/>
    <x:xf numFmtId="0" fontId="3" fillId="6" borderId="16" xfId="0" applyNumberFormat="1" applyFont="1" applyFill="1" applyBorder="1" applyAlignment="1">
      <x:alignment wrapText="1"/>
    </x:xf>
    <x:xf numFmtId="0" fontId="3" fillId="6" borderId="17" xfId="0" applyNumberFormat="1" applyFont="1" applyFill="1" applyBorder="1" applyAlignment="1">
      <x:alignment wrapText="1"/>
    </x:xf>
    <x:xf numFmtId="0" fontId="3" fillId="6" borderId="16" xfId="0" applyNumberFormat="1" applyFont="1" applyFill="1" applyBorder="1" applyAlignment="1">
      <x:alignment horizontal="center" wrapText="1"/>
    </x:xf>
    <x:xf numFmtId="0" fontId="3" fillId="6" borderId="17" xfId="0" applyNumberFormat="1" applyFont="1" applyFill="1" applyBorder="1" applyAlignment="1">
      <x:alignment horizontal="center" wrapText="1"/>
    </x:xf>
    <x:xf numFmtId="0" fontId="3" fillId="6" borderId="16" xfId="0" applyNumberFormat="1" applyFont="1" applyFill="1" applyBorder="1" applyAlignment="1">
      <x:alignment horizontal="center" vertical="center" wrapText="1"/>
    </x:xf>
    <x:xf numFmtId="0" fontId="3" fillId="6" borderId="17" xfId="0" applyNumberFormat="1" applyFont="1" applyFill="1" applyBorder="1" applyAlignment="1">
      <x:alignment horizontal="center" vertical="center" wrapText="1"/>
    </x:xf>
    <x:xf numFmtId="0" fontId="0" fillId="8"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wrapText="1"/>
    </x:xf>
    <x:xf numFmtId="0" fontId="8" fillId="8" borderId="0"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1" xfId="0" applyNumberFormat="1" applyFont="1" applyFill="1" applyBorder="1" applyAlignment="1">
      <x:alignment wrapText="1"/>
    </x:xf>
    <x:xf numFmtId="0" fontId="8" fillId="8" borderId="1" xfId="0" applyNumberFormat="1" applyFont="1" applyFill="1" applyBorder="1" applyAlignment="1">
      <x:alignment vertical="top" wrapText="1"/>
    </x:xf>
    <x:xf numFmtId="0" fontId="3" fillId="6" borderId="18" xfId="0" applyNumberFormat="1" applyFont="1" applyFill="1" applyBorder="1"/>
    <x:xf numFmtId="0" fontId="3" fillId="6" borderId="18" xfId="0" applyNumberFormat="1" applyFont="1" applyFill="1" applyBorder="1" applyAlignment="1">
      <x:alignment wrapText="1"/>
    </x:xf>
    <x:xf numFmtId="0" fontId="3" fillId="6" borderId="18" xfId="0" applyNumberFormat="1" applyFont="1" applyFill="1" applyBorder="1" applyAlignment="1">
      <x:alignment horizontal="center" wrapText="1"/>
    </x:xf>
    <x:xf numFmtId="0" fontId="3" fillId="6" borderId="18" xfId="0" applyNumberFormat="1" applyFont="1" applyFill="1" applyBorder="1" applyAlignment="1">
      <x:alignment horizontal="center" vertical="center" wrapText="1"/>
    </x:xf>
    <x:xf numFmtId="0" fontId="3" fillId="6" borderId="19" xfId="0" applyNumberFormat="1" applyFont="1" applyFill="1" applyBorder="1"/>
    <x:xf numFmtId="0" fontId="3" fillId="6" borderId="19" xfId="0" applyNumberFormat="1" applyFont="1" applyFill="1" applyBorder="1" applyAlignment="1">
      <x:alignment wrapText="1"/>
    </x:xf>
    <x:xf numFmtId="0" fontId="3" fillId="6" borderId="19" xfId="0" applyNumberFormat="1" applyFont="1" applyFill="1" applyBorder="1" applyAlignment="1">
      <x:alignment horizontal="center" wrapText="1"/>
    </x:xf>
    <x:xf numFmtId="0" fontId="3" fillId="6" borderId="19" xfId="0" applyNumberFormat="1" applyFont="1" applyFill="1" applyBorder="1" applyAlignment="1">
      <x:alignment horizontal="center" vertical="center" wrapText="1"/>
    </x:xf>
    <x:xf numFmtId="0" fontId="6" fillId="0" borderId="20" xfId="0" applyNumberFormat="1" applyFont="1" applyFill="1" applyBorder="1"/>
    <x:xf numFmtId="0" fontId="6" fillId="0" borderId="21" xfId="0" applyNumberFormat="1" applyFont="1" applyFill="1" applyBorder="1"/>
    <x:xf numFmtId="0" fontId="6" fillId="0" borderId="20" xfId="0" applyNumberFormat="1" applyFont="1" applyFill="1" applyBorder="1" applyAlignment="1">
      <x:alignment wrapText="1"/>
    </x:xf>
    <x:xf numFmtId="0" fontId="6" fillId="0" borderId="0" xfId="0" applyNumberFormat="1" applyFont="1" applyFill="1" applyBorder="1" applyAlignment="1">
      <x:alignment wrapText="1"/>
    </x:xf>
    <x:xf numFmtId="0" fontId="6" fillId="0" borderId="21" xfId="0" applyNumberFormat="1" applyFont="1" applyFill="1" applyBorder="1" applyAlignment="1">
      <x:alignment wrapText="1"/>
    </x:xf>
    <x:xf numFmtId="0" fontId="6" fillId="0" borderId="2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21" xfId="0" applyNumberFormat="1" applyFont="1" applyFill="1" applyBorder="1" applyAlignment="1">
      <x:alignment vertical="top" wrapText="1"/>
    </x:xf>
    <x:xf numFmtId="0" fontId="6" fillId="0" borderId="22" xfId="0" applyNumberFormat="1" applyFont="1" applyFill="1" applyBorder="1"/>
    <x:xf numFmtId="0" fontId="6" fillId="0" borderId="23" xfId="0" applyNumberFormat="1" applyFont="1" applyFill="1" applyBorder="1"/>
    <x:xf numFmtId="0" fontId="6" fillId="0" borderId="22" xfId="0" applyNumberFormat="1" applyFont="1" applyFill="1" applyBorder="1" applyAlignment="1">
      <x:alignment wrapText="1"/>
    </x:xf>
    <x:xf numFmtId="0" fontId="6" fillId="0" borderId="1" xfId="0" applyNumberFormat="1" applyFont="1" applyFill="1" applyBorder="1" applyAlignment="1">
      <x:alignment wrapText="1"/>
    </x:xf>
    <x:xf numFmtId="0" fontId="6" fillId="0" borderId="23" xfId="0" applyNumberFormat="1" applyFont="1" applyFill="1" applyBorder="1" applyAlignment="1">
      <x:alignment wrapText="1"/>
    </x:xf>
    <x:xf numFmtId="0" fontId="6" fillId="0" borderId="22"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6" fillId="0" borderId="2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a370155e59d47c5" /><Relationship Type="http://schemas.openxmlformats.org/officeDocument/2006/relationships/theme" Target="/xl/theme/theme1.xml" Id="R32679460489f4d96" /><Relationship Type="http://schemas.openxmlformats.org/officeDocument/2006/relationships/sharedStrings" Target="/xl/sharedStrings.xml" Id="Raea8784eb31e48be" /><Relationship Type="http://schemas.openxmlformats.org/officeDocument/2006/relationships/worksheet" Target="/xl/worksheets/sheet1.xml" Id="R799c0a7803e64699" /><Relationship Type="http://schemas.openxmlformats.org/officeDocument/2006/relationships/worksheet" Target="/xl/worksheets/sheet2.xml" Id="R6d30f84e18904bc8" /><Relationship Type="http://schemas.openxmlformats.org/officeDocument/2006/relationships/worksheet" Target="/xl/worksheets/sheet3.xml" Id="R5352c88e274544c9" /><Relationship Type="http://schemas.openxmlformats.org/officeDocument/2006/relationships/worksheet" Target="/xl/worksheets/sheet4.xml" Id="R3405fecb9db14cbb" /><Relationship Type="http://schemas.openxmlformats.org/officeDocument/2006/relationships/worksheet" Target="/xl/worksheets/sheet5.xml" Id="Rec617abad4364087" /><Relationship Type="http://schemas.openxmlformats.org/officeDocument/2006/relationships/worksheet" Target="/xl/worksheets/sheet6.xml" Id="Rfaa5ecbebca3471e" /><Relationship Type="http://schemas.openxmlformats.org/officeDocument/2006/relationships/worksheet" Target="/xl/worksheets/sheet7.xml" Id="Rfa4cd1940fea4ca5" /></Relationships>
</file>

<file path=xl/drawings/_rels/drawing1.xml.rels>&#65279;<?xml version="1.0" encoding="utf-8"?><Relationships xmlns="http://schemas.openxmlformats.org/package/2006/relationships"><Relationship Type="http://schemas.openxmlformats.org/officeDocument/2006/relationships/chart" Target="/xl/drawings/charts/chart1.xml" Id="R00ddea67be6b478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Longest normalized free checks</a:t>
            </a:r>
          </a:p>
        </c:rich>
      </c:tx>
    </c:title>
    <c:plotArea>
      <c:barChart>
        <c:barDir val="col"/>
        <c:varyColors val="0"/>
        <c:ser>
          <c:idx val="0"/>
          <c:order val="0"/>
          <c:tx>
            <c:v>Questions</c:v>
          </c:tx>
          <c:cat>
            <c:strRef>
              <c:f>'Overview'!$G$8:$G$22</c:f>
              <c:strCache>
                <c:ptCount val="0"/>
              </c:strCache>
            </c:strRef>
          </c:cat>
          <c:val>
            <c:numRef>
              <c:f>'Overview'!$H$8:$H$22</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6</xdr:row>
      <xdr:rowOff>0</xdr:rowOff>
    </xdr:from>
    <xdr:to>
      <xdr:col>18</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0ddea67be6b4783"/>
        </a:graphicData>
      </a:graphic>
    </xdr:graphicFrame>
    <xdr:clientData/>
  </xdr:twoCellAnchor>
</xdr:wsDr>
</file>

<file path=xl/tables/table1.xml><?xml version="1.0" encoding="utf-8"?>
<x:table xmlns:x="http://schemas.openxmlformats.org/spreadsheetml/2006/main" id="1" name="StateSummaryTable" displayName="StateSummaryTable" ref="A4:K55" headerRowCount="1" totalsRowCount="0" totalsRowShown="0">
  <x:tableColumns count="11">
    <x:tableColumn id="1" name="State"/>
    <x:tableColumn id="2" name="Code"/>
    <x:tableColumn id="3" name="Profile Version"/>
    <x:tableColumn id="4" name="Pathways"/>
    <x:tableColumn id="5" name="Source Question Catalog"/>
    <x:tableColumn id="6" name="Normalized Free-Check Questions"/>
    <x:tableColumn id="7" name="Runtime Count — Empty Context"/>
    <x:tableColumn id="8" name="Runtime Count — Max Exact Route"/>
    <x:tableColumn id="9" name="Candidate Route Families"/>
    <x:tableColumn id="10" name="Preliminary Outcomes"/>
    <x:tableColumn id="11" name="Source Profile"/>
  </x:tableColumns>
  <x:tableStyleInfo name="TableStyleMedium2" showFirstColumn="0" showLastColumn="0" showRowStripes="1" showColumnStripes="0"/>
</x:table>
</file>

<file path=xl/tables/table2.xml><?xml version="1.0" encoding="utf-8"?>
<x:table xmlns:x="http://schemas.openxmlformats.org/spreadsheetml/2006/main" id="2" name="FreeCheckQuestionsTable" displayName="FreeCheckQuestionsTable" ref="A4:M487" headerRowCount="1" totalsRowCount="0" totalsRowShown="0">
  <x:tableColumns count="13">
    <x:tableColumn id="1" name="State"/>
    <x:tableColumn id="2" name="Code"/>
    <x:tableColumn id="3" name="Order"/>
    <x:tableColumn id="4" name="Category"/>
    <x:tableColumn id="5" name="Question"/>
    <x:tableColumn id="6" name="Input Type"/>
    <x:tableColumn id="7" name="Ask Condition"/>
    <x:tableColumn id="8" name="Logic / Answer Effect"/>
    <x:tableColumn id="9" name="Route Scope"/>
    <x:tableColumn id="10" name="Exact Detail Deferred"/>
    <x:tableColumn id="11" name="Source Stage"/>
    <x:tableColumn id="12" name="Source Type"/>
    <x:tableColumn id="13" name="Profile URL"/>
  </x:tableColumns>
  <x:tableStyleInfo name="TableStyleMedium2" showFirstColumn="0" showLastColumn="0" showRowStripes="1" showColumnStripes="0"/>
</x:table>
</file>

<file path=xl/tables/table3.xml><?xml version="1.0" encoding="utf-8"?>
<x:table xmlns:x="http://schemas.openxmlformats.org/spreadsheetml/2006/main" id="3" name="StateLogicTable" displayName="StateLogicTable" ref="A4:H55" headerRowCount="1" totalsRowCount="0" totalsRowShown="0">
  <x:tableColumns count="8">
    <x:tableColumn id="1" name="State"/>
    <x:tableColumn id="2" name="Code"/>
    <x:tableColumn id="3" name="Candidate Routes"/>
    <x:tableColumn id="4" name="Key Free-Check Gates"/>
    <x:tableColumn id="5" name="Decision-Rule Fields (Source Catalog)"/>
    <x:tableColumn id="6" name="Supported Preliminary Outcomes"/>
    <x:tableColumn id="7" name="Normalized Logic"/>
    <x:tableColumn id="8" name="Profile URL"/>
  </x:tableColumns>
  <x:tableStyleInfo name="TableStyleMedium2" showFirstColumn="0" showLastColumn="0" showRowStripes="1" showColumnStripes="0"/>
</x:table>
</file>

<file path=xl/tables/table4.xml><?xml version="1.0" encoding="utf-8"?>
<x:table xmlns:x="http://schemas.openxmlformats.org/spreadsheetml/2006/main" id="4" name="PathwaysTable" displayName="PathwaysTable" ref="A4:G327" headerRowCount="1" totalsRowCount="0" totalsRowShown="0">
  <x:tableColumns count="7">
    <x:tableColumn id="1" name="State"/>
    <x:tableColumn id="2" name="Code"/>
    <x:tableColumn id="3" name="Pathway ID"/>
    <x:tableColumn id="4" name="Pathway"/>
    <x:tableColumn id="5" name="Preliminary Presentation"/>
    <x:tableColumn id="6" name="Filing Posture"/>
    <x:tableColumn id="7" name="Profile URL"/>
  </x:tableColumns>
  <x:tableStyleInfo name="TableStyleMedium2" showFirstColumn="0" showLastColumn="0" showRowStripes="1" showColumnStripes="0"/>
</x:table>
</file>

<file path=xl/tables/table5.xml><?xml version="1.0" encoding="utf-8"?>
<x:table xmlns:x="http://schemas.openxmlformats.org/spreadsheetml/2006/main" id="5" name="DeferredQuestionsTable" displayName="DeferredQuestionsTable" ref="A4:G669" headerRowCount="1" totalsRowCount="0" totalsRowShown="0">
  <x:tableColumns count="7">
    <x:tableColumn id="1" name="State"/>
    <x:tableColumn id="2" name="Code"/>
    <x:tableColumn id="3" name="Original Question"/>
    <x:tableColumn id="4" name="Original Stage"/>
    <x:tableColumn id="5" name="Original Type"/>
    <x:tableColumn id="6" name="Why Deferred"/>
    <x:tableColumn id="7" name="Profil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a8b5ed40eb94900" /></Relationships>
</file>

<file path=xl/worksheets/_rels/sheet2.xml.rels>&#65279;<?xml version="1.0" encoding="utf-8"?><Relationships xmlns="http://schemas.openxmlformats.org/package/2006/relationships"><Relationship Type="http://schemas.openxmlformats.org/officeDocument/2006/relationships/table" Target="/xl/tables/table1.xml" Id="R19fabda1fe13465b" /></Relationships>
</file>

<file path=xl/worksheets/_rels/sheet3.xml.rels>&#65279;<?xml version="1.0" encoding="utf-8"?><Relationships xmlns="http://schemas.openxmlformats.org/package/2006/relationships"><Relationship Type="http://schemas.openxmlformats.org/officeDocument/2006/relationships/table" Target="/xl/tables/table2.xml" Id="R90654b0b22f746ae" /></Relationships>
</file>

<file path=xl/worksheets/_rels/sheet4.xml.rels>&#65279;<?xml version="1.0" encoding="utf-8"?><Relationships xmlns="http://schemas.openxmlformats.org/package/2006/relationships"><Relationship Type="http://schemas.openxmlformats.org/officeDocument/2006/relationships/table" Target="/xl/tables/table3.xml" Id="R299961daff3c44f0" /></Relationships>
</file>

<file path=xl/worksheets/_rels/sheet5.xml.rels>&#65279;<?xml version="1.0" encoding="utf-8"?><Relationships xmlns="http://schemas.openxmlformats.org/package/2006/relationships"><Relationship Type="http://schemas.openxmlformats.org/officeDocument/2006/relationships/table" Target="/xl/tables/table4.xml" Id="Ref55acf5db4240cc" /></Relationships>
</file>

<file path=xl/worksheets/_rels/sheet6.xml.rels>&#65279;<?xml version="1.0" encoding="utf-8"?><Relationships xmlns="http://schemas.openxmlformats.org/package/2006/relationships"><Relationship Type="http://schemas.openxmlformats.org/officeDocument/2006/relationships/table" Target="/xl/tables/table5.xml" Id="R4e543c367fc54d57" /></Relationships>
</file>

<file path=xl/worksheets/sheet1.xml><?xml version="1.0" encoding="utf-8"?>
<x:worksheet xmlns:x="http://schemas.openxmlformats.org/spreadsheetml/2006/main">
  <x:sheetFormatPr defaultRowHeight="15"/>
  <x:cols>
    <x:col min="1" max="1" width="10" hidden="0" customWidth="1"/>
    <x:col min="2" max="2" width="58" hidden="0" customWidth="1"/>
    <x:col min="3" max="3" width="10" hidden="0" customWidth="1"/>
    <x:col min="4" max="4" width="18" hidden="0" customWidth="1"/>
    <x:col min="5" max="5" width="12" hidden="0" customWidth="1"/>
    <x:col min="6" max="6" width="4" hidden="0" customWidth="1"/>
    <x:col min="7" max="7" width="24" hidden="0" customWidth="1"/>
    <x:col min="8" max="8" width="12" hidden="0" customWidth="1"/>
    <x:col min="9" max="9" width="12" hidden="0" customWidth="1"/>
    <x:col min="10" max="10" width="12" hidden="0" customWidth="1"/>
    <x:col min="11" max="11" width="12" hidden="0" customWidth="1"/>
    <x:col min="12" max="12" width="12" hidden="0" customWidth="1"/>
  </x:cols>
  <x:sheetData>
    <x:row r="1" ht="32" customHeight="1">
      <x:c r="A1" s="5" t="str">
        <x:v>Expungement.ai Free Check — 50 States + D.C.</x:v>
      </x:c>
    </x:row>
    <x:row r="2" ht="36" customHeight="1">
      <x:c r="A2" s="13" t="str">
        <x:v>Normalized product-design breakdown based on the paused nationwide checkpoint 2f0ef040… and the free-check lifecycle rules. Route-specific questions are conditional; exact dates, court/case identifiers, records, service details, and form fields are deferred until the authenticated matter's packet-completion and final-verification stages.</x:v>
      </x:c>
    </x:row>
    <x:row r="4">
      <x:c r="A4" s="22" t="str">
        <x:v>Jurisdictions</x:v>
      </x:c>
      <x:c r="C4" s="22" t="str">
        <x:v>Normalized question rows</x:v>
      </x:c>
      <x:c r="E4" s="22" t="str">
        <x:v>Median questions/state</x:v>
      </x:c>
      <x:c r="G4" s="22" t="str">
        <x:v>Shortest state design</x:v>
      </x:c>
      <x:c r="I4" s="22" t="str">
        <x:v>Longest state design</x:v>
      </x:c>
    </x:row>
    <x:row r="5">
      <x:c r="A5" s="31" t="n">
        <x:f>COUNTA('State Summary'!A5:A55)</x:f>
        <x:v>51</x:v>
      </x:c>
      <x:c r="C5" s="31" t="n">
        <x:f>SUM('State Summary'!F5:F55)</x:f>
        <x:v>483</x:v>
      </x:c>
      <x:c r="E5" s="31" t="n">
        <x:f>MEDIAN('State Summary'!F5:F55)</x:f>
        <x:v>10</x:v>
      </x:c>
      <x:c r="G5" s="31" t="n">
        <x:f>MIN('State Summary'!F5:F55)</x:f>
        <x:v>6</x:v>
      </x:c>
      <x:c r="I5" s="31" t="n">
        <x:f>MAX('State Summary'!F5:F55)</x:f>
        <x:v>13</x:v>
      </x:c>
    </x:row>
    <x:row r="7">
      <x:c r="A7" s="37" t="str">
        <x:v>Governing Free-Check Rules</x:v>
      </x:c>
      <x:c r="G7" s="109" t="str">
        <x:v>State</x:v>
      </x:c>
      <x:c r="H7" s="110" t="str">
        <x:v>Questions</x:v>
      </x:c>
    </x:row>
    <x:row r="8">
      <x:c r="A8" s="87" t="str">
        <x:v>1</x:v>
      </x:c>
      <x:c r="B8" s="54" t="str">
        <x:v>Screening may be anonymous; a persistent Briefcase requires account creation or sign-in.</x:v>
      </x:c>
      <x:c r="D8" s="109" t="str">
        <x:v>Question band</x:v>
      </x:c>
      <x:c r="E8" s="110" t="str">
        <x:v>States</x:v>
      </x:c>
      <x:c r="G8" s="53" t="str">
        <x:v>New Jersey</x:v>
      </x:c>
      <x:c r="H8" s="54" t="n">
        <x:v>13</x:v>
      </x:c>
    </x:row>
    <x:row r="9">
      <x:c r="A9" s="88" t="str">
        <x:v>2</x:v>
      </x:c>
      <x:c r="B9" s="56" t="str">
        <x:v>The free check is preliminary. It identifies possible routes but does not finally verify eligibility or authorize payment.</x:v>
      </x:c>
      <x:c r="D9" s="53" t="str">
        <x:v>6–8</x:v>
      </x:c>
      <x:c r="E9" s="54" t="n">
        <x:f>COUNTIFS('State Summary'!F5:F55,"&gt;=6",'State Summary'!F5:F55,"&lt;=8")</x:f>
        <x:v>13</x:v>
      </x:c>
      <x:c r="G9" s="55" t="str">
        <x:v>Florida</x:v>
      </x:c>
      <x:c r="H9" s="56" t="n">
        <x:v>12</x:v>
      </x:c>
    </x:row>
    <x:row r="10">
      <x:c r="A10" s="88" t="str">
        <x:v>3</x:v>
      </x:c>
      <x:c r="B10" s="56" t="str">
        <x:v>Every question must serve a currently viable route or a legitimate route discriminator.</x:v>
      </x:c>
      <x:c r="D10" s="55" t="str">
        <x:v>9–10</x:v>
      </x:c>
      <x:c r="E10" s="56" t="n">
        <x:f>COUNTIFS('State Summary'!F5:F55,"&gt;=9",'State Summary'!F5:F55,"&lt;=10")</x:f>
        <x:v>20</x:v>
      </x:c>
      <x:c r="G10" s="55" t="str">
        <x:v>Maryland</x:v>
      </x:c>
      <x:c r="H10" s="56" t="n">
        <x:v>12</x:v>
      </x:c>
    </x:row>
    <x:row r="11">
      <x:c r="A11" s="88" t="str">
        <x:v>4</x:v>
      </x:c>
      <x:c r="B11" s="56" t="str">
        <x:v>Exact dates, court names, case numbers, records, service details, and official-form fields belong after account creation.</x:v>
      </x:c>
      <x:c r="D11" s="55" t="str">
        <x:v>11–12</x:v>
      </x:c>
      <x:c r="E11" s="56" t="n">
        <x:f>COUNTIFS('State Summary'!F5:F55,"&gt;=11",'State Summary'!F5:F55,"&lt;=12")</x:f>
        <x:v>17</x:v>
      </x:c>
      <x:c r="G11" s="55" t="str">
        <x:v>South Carolina</x:v>
      </x:c>
      <x:c r="H11" s="56" t="n">
        <x:v>12</x:v>
      </x:c>
    </x:row>
    <x:row r="12">
      <x:c r="A12" s="88" t="str">
        <x:v>5</x:v>
      </x:c>
      <x:c r="B12" s="56" t="str">
        <x:v>Timing is approximate in the free check; exact timing is recalculated during final verification.</x:v>
      </x:c>
      <x:c r="D12" s="57" t="str">
        <x:v>13+</x:v>
      </x:c>
      <x:c r="E12" s="58" t="n">
        <x:f>COUNTIF('State Summary'!F5:F55,"&gt;=13")</x:f>
        <x:v>1</x:v>
      </x:c>
      <x:c r="G12" s="55" t="str">
        <x:v>Wyoming</x:v>
      </x:c>
      <x:c r="H12" s="56" t="n">
        <x:v>12</x:v>
      </x:c>
    </x:row>
    <x:row r="13">
      <x:c r="A13" s="88" t="str">
        <x:v>6</x:v>
      </x:c>
      <x:c r="B13" s="56" t="str">
        <x:v>A selected pathway prunes unrelated route-specific questions. “Optional” never makes an irrelevant question appropriate.</x:v>
      </x:c>
      <x:c r="G13" s="55" t="str">
        <x:v>Alabama</x:v>
      </x:c>
      <x:c r="H13" s="56" t="n">
        <x:v>11</x:v>
      </x:c>
    </x:row>
    <x:row r="14">
      <x:c r="A14" s="89" t="str">
        <x:v>7</x:v>
      </x:c>
      <x:c r="B14" s="58" t="str">
        <x:v>Preliminary outcomes include possible packet path, more information needed, not yet, automatic/no filing, guidance, review/referral, and unsupported.</x:v>
      </x:c>
      <x:c r="G14" s="55" t="str">
        <x:v>Alaska</x:v>
      </x:c>
      <x:c r="H14" s="56" t="n">
        <x:v>11</x:v>
      </x:c>
    </x:row>
    <x:row r="15">
      <x:c r="G15" s="55" t="str">
        <x:v>Georgia</x:v>
      </x:c>
      <x:c r="H15" s="56" t="n">
        <x:v>11</x:v>
      </x:c>
    </x:row>
    <x:row r="16">
      <x:c r="A16" s="123" t="str">
        <x:v>Status note: this workbook is the normalized control/design matrix for the paused nationwide fine-tune. It is not a claim that every hosted state flow has completed final browser acceptance. Exact per-state runtime counts are shown only where the accepted shard evidence reported them.</x:v>
      </x:c>
      <x:c r="G16" s="55" t="str">
        <x:v>Illinois</x:v>
      </x:c>
      <x:c r="H16" s="56" t="n">
        <x:v>11</x:v>
      </x:c>
    </x:row>
    <x:row r="17">
      <x:c r="G17" s="55" t="str">
        <x:v>Maine</x:v>
      </x:c>
      <x:c r="H17" s="56" t="n">
        <x:v>11</x:v>
      </x:c>
    </x:row>
    <x:row r="18">
      <x:c r="G18" s="55" t="str">
        <x:v>Michigan</x:v>
      </x:c>
      <x:c r="H18" s="56" t="n">
        <x:v>11</x:v>
      </x:c>
    </x:row>
    <x:row r="19">
      <x:c r="G19" s="55" t="str">
        <x:v>Missouri</x:v>
      </x:c>
      <x:c r="H19" s="56" t="n">
        <x:v>11</x:v>
      </x:c>
    </x:row>
    <x:row r="20">
      <x:c r="G20" s="55" t="str">
        <x:v>Montana</x:v>
      </x:c>
      <x:c r="H20" s="56" t="n">
        <x:v>11</x:v>
      </x:c>
    </x:row>
    <x:row r="21">
      <x:c r="G21" s="55" t="str">
        <x:v>Nebraska</x:v>
      </x:c>
      <x:c r="H21" s="56" t="n">
        <x:v>11</x:v>
      </x:c>
    </x:row>
    <x:row r="22">
      <x:c r="G22" s="57" t="str">
        <x:v>Ohio</x:v>
      </x:c>
      <x:c r="H22" s="58" t="n">
        <x:v>11</x:v>
      </x:c>
    </x:row>
  </x:sheetData>
  <x:mergeCells>
    <x:mergeCell ref="A1:L1"/>
    <x:mergeCell ref="A2:L2"/>
    <x:mergeCell ref="A7:L7"/>
    <x:mergeCell ref="A16:F18"/>
  </x:mergeCells>
  <x:pageMargins left="0.7" right="0.7" top="0.75" bottom="0.75" header="0.3" footer="0.3"/>
  <x:drawing xmlns:r="http://schemas.openxmlformats.org/officeDocument/2006/relationships" r:id="Rfa8b5ed40eb94900"/>
</x:worksheet>
</file>

<file path=xl/worksheets/sheet2.xml><?xml version="1.0" encoding="utf-8"?>
<x:worksheet xmlns:x="http://schemas.openxmlformats.org/spreadsheetml/2006/main">
  <x:sheetFormatPr defaultRowHeight="15"/>
  <x:cols>
    <x:col min="1" max="1" width="22" hidden="0" customWidth="1"/>
    <x:col min="2" max="2" width="8" hidden="0" customWidth="1"/>
    <x:col min="3" max="3" width="26" hidden="0" customWidth="1"/>
    <x:col min="4" max="4" width="10" hidden="0" customWidth="1"/>
    <x:col min="5" max="5" width="14" hidden="0" customWidth="1"/>
    <x:col min="6" max="6" width="15" hidden="0" customWidth="1"/>
    <x:col min="7" max="7" width="16" hidden="0" customWidth="1"/>
    <x:col min="8" max="8" width="16" hidden="0" customWidth="1"/>
    <x:col min="9" max="9" width="48" hidden="0" customWidth="1"/>
    <x:col min="10" max="10" width="32" hidden="0" customWidth="1"/>
    <x:col min="11" max="11" width="55" hidden="0" customWidth="1"/>
  </x:cols>
  <x:sheetData>
    <x:row r="1" ht="32" customHeight="1">
      <x:c r="A1" s="5" t="str">
        <x:v>State Summary</x:v>
      </x:c>
    </x:row>
    <x:row r="2" ht="36" customHeight="1">
      <x:c r="A2" s="13" t="str">
        <x:v>One row per state or D.C. Question counts are normalized design counts; exact runtime counts are shown when reported by accepted shard evidence.</x:v>
      </x:c>
    </x:row>
    <x:row r="4">
      <x:c r="A4" s="109" t="str">
        <x:v>State</x:v>
      </x:c>
      <x:c r="B4" s="131" t="str">
        <x:v>Code</x:v>
      </x:c>
      <x:c r="C4" s="131" t="str">
        <x:v>Profile Version</x:v>
      </x:c>
      <x:c r="D4" s="131" t="str">
        <x:v>Pathways</x:v>
      </x:c>
      <x:c r="E4" s="131" t="str">
        <x:v>Source Question Catalog</x:v>
      </x:c>
      <x:c r="F4" s="131" t="str">
        <x:v>Normalized Free-Check Questions</x:v>
      </x:c>
      <x:c r="G4" s="131" t="str">
        <x:v>Runtime Count — Empty Context</x:v>
      </x:c>
      <x:c r="H4" s="131" t="str">
        <x:v>Runtime Count — Max Exact Route</x:v>
      </x:c>
      <x:c r="I4" s="131" t="str">
        <x:v>Candidate Route Families</x:v>
      </x:c>
      <x:c r="J4" s="131" t="str">
        <x:v>Preliminary Outcomes</x:v>
      </x:c>
      <x:c r="K4" s="110" t="str">
        <x:v>Source Profile</x:v>
      </x:c>
    </x:row>
    <x:row r="5">
      <x:c r="A5" s="53" t="str">
        <x:v>Alaska</x:v>
      </x:c>
      <x:c r="B5" s="141" t="str">
        <x:v>AK</x:v>
      </x:c>
      <x:c r="C5" s="141" t="str">
        <x:v>2026-06-19-source-conversion-1</x:v>
      </x:c>
      <x:c r="D5" s="141" t="n">
        <x:v>5</x:v>
      </x:c>
      <x:c r="E5" s="141" t="n">
        <x:v>17</x:v>
      </x:c>
      <x:c r="F5" s="141" t="n">
        <x:v>11</x:v>
      </x:c>
      <x:c r="G5" s="141"/>
      <x:c r="H5" s="141"/>
      <x:c r="I5" s="141" t="str">
        <x:v>Set-aside after a Suspended Imposition of Sentence (AS 12.55.085); Sealing for mistaken identity or false accusation (AS 12.62.180); Confidentiality of acquittals and dismissals (AS 22.35.030 / Administrative Rule 40); Juvenile-record sealing (AS 47.12.300); Executive-pardon backstop</x:v>
      </x:c>
      <x:c r="J5" s="141" t="str">
        <x:v>guidance_only; needs_review; not_yet; packet_ready_with_caution</x:v>
      </x:c>
      <x:c r="K5" s="54" t="str">
        <x:v>https://github.com/Roger-LegalEase/legalease-partner-dashboard-clean/blob/2f0ef0403f16e57544ad0bc86b2d1b1cd08861b3/src/lib/rcap-engine/compiled/profiles/AK-alaska.json</x:v>
      </x:c>
    </x:row>
    <x:row r="6">
      <x:c r="A6" s="55" t="str">
        <x:v>Alabama</x:v>
      </x:c>
      <x:c r="B6" s="142" t="str">
        <x:v>AL</x:v>
      </x:c>
      <x:c r="C6" s="142" t="str">
        <x:v>2026-06-19-source-conversion-1</x:v>
      </x:c>
      <x:c r="D6" s="142" t="n">
        <x:v>4</x:v>
      </x:c>
      <x:c r="E6" s="142" t="n">
        <x:v>17</x:v>
      </x:c>
      <x:c r="F6" s="142" t="n">
        <x:v>11</x:v>
      </x:c>
      <x:c r="G6" s="142"/>
      <x:c r="H6" s="142"/>
      <x:c r="I6" s="142" t="str">
        <x:v>Non-conviction expungement under Ala. Code §§ 15-27-1(a) and 15-27-2(a); Eligible conviction expungement under the REDEEMER Act; Pardoned felony expungement under Ala. Code § 15-27-2(c); Human-trafficking-victim expungement</x:v>
      </x:c>
      <x:c r="J6" s="142" t="str">
        <x:v>guidance_only; likely_not_eligible; needs_review; not_yet; packet_ready_with_caution</x:v>
      </x:c>
      <x:c r="K6" s="56" t="str">
        <x:v>https://github.com/Roger-LegalEase/legalease-partner-dashboard-clean/blob/2f0ef0403f16e57544ad0bc86b2d1b1cd08861b3/src/lib/rcap-engine/compiled/profiles/AL-alabama.json</x:v>
      </x:c>
    </x:row>
    <x:row r="7">
      <x:c r="A7" s="55" t="str">
        <x:v>Arkansas</x:v>
      </x:c>
      <x:c r="B7" s="142" t="str">
        <x:v>AR</x:v>
      </x:c>
      <x:c r="C7" s="142" t="str">
        <x:v>2026-06-19-source-conversion-1</x:v>
      </x:c>
      <x:c r="D7" s="142" t="n">
        <x:v>3</x:v>
      </x:c>
      <x:c r="E7" s="142" t="n">
        <x:v>15</x:v>
      </x:c>
      <x:c r="F7" s="142" t="n">
        <x:v>9</x:v>
      </x:c>
      <x:c r="G7" s="142"/>
      <x:c r="H7" s="142"/>
      <x:c r="I7" s="142" t="str">
        <x:v>Situation A — Non-convictions (§§ 16-90-1409, 1410); Situation B — Misdemeanor convictions (§ 16-90-1405); Situation C — Felony convictions (§§ 16-90-1406, 1407)</x:v>
      </x:c>
      <x:c r="J7" s="142" t="str">
        <x:v>likely_not_eligible; needs_more_info; needs_review; not_yet; packet_ready_with_caution</x:v>
      </x:c>
      <x:c r="K7" s="56" t="str">
        <x:v>https://github.com/Roger-LegalEase/legalease-partner-dashboard-clean/blob/2f0ef0403f16e57544ad0bc86b2d1b1cd08861b3/src/lib/rcap-engine/compiled/profiles/AR-arkansas.json</x:v>
      </x:c>
    </x:row>
    <x:row r="8">
      <x:c r="A8" s="55" t="str">
        <x:v>Arizona</x:v>
      </x:c>
      <x:c r="B8" s="142" t="str">
        <x:v>AZ</x:v>
      </x:c>
      <x:c r="C8" s="142" t="str">
        <x:v>2026-06-19-source-conversion-1</x:v>
      </x:c>
      <x:c r="D8" s="142" t="n">
        <x:v>3</x:v>
      </x:c>
      <x:c r="E8" s="142" t="n">
        <x:v>14</x:v>
      </x:c>
      <x:c r="F8" s="142" t="n">
        <x:v>8</x:v>
      </x:c>
      <x:c r="G8" s="142"/>
      <x:c r="H8" s="142"/>
      <x:c r="I8" s="142" t="str">
        <x:v>Remedy 1 — Record sealing (A.R.S. § 13-911); Remedy 2 — Set-aside of a conviction (A.R.S. § 13-905); Remedy 3 — Marijuana expungement (A.R.S. § 36-2862, Prop 207)</x:v>
      </x:c>
      <x:c r="J8" s="142" t="str">
        <x:v>likely_not_eligible; needs_review; not_yet; packet_ready_with_caution</x:v>
      </x:c>
      <x:c r="K8" s="56" t="str">
        <x:v>https://github.com/Roger-LegalEase/legalease-partner-dashboard-clean/blob/2f0ef0403f16e57544ad0bc86b2d1b1cd08861b3/src/lib/rcap-engine/compiled/profiles/AZ-arizona.json</x:v>
      </x:c>
    </x:row>
    <x:row r="9">
      <x:c r="A9" s="55" t="str">
        <x:v>California</x:v>
      </x:c>
      <x:c r="B9" s="142" t="str">
        <x:v>CA</x:v>
      </x:c>
      <x:c r="C9" s="142" t="str">
        <x:v>2026-06-19-source-conversion-1</x:v>
      </x:c>
      <x:c r="D9" s="142" t="n">
        <x:v>5</x:v>
      </x:c>
      <x:c r="E9" s="142" t="n">
        <x:v>17</x:v>
      </x:c>
      <x:c r="F9" s="142" t="n">
        <x:v>10</x:v>
      </x:c>
      <x:c r="G9" s="142"/>
      <x:c r="H9" s="142"/>
      <x:c r="I9" s="142" t="str">
        <x:v>Tool 1 — Dismissal / set-aside (PC 1203.4 and variants); Tool 2 — Automatic relief (PC 851.93 arrests / 1203.425 convictions); Tool 3 — Petition-based felony sealing (SB 731 / PC 1203.49 framework); Tool 4 — Arrest-record sealing (PC 851.91; factual innocence PC 851.8); Tool 5 — Proposition 64 marijuana relief (H&amp;S 11361.8 / 11361.9)</x:v>
      </x:c>
      <x:c r="J9" s="142" t="str">
        <x:v>guidance_only; likely_not_eligible; needs_review; not_yet; packet_ready_with_caution</x:v>
      </x:c>
      <x:c r="K9" s="56" t="str">
        <x:v>https://github.com/Roger-LegalEase/legalease-partner-dashboard-clean/blob/2f0ef0403f16e57544ad0bc86b2d1b1cd08861b3/src/lib/rcap-engine/compiled/profiles/CA-california.json</x:v>
      </x:c>
    </x:row>
    <x:row r="10">
      <x:c r="A10" s="55" t="str">
        <x:v>Colorado</x:v>
      </x:c>
      <x:c r="B10" s="142" t="str">
        <x:v>CO</x:v>
      </x:c>
      <x:c r="C10" s="142" t="str">
        <x:v>2026-06-19-source-conversion-1</x:v>
      </x:c>
      <x:c r="D10" s="142" t="n">
        <x:v>4</x:v>
      </x:c>
      <x:c r="E10" s="142" t="n">
        <x:v>12</x:v>
      </x:c>
      <x:c r="F10" s="142" t="n">
        <x:v>8</x:v>
      </x:c>
      <x:c r="G10" s="142"/>
      <x:c r="H10" s="142"/>
      <x:c r="I10" s="142" t="str">
        <x:v>Petition-based non-conviction sealing (JDF 417 / § 24-72-704); Petition-based conviction sealing (JDF 612 / § 24-72-706); Automatic Clean Slate sealing (§ 13-3-117); Juvenile expungement (§ 19-1-306)</x:v>
      </x:c>
      <x:c r="J10" s="142" t="str">
        <x:v>guidance_only; likely_not_eligible; needs_review; not_yet; packet_ready_with_caution</x:v>
      </x:c>
      <x:c r="K10" s="56" t="str">
        <x:v>https://github.com/Roger-LegalEase/legalease-partner-dashboard-clean/blob/2f0ef0403f16e57544ad0bc86b2d1b1cd08861b3/src/lib/rcap-engine/compiled/profiles/CO-colorado.json</x:v>
      </x:c>
    </x:row>
    <x:row r="11">
      <x:c r="A11" s="55" t="str">
        <x:v>Connecticut</x:v>
      </x:c>
      <x:c r="B11" s="142" t="str">
        <x:v>CT</x:v>
      </x:c>
      <x:c r="C11" s="142" t="str">
        <x:v>2026-06-19-source-conversion-1</x:v>
      </x:c>
      <x:c r="D11" s="142" t="n">
        <x:v>5</x:v>
      </x:c>
      <x:c r="E11" s="142" t="n">
        <x:v>14</x:v>
      </x:c>
      <x:c r="F11" s="142" t="n">
        <x:v>9</x:v>
      </x:c>
      <x:c r="G11" s="142"/>
      <x:c r="H11" s="142"/>
      <x:c r="I11" s="142" t="str">
        <x:v>Automatic non-conviction erasure under Conn. Gen. Stat. § 54-142a; Automatic Clean Slate erasure for eligible post-2000 convictions; Petitioned Clean Slate erasure for eligible pre-2000 convictions (JD-CR-202); Cannabis-conviction erasure; Absolute pardon resulting in erasure</x:v>
      </x:c>
      <x:c r="J11" s="142" t="str">
        <x:v>guidance_only; likely_not_eligible; needs_more_info; needs_review; not_yet; packet_ready_with_caution</x:v>
      </x:c>
      <x:c r="K11" s="56" t="str">
        <x:v>https://github.com/Roger-LegalEase/legalease-partner-dashboard-clean/blob/2f0ef0403f16e57544ad0bc86b2d1b1cd08861b3/src/lib/rcap-engine/compiled/profiles/CT-connecticut.json</x:v>
      </x:c>
    </x:row>
    <x:row r="12">
      <x:c r="A12" s="55" t="str">
        <x:v>District of Columbia</x:v>
      </x:c>
      <x:c r="B12" s="142" t="str">
        <x:v>DC</x:v>
      </x:c>
      <x:c r="C12" s="142" t="str">
        <x:v>2026-06-19-source-conversion-1</x:v>
      </x:c>
      <x:c r="D12" s="142" t="n">
        <x:v>8</x:v>
      </x:c>
      <x:c r="E12" s="142" t="n">
        <x:v>13</x:v>
      </x:c>
      <x:c r="F12" s="142" t="n">
        <x:v>8</x:v>
      </x:c>
      <x:c r="G12" s="142"/>
      <x:c r="H12" s="142"/>
      <x:c r="I12" s="142" t="str">
        <x:v>Automatic expungement under D.C. Code § 16-802; Actual-innocence expungement by motion under D.C. Code § 16-803; Automatic sealing under D.C. Code § 16-805; Non-conviction sealing by motion under D.C. Code § 16-806; Fugitive-from-justice sealing; Conviction sealing by motion under D.C. Code § 16-806; Incorrect-identity or mistaken-arrest record correction; Juvenile-record sealing under D.C. Code § 16-2335</x:v>
      </x:c>
      <x:c r="J12" s="142" t="str">
        <x:v>guidance_only; needs_review; not_yet; packet_ready_with_caution</x:v>
      </x:c>
      <x:c r="K12" s="56" t="str">
        <x:v>https://github.com/Roger-LegalEase/legalease-partner-dashboard-clean/blob/2f0ef0403f16e57544ad0bc86b2d1b1cd08861b3/src/lib/rcap-engine/compiled/profiles/DC-district-of-columbia.json</x:v>
      </x:c>
    </x:row>
    <x:row r="13">
      <x:c r="A13" s="55" t="str">
        <x:v>Delaware</x:v>
      </x:c>
      <x:c r="B13" s="142" t="str">
        <x:v>DE</x:v>
      </x:c>
      <x:c r="C13" s="142" t="str">
        <x:v>2026-06-19-source-conversion-1</x:v>
      </x:c>
      <x:c r="D13" s="142" t="n">
        <x:v>4</x:v>
      </x:c>
      <x:c r="E13" s="142" t="n">
        <x:v>14</x:v>
      </x:c>
      <x:c r="F13" s="142" t="n">
        <x:v>9</x:v>
      </x:c>
      <x:c r="G13" s="142"/>
      <x:c r="H13" s="142"/>
      <x:c r="I13" s="142" t="str">
        <x:v>Mandatory and automatic expungement under 11 Del. C. §§ 4373 and 4373A; Discretionary court expungement under 11 Del. C. § 4374; Pardon-based discretionary expungement under 11 Del. C. § 4375; Juvenile expungement under 10 Del. C. §§ 1017–1019 / 1017A</x:v>
      </x:c>
      <x:c r="J13" s="142" t="str">
        <x:v>guidance_only; likely_not_eligible; needs_review; not_yet; packet_ready_with_caution</x:v>
      </x:c>
      <x:c r="K13" s="56" t="str">
        <x:v>https://github.com/Roger-LegalEase/legalease-partner-dashboard-clean/blob/2f0ef0403f16e57544ad0bc86b2d1b1cd08861b3/src/lib/rcap-engine/compiled/profiles/DE-delaware.json</x:v>
      </x:c>
    </x:row>
    <x:row r="14">
      <x:c r="A14" s="55" t="str">
        <x:v>Florida</x:v>
      </x:c>
      <x:c r="B14" s="142" t="str">
        <x:v>FL</x:v>
      </x:c>
      <x:c r="C14" s="142" t="str">
        <x:v>2026-06-19-source-conversion-1</x:v>
      </x:c>
      <x:c r="D14" s="142" t="n">
        <x:v>8</x:v>
      </x:c>
      <x:c r="E14" s="142" t="n">
        <x:v>36</x:v>
      </x:c>
      <x:c r="F14" s="142" t="n">
        <x:v>12</x:v>
      </x:c>
      <x:c r="G14" s="142"/>
      <x:c r="H14" s="142"/>
      <x:c r="I14" s="142" t="str">
        <x:v>Court-ordered expunction - 943.0585; Court-ordered sealing - 943.059; Automatic sealing - 943.0595; Human trafficking victim expunction - 943.0583; Lawful self-defense expunction - 943.0578; Juvenile diversion expunction - 943.0582; Early juvenile expunction - 943.0515; Administrative expunction - mistaken or unlawful arrest</x:v>
      </x:c>
      <x:c r="J14" s="142" t="str">
        <x:v>guidance_only; likely_not_eligible; needs_review; not_yet; packet_ready_with_caution</x:v>
      </x:c>
      <x:c r="K14" s="56" t="str">
        <x:v>https://github.com/Roger-LegalEase/legalease-partner-dashboard-clean/blob/2f0ef0403f16e57544ad0bc86b2d1b1cd08861b3/src/lib/rcap-engine/compiled/profiles/FL-florida.json</x:v>
      </x:c>
    </x:row>
    <x:row r="15">
      <x:c r="A15" s="55" t="str">
        <x:v>Georgia</x:v>
      </x:c>
      <x:c r="B15" s="142" t="str">
        <x:v>GA</x:v>
      </x:c>
      <x:c r="C15" s="142" t="str">
        <x:v>2026-06-19-source-conversion-1</x:v>
      </x:c>
      <x:c r="D15" s="142" t="n">
        <x:v>5</x:v>
      </x:c>
      <x:c r="E15" s="142" t="n">
        <x:v>19</x:v>
      </x:c>
      <x:c r="F15" s="142" t="n">
        <x:v>11</x:v>
      </x:c>
      <x:c r="G15" s="142"/>
      <x:c r="H15" s="142"/>
      <x:c r="I15" s="142" t="str">
        <x:v>Non-conviction record restriction through the agency/prosecutor process; Automatic restriction of qualifying post-July 1, 2013 non-convictions; SB 288 misdemeanor-conviction restriction and sealing; Restriction and sealing of a pardoned felony; Youthful / first-offender restriction route</x:v>
      </x:c>
      <x:c r="J15" s="142" t="str">
        <x:v>guidance_only; likely_not_eligible; needs_review; not_yet; packet_ready_with_caution</x:v>
      </x:c>
      <x:c r="K15" s="56" t="str">
        <x:v>https://github.com/Roger-LegalEase/legalease-partner-dashboard-clean/blob/2f0ef0403f16e57544ad0bc86b2d1b1cd08861b3/src/lib/rcap-engine/compiled/profiles/GA-georgia.json</x:v>
      </x:c>
    </x:row>
    <x:row r="16">
      <x:c r="A16" s="55" t="str">
        <x:v>Hawaii</x:v>
      </x:c>
      <x:c r="B16" s="142" t="str">
        <x:v>HI</x:v>
      </x:c>
      <x:c r="C16" s="142" t="str">
        <x:v>2026-06-19-source-conversion-1</x:v>
      </x:c>
      <x:c r="D16" s="142" t="n">
        <x:v>5</x:v>
      </x:c>
      <x:c r="E16" s="142" t="n">
        <x:v>11</x:v>
      </x:c>
      <x:c r="F16" s="142" t="n">
        <x:v>7</x:v>
      </x:c>
      <x:c r="G16" s="142"/>
      <x:c r="H16" s="142"/>
      <x:c r="I16" s="142" t="str">
        <x:v>Non-conviction arrest-information expungement under HRS § 831-3.2; Deferred acceptance dismissal — general one-year route; Deferred acceptance dismissal — HRS § 712-1200 three-year route; First-time drug-offender conviction expungement; DUI under age 21 conviction expungement</x:v>
      </x:c>
      <x:c r="J16" s="142" t="str">
        <x:v>needs_review; packet_ready_with_caution</x:v>
      </x:c>
      <x:c r="K16" s="56" t="str">
        <x:v>https://github.com/Roger-LegalEase/legalease-partner-dashboard-clean/blob/2f0ef0403f16e57544ad0bc86b2d1b1cd08861b3/src/lib/rcap-engine/compiled/profiles/HI-hawaii.json</x:v>
      </x:c>
    </x:row>
    <x:row r="17">
      <x:c r="A17" s="55" t="str">
        <x:v>Iowa</x:v>
      </x:c>
      <x:c r="B17" s="142" t="str">
        <x:v>IA</x:v>
      </x:c>
      <x:c r="C17" s="142" t="str">
        <x:v>2026-06-19-source-conversion-1</x:v>
      </x:c>
      <x:c r="D17" s="142" t="n">
        <x:v>5</x:v>
      </x:c>
      <x:c r="E17" s="142" t="n">
        <x:v>14</x:v>
      </x:c>
      <x:c r="F17" s="142" t="n">
        <x:v>9</x:v>
      </x:c>
      <x:c r="G17" s="142"/>
      <x:c r="H17" s="142"/>
      <x:c r="I17" s="142" t="str">
        <x:v>Acquittal or all-charges-dismissed expungement under Iowa Code § 901C.2; Misdemeanor conviction expungement under Iowa Code § 901C.3; Public-intoxication conviction expungement under Iowa Code § 123.46; Underage-alcohol conviction expungement under Iowa Code § 123.47; Prostitution conviction expungement for conduct while under 18 under Iowa Code § 725.1</x:v>
      </x:c>
      <x:c r="J17" s="142" t="str">
        <x:v>likely_not_eligible; needs_review; not_yet; packet_ready_with_caution</x:v>
      </x:c>
      <x:c r="K17" s="56" t="str">
        <x:v>https://github.com/Roger-LegalEase/legalease-partner-dashboard-clean/blob/2f0ef0403f16e57544ad0bc86b2d1b1cd08861b3/src/lib/rcap-engine/compiled/profiles/IA-iowa.json</x:v>
      </x:c>
    </x:row>
    <x:row r="18">
      <x:c r="A18" s="55" t="str">
        <x:v>Idaho</x:v>
      </x:c>
      <x:c r="B18" s="142" t="str">
        <x:v>ID</x:v>
      </x:c>
      <x:c r="C18" s="142" t="str">
        <x:v>2026-06-19-source-conversion-1</x:v>
      </x:c>
      <x:c r="D18" s="142" t="n">
        <x:v>5</x:v>
      </x:c>
      <x:c r="E18" s="142" t="n">
        <x:v>14</x:v>
      </x:c>
      <x:c r="F18" s="142" t="n">
        <x:v>8</x:v>
      </x:c>
      <x:c r="G18" s="142"/>
      <x:c r="H18" s="142"/>
      <x:c r="I18" s="142" t="str">
        <x:v>Non-conviction fingerprint and criminal-history expungement under Idaho Code § 67-3004(10); Clean Slate shielding under Idaho Code § 67-3004(11); Withheld-judgment / Idaho Code § 19-2604 review branch; Juvenile expungement; Human-trafficking-survivor vacatur and expungement</x:v>
      </x:c>
      <x:c r="J18" s="142" t="str">
        <x:v>guidance_only; needs_more_info; needs_review; not_yet; packet_ready_with_caution</x:v>
      </x:c>
      <x:c r="K18" s="56" t="str">
        <x:v>https://github.com/Roger-LegalEase/legalease-partner-dashboard-clean/blob/2f0ef0403f16e57544ad0bc86b2d1b1cd08861b3/src/lib/rcap-engine/compiled/profiles/ID-idaho.json</x:v>
      </x:c>
    </x:row>
    <x:row r="19">
      <x:c r="A19" s="55" t="str">
        <x:v>Illinois</x:v>
      </x:c>
      <x:c r="B19" s="142" t="str">
        <x:v>IL</x:v>
      </x:c>
      <x:c r="C19" s="142" t="str">
        <x:v>2026-06-19-source-conversion-1</x:v>
      </x:c>
      <x:c r="D19" s="142" t="n">
        <x:v>9</x:v>
      </x:c>
      <x:c r="E19" s="142" t="n">
        <x:v>32</x:v>
      </x:c>
      <x:c r="F19" s="142" t="n">
        <x:v>11</x:v>
      </x:c>
      <x:c r="G19" s="142"/>
      <x:c r="H19" s="142"/>
      <x:c r="I19" s="142" t="str">
        <x:v>Adult non-conviction expungement; Expungement after eligible supervision or qualified probation; Adult conviction sealing; Cannabis-specific automatic or petition expungement; Human-trafficking-survivor vacatur and expungement; Felony-prostitution relief; Criminal identity-theft / mistaken-identity relief; Juvenile automatic or petition expungement; Clean Slate automatic sealing</x:v>
      </x:c>
      <x:c r="J19" s="142" t="str">
        <x:v>guidance_only; likely_not_eligible; needs_review; not_yet; packet_ready_with_caution</x:v>
      </x:c>
      <x:c r="K19" s="56" t="str">
        <x:v>https://github.com/Roger-LegalEase/legalease-partner-dashboard-clean/blob/2f0ef0403f16e57544ad0bc86b2d1b1cd08861b3/src/lib/rcap-engine/compiled/profiles/IL-illinois.json</x:v>
      </x:c>
    </x:row>
    <x:row r="20">
      <x:c r="A20" s="55" t="str">
        <x:v>Indiana</x:v>
      </x:c>
      <x:c r="B20" s="142" t="str">
        <x:v>IN</x:v>
      </x:c>
      <x:c r="C20" s="142" t="str">
        <x:v>2026-06-19-source-conversion-1</x:v>
      </x:c>
      <x:c r="D20" s="142" t="n">
        <x:v>4</x:v>
      </x:c>
      <x:c r="E20" s="142" t="n">
        <x:v>13</x:v>
      </x:c>
      <x:c r="F20" s="142" t="n">
        <x:v>8</x:v>
      </x:c>
      <x:c r="G20" s="142"/>
      <x:c r="H20" s="142"/>
      <x:c r="I20" s="142" t="str">
        <x:v>Non-conviction arrest or criminal-charge expungement; Juvenile-allegation expungement; Conviction expungement with sealed/confidential access; Conviction expungement with records marked expunged</x:v>
      </x:c>
      <x:c r="J20" s="142" t="str">
        <x:v>needs_more_info; needs_review; not_yet; packet_ready_with_caution</x:v>
      </x:c>
      <x:c r="K20" s="56" t="str">
        <x:v>https://github.com/Roger-LegalEase/legalease-partner-dashboard-clean/blob/2f0ef0403f16e57544ad0bc86b2d1b1cd08861b3/src/lib/rcap-engine/compiled/profiles/IN-indiana.json</x:v>
      </x:c>
    </x:row>
    <x:row r="21">
      <x:c r="A21" s="55" t="str">
        <x:v>Kansas</x:v>
      </x:c>
      <x:c r="B21" s="142" t="str">
        <x:v>KS</x:v>
      </x:c>
      <x:c r="C21" s="142" t="str">
        <x:v>2026-06-19-source-conversion-1</x:v>
      </x:c>
      <x:c r="D21" s="142" t="n">
        <x:v>4</x:v>
      </x:c>
      <x:c r="E21" s="142" t="n">
        <x:v>12</x:v>
      </x:c>
      <x:c r="F21" s="142" t="n">
        <x:v>7</x:v>
      </x:c>
      <x:c r="G21" s="142"/>
      <x:c r="H21" s="142"/>
      <x:c r="I21" s="142" t="str">
        <x:v>Conviction or diversion expungement under K.S.A. 21-6614; Specialty-court completion route; Prostitution offense committed under coercion; Drug-offender registration relief coordinated with expungement</x:v>
      </x:c>
      <x:c r="J21" s="142" t="str">
        <x:v>guidance_only; needs_more_info; needs_review; packet_ready_with_caution</x:v>
      </x:c>
      <x:c r="K21" s="56" t="str">
        <x:v>https://github.com/Roger-LegalEase/legalease-partner-dashboard-clean/blob/2f0ef0403f16e57544ad0bc86b2d1b1cd08861b3/src/lib/rcap-engine/compiled/profiles/KS-kansas.json</x:v>
      </x:c>
    </x:row>
    <x:row r="22">
      <x:c r="A22" s="55" t="str">
        <x:v>Kentucky</x:v>
      </x:c>
      <x:c r="B22" s="142" t="str">
        <x:v>KY</x:v>
      </x:c>
      <x:c r="C22" s="142" t="str">
        <x:v>2026-06-19-source-conversion-1</x:v>
      </x:c>
      <x:c r="D22" s="142" t="n">
        <x:v>5</x:v>
      </x:c>
      <x:c r="E22" s="142" t="n">
        <x:v>14</x:v>
      </x:c>
      <x:c r="F22" s="142" t="n">
        <x:v>9</x:v>
      </x:c>
      <x:c r="G22" s="142"/>
      <x:c r="H22" s="142"/>
      <x:c r="I22" s="142" t="str">
        <x:v>Misdemeanor, violation, or traffic-infraction conviction expungement under KRS 431.078; Eligible felony conviction vacatur and expungement under KRS 431.073; Acquittal, dismissal, or failure-to-indict expungement under KRS 431.076; Juvenile automatic expungement on qualifying dismissal; Juvenile petition to vacate and expunge under KRS 610.330</x:v>
      </x:c>
      <x:c r="J22" s="142" t="str">
        <x:v>guidance_only; needs_review; not_yet; packet_ready_with_caution</x:v>
      </x:c>
      <x:c r="K22" s="56" t="str">
        <x:v>https://github.com/Roger-LegalEase/legalease-partner-dashboard-clean/blob/2f0ef0403f16e57544ad0bc86b2d1b1cd08861b3/src/lib/rcap-engine/compiled/profiles/KY-kentucky.json</x:v>
      </x:c>
    </x:row>
    <x:row r="23">
      <x:c r="A23" s="55" t="str">
        <x:v>Louisiana</x:v>
      </x:c>
      <x:c r="B23" s="142" t="str">
        <x:v>LA</x:v>
      </x:c>
      <x:c r="C23" s="142" t="str">
        <x:v>2026-06-19-source-conversion-1</x:v>
      </x:c>
      <x:c r="D23" s="142" t="n">
        <x:v>12</x:v>
      </x:c>
      <x:c r="E23" s="142" t="n">
        <x:v>20</x:v>
      </x:c>
      <x:c r="F23" s="142" t="n">
        <x:v>9</x:v>
      </x:c>
      <x:c r="G23" s="142" t="n">
        <x:v>9</x:v>
      </x:c>
      <x:c r="H23" s="142" t="n">
        <x:v>9</x:v>
      </x:c>
      <x:c r="I23" s="142" t="str">
        <x:v>Non-conviction arrest expungement; Misdemeanor Article 894(B) set-aside followed by expungement; Misdemeanor five-year clean-period expungement; First-offense marijuana expungement after 90 days (Art. 998); Felony Article 893(E) set-aside followed by expungement; Felony ten-year clean-period expungement; First-offender-pardon felony expungement; Interim expungement of a felony arrest reduced to a misdemeanor conviction; Expungement by redaction for multi-person records; Human-trafficking-survivor expungement / fee-exempt route; Immediate expungement after successful court-program completion (Art. 985.3); Automated-expungement status verification (Art. 985.2)</x:v>
      </x:c>
      <x:c r="J23" s="142" t="str">
        <x:v>guidance_only; needs_review; packet_ready_with_caution</x:v>
      </x:c>
      <x:c r="K23" s="56" t="str">
        <x:v>https://github.com/Roger-LegalEase/legalease-partner-dashboard-clean/blob/2f0ef0403f16e57544ad0bc86b2d1b1cd08861b3/src/lib/rcap-engine/compiled/profiles/LA-louisiana.json</x:v>
      </x:c>
    </x:row>
    <x:row r="24">
      <x:c r="A24" s="55" t="str">
        <x:v>Massachusetts</x:v>
      </x:c>
      <x:c r="B24" s="142" t="str">
        <x:v>MA</x:v>
      </x:c>
      <x:c r="C24" s="142" t="str">
        <x:v>2026-06-19-source-conversion-1</x:v>
      </x:c>
      <x:c r="D24" s="142" t="n">
        <x:v>7</x:v>
      </x:c>
      <x:c r="E24" s="142" t="n">
        <x:v>18</x:v>
      </x:c>
      <x:c r="F24" s="142" t="n">
        <x:v>9</x:v>
      </x:c>
      <x:c r="G24" s="142" t="n">
        <x:v>9</x:v>
      </x:c>
      <x:c r="H24" s="142" t="n">
        <x:v>9</x:v>
      </x:c>
      <x:c r="I24" s="142" t="str">
        <x:v>Adult conviction sealing under M.G.L. c. 276, § 100A; Automatic non-conviction sealing for not-guilty, no-bill, or no-probable-cause outcomes (§ 100C); Court-requested sealing for dismissal or nolle prosequi (§ 100C); Juvenile record sealing under § 100B; Time-based expungement under §§ 100F–100J; Non-time-based expungement for false identity, error, fraud, or decriminalized conduct (§ 100K); Marijuana-only expungement</x:v>
      </x:c>
      <x:c r="J24" s="142" t="str">
        <x:v>guidance_only; needs_review; not_yet; packet_ready_with_caution</x:v>
      </x:c>
      <x:c r="K24" s="56" t="str">
        <x:v>https://github.com/Roger-LegalEase/legalease-partner-dashboard-clean/blob/2f0ef0403f16e57544ad0bc86b2d1b1cd08861b3/src/lib/rcap-engine/compiled/profiles/MA-massachusetts.json</x:v>
      </x:c>
    </x:row>
    <x:row r="25">
      <x:c r="A25" s="55" t="str">
        <x:v>Maryland</x:v>
      </x:c>
      <x:c r="B25" s="142" t="str">
        <x:v>MD</x:v>
      </x:c>
      <x:c r="C25" s="142" t="str">
        <x:v>2026-06-19-source-conversion-1</x:v>
      </x:c>
      <x:c r="D25" s="142" t="n">
        <x:v>7</x:v>
      </x:c>
      <x:c r="E25" s="142" t="n">
        <x:v>36</x:v>
      </x:c>
      <x:c r="F25" s="142" t="n">
        <x:v>12</x:v>
      </x:c>
      <x:c r="G25" s="142" t="n">
        <x:v>13</x:v>
      </x:c>
      <x:c r="H25" s="142" t="n">
        <x:v>13</x:v>
      </x:c>
      <x:c r="I25" s="142" t="str">
        <x:v>Adult non-conviction expungement under Crim. Proc. § 10-105; Automatic expungement under Crim. Proc. § 10-105.1; Police-record expungement when no charge was filed under § 10-103; Eligible conviction expungement under Crim. Proc. § 10-110; Cannabis-specific expungement; Second Chance Act shielding; Juvenile expungement</x:v>
      </x:c>
      <x:c r="J25" s="142" t="str">
        <x:v>guidance_only; likely_not_eligible; needs_review; not_yet; packet_ready_with_caution</x:v>
      </x:c>
      <x:c r="K25" s="56" t="str">
        <x:v>https://github.com/Roger-LegalEase/legalease-partner-dashboard-clean/blob/2f0ef0403f16e57544ad0bc86b2d1b1cd08861b3/src/lib/rcap-engine/compiled/profiles/MD-maryland.json</x:v>
      </x:c>
    </x:row>
    <x:row r="26">
      <x:c r="A26" s="55" t="str">
        <x:v>Maine</x:v>
      </x:c>
      <x:c r="B26" s="142" t="str">
        <x:v>ME</x:v>
      </x:c>
      <x:c r="C26" s="142" t="str">
        <x:v>2026-06-19-source-conversion-1</x:v>
      </x:c>
      <x:c r="D26" s="142" t="n">
        <x:v>5</x:v>
      </x:c>
      <x:c r="E26" s="142" t="n">
        <x:v>33</x:v>
      </x:c>
      <x:c r="F26" s="142" t="n">
        <x:v>11</x:v>
      </x:c>
      <x:c r="G26" s="142" t="n">
        <x:v>11</x:v>
      </x:c>
      <x:c r="H26" s="142" t="n">
        <x:v>11</x:v>
      </x:c>
      <x:c r="I26" s="142" t="str">
        <x:v>Adult conviction sealing; Sex-trafficking / sexual-exploitation-survivor sealing; Adult non-conviction record relief; Pardon route; Juvenile sealing</x:v>
      </x:c>
      <x:c r="J26" s="142" t="str">
        <x:v>guidance_only; likely_not_eligible; needs_review; not_yet; packet_ready_with_caution</x:v>
      </x:c>
      <x:c r="K26" s="56" t="str">
        <x:v>https://github.com/Roger-LegalEase/legalease-partner-dashboard-clean/blob/2f0ef0403f16e57544ad0bc86b2d1b1cd08861b3/src/lib/rcap-engine/compiled/profiles/ME-maine.json</x:v>
      </x:c>
    </x:row>
    <x:row r="27">
      <x:c r="A27" s="55" t="str">
        <x:v>Michigan</x:v>
      </x:c>
      <x:c r="B27" s="142" t="str">
        <x:v>MI</x:v>
      </x:c>
      <x:c r="C27" s="142" t="str">
        <x:v>2026-06-19-source-conversion-1</x:v>
      </x:c>
      <x:c r="D27" s="142" t="n">
        <x:v>5</x:v>
      </x:c>
      <x:c r="E27" s="142" t="n">
        <x:v>14</x:v>
      </x:c>
      <x:c r="F27" s="142" t="n">
        <x:v>11</x:v>
      </x:c>
      <x:c r="G27" s="142" t="n">
        <x:v>10</x:v>
      </x:c>
      <x:c r="H27" s="142" t="n">
        <x:v>10</x:v>
      </x:c>
      <x:c r="I27" s="142" t="str">
        <x:v>Set-aside by application under MCL 780.621; Automatic Clean Slate set-aside under MCL 780.621g; Misdemeanor marijuana set-aside under MCL 780.621e; First-offense OWI set-aside by application; Human-trafficking-related set-aside application</x:v>
      </x:c>
      <x:c r="J27" s="142" t="str">
        <x:v>guidance_only; likely_not_eligible; needs_review; not_yet; packet_ready_with_caution</x:v>
      </x:c>
      <x:c r="K27" s="56" t="str">
        <x:v>https://github.com/Roger-LegalEase/legalease-partner-dashboard-clean/blob/2f0ef0403f16e57544ad0bc86b2d1b1cd08861b3/src/lib/rcap-engine/compiled/profiles/MI-michigan.json</x:v>
      </x:c>
    </x:row>
    <x:row r="28">
      <x:c r="A28" s="55" t="str">
        <x:v>Minnesota</x:v>
      </x:c>
      <x:c r="B28" s="142" t="str">
        <x:v>MN</x:v>
      </x:c>
      <x:c r="C28" s="142" t="str">
        <x:v>2026-06-19-source-conversion-1</x:v>
      </x:c>
      <x:c r="D28" s="142" t="n">
        <x:v>6</x:v>
      </x:c>
      <x:c r="E28" s="142" t="n">
        <x:v>36</x:v>
      </x:c>
      <x:c r="F28" s="142" t="n">
        <x:v>9</x:v>
      </x:c>
      <x:c r="G28" s="142" t="n">
        <x:v>9</x:v>
      </x:c>
      <x:c r="H28" s="142" t="n">
        <x:v>9</x:v>
      </x:c>
      <x:c r="I28" s="142" t="str">
        <x:v>Arrest-identification-data destruction when no charges were filed (Minn. Stat. § 299C.11); Automatic mistaken-identity expungement under § 609A.017; Automatic Clean Slate expungement under § 609A.015; Cannabis automatic or board-reviewed expungement under §§ 609A.055–.06; Prosecutor-agreed sealing without a full petition under § 609A.025; Petition-based expungement under §§ 609A.02–.03</x:v>
      </x:c>
      <x:c r="J28" s="142" t="str">
        <x:v>guidance_only; likely_not_eligible; needs_review; not_yet; packet_ready_with_caution</x:v>
      </x:c>
      <x:c r="K28" s="56" t="str">
        <x:v>https://github.com/Roger-LegalEase/legalease-partner-dashboard-clean/blob/2f0ef0403f16e57544ad0bc86b2d1b1cd08861b3/src/lib/rcap-engine/compiled/profiles/MN-minnesota.json</x:v>
      </x:c>
    </x:row>
    <x:row r="29">
      <x:c r="A29" s="55" t="str">
        <x:v>Missouri</x:v>
      </x:c>
      <x:c r="B29" s="142" t="str">
        <x:v>MO</x:v>
      </x:c>
      <x:c r="C29" s="142" t="str">
        <x:v>2026-06-19-source-conversion-1</x:v>
      </x:c>
      <x:c r="D29" s="142" t="n">
        <x:v>7</x:v>
      </x:c>
      <x:c r="E29" s="142" t="n">
        <x:v>19</x:v>
      </x:c>
      <x:c r="F29" s="142" t="n">
        <x:v>11</x:v>
      </x:c>
      <x:c r="G29" s="142" t="n">
        <x:v>11</x:v>
      </x:c>
      <x:c r="H29" s="142" t="n">
        <x:v>11</x:v>
      </x:c>
      <x:c r="I29" s="142" t="str">
        <x:v>General arrest, charge, plea, trial, or conviction expungement under RSMo § 610.140; Closed-record outcome under RSMo § 610.105; False-information or qualifying arrest-record expungement under §§ 610.122–.123; First intoxication-related traffic or boating expungement under § 610.130; Marijuana expungement under Missouri Constitution article XIV; Stolen- or mistaken-identity expungement under § 610.145; First minor-in-possession alcohol expungement under § 311.326</x:v>
      </x:c>
      <x:c r="J29" s="142" t="str">
        <x:v>likely_not_eligible; needs_review; not_yet; packet_ready_with_caution</x:v>
      </x:c>
      <x:c r="K29" s="56" t="str">
        <x:v>https://github.com/Roger-LegalEase/legalease-partner-dashboard-clean/blob/2f0ef0403f16e57544ad0bc86b2d1b1cd08861b3/src/lib/rcap-engine/compiled/profiles/MO-missouri.json</x:v>
      </x:c>
    </x:row>
    <x:row r="30">
      <x:c r="A30" s="55" t="str">
        <x:v>Mississippi</x:v>
      </x:c>
      <x:c r="B30" s="142" t="str">
        <x:v>MS</x:v>
      </x:c>
      <x:c r="C30" s="142" t="str">
        <x:v>2026-06-19-source-conversion-1</x:v>
      </x:c>
      <x:c r="D30" s="142" t="n">
        <x:v>13</x:v>
      </x:c>
      <x:c r="E30" s="142" t="n">
        <x:v>36</x:v>
      </x:c>
      <x:c r="F30" s="142" t="n">
        <x:v>6</x:v>
      </x:c>
      <x:c r="G30" s="142" t="n">
        <x:v>7</x:v>
      </x:c>
      <x:c r="H30" s="142" t="n">
        <x:v>7</x:v>
      </x:c>
      <x:c r="I30" s="142" t="str">
        <x:v>Non-conviction expungement for dismissal, no disposition, or acquittal; Uncharged or unprosecuted misdemeanor after 12 months (§ 99-15-59); First-offender nontraffic misdemeanor conviction expungement (§ 99-19-71(1)); Additional justice- or municipal-court misdemeanor relief; Eligible felony-conviction expungement (§ 99-19-71); Nonadjudication under § 99-15-26; Pretrial intervention or diversion expungement; First-offense controlled-substance conditional-discharge relief; Intervention-court completion expungement; First-offense DUI expungement; DUI nonadjudication; Minor-in-possession / underage-alcohol expungement; Human-trafficking-survivor vacatur and expungement</x:v>
      </x:c>
      <x:c r="J30" s="142" t="str">
        <x:v>guidance_only; likely_not_eligible; needs_more_info; needs_review; not_yet; packet_ready_with_caution</x:v>
      </x:c>
      <x:c r="K30" s="56" t="str">
        <x:v>https://github.com/Roger-LegalEase/legalease-partner-dashboard-clean/blob/2f0ef0403f16e57544ad0bc86b2d1b1cd08861b3/src/lib/rcap-engine/compiled/profiles/MS-mississippi.json</x:v>
      </x:c>
    </x:row>
    <x:row r="31">
      <x:c r="A31" s="55" t="str">
        <x:v>Montana</x:v>
      </x:c>
      <x:c r="B31" s="142" t="str">
        <x:v>MT</x:v>
      </x:c>
      <x:c r="C31" s="142" t="str">
        <x:v>2026-06-19-source-conversion-1</x:v>
      </x:c>
      <x:c r="D31" s="142" t="n">
        <x:v>5</x:v>
      </x:c>
      <x:c r="E31" s="142" t="n">
        <x:v>36</x:v>
      </x:c>
      <x:c r="F31" s="142" t="n">
        <x:v>11</x:v>
      </x:c>
      <x:c r="G31" s="142" t="n">
        <x:v>11</x:v>
      </x:c>
      <x:c r="H31" s="142" t="n">
        <x:v>11</x:v>
      </x:c>
      <x:c r="I31" s="142" t="str">
        <x:v>Misdemeanor-conviction expungement under Mont. Code § 46-18-1104; Non-conviction criminal-history removal through CRISS; Deferred-sentence dismissal or confidentiality route; Marijuana-related redesignation / expungement under MMRTA; DOJ record-removal / update request</x:v>
      </x:c>
      <x:c r="J31" s="142" t="str">
        <x:v>guidance_only; hard_stop; needs_review; not_yet; packet_ready_with_caution</x:v>
      </x:c>
      <x:c r="K31" s="56" t="str">
        <x:v>https://github.com/Roger-LegalEase/legalease-partner-dashboard-clean/blob/2f0ef0403f16e57544ad0bc86b2d1b1cd08861b3/src/lib/rcap-engine/compiled/profiles/MT-montana.json</x:v>
      </x:c>
    </x:row>
    <x:row r="32">
      <x:c r="A32" s="55" t="str">
        <x:v>North Carolina</x:v>
      </x:c>
      <x:c r="B32" s="142" t="str">
        <x:v>NC</x:v>
      </x:c>
      <x:c r="C32" s="142" t="str">
        <x:v>2026-06-19-source-conversion-1</x:v>
      </x:c>
      <x:c r="D32" s="142" t="n">
        <x:v>3</x:v>
      </x:c>
      <x:c r="E32" s="142" t="n">
        <x:v>16</x:v>
      </x:c>
      <x:c r="F32" s="142" t="n">
        <x:v>10</x:v>
      </x:c>
      <x:c r="G32" s="142" t="n">
        <x:v>10</x:v>
      </x:c>
      <x:c r="H32" s="142" t="n">
        <x:v>10</x:v>
      </x:c>
      <x:c r="I32" s="142" t="str">
        <x:v>Dismissal and not-guilty expunction under G.S. 15A-146; Nonviolent conviction expunction under G.S. 15A-145.5; Youthful / pre-Raise-the-Age expunction under G.S. 15A-145.8A and related statutes</x:v>
      </x:c>
      <x:c r="J32" s="142" t="str">
        <x:v>guidance_only; likely_not_eligible; needs_review; not_yet; packet_ready_with_caution</x:v>
      </x:c>
      <x:c r="K32" s="56" t="str">
        <x:v>https://github.com/Roger-LegalEase/legalease-partner-dashboard-clean/blob/2f0ef0403f16e57544ad0bc86b2d1b1cd08861b3/src/lib/rcap-engine/compiled/profiles/NC-north-carolina.json</x:v>
      </x:c>
    </x:row>
    <x:row r="33">
      <x:c r="A33" s="55" t="str">
        <x:v>North Dakota</x:v>
      </x:c>
      <x:c r="B33" s="142" t="str">
        <x:v>ND</x:v>
      </x:c>
      <x:c r="C33" s="142" t="str">
        <x:v>2026-06-19-source-conversion-1</x:v>
      </x:c>
      <x:c r="D33" s="142" t="n">
        <x:v>6</x:v>
      </x:c>
      <x:c r="E33" s="142" t="n">
        <x:v>36</x:v>
      </x:c>
      <x:c r="F33" s="142" t="n">
        <x:v>6</x:v>
      </x:c>
      <x:c r="G33" s="142" t="n">
        <x:v>6</x:v>
      </x:c>
      <x:c r="H33" s="142" t="n">
        <x:v>6</x:v>
      </x:c>
      <x:c r="I33" s="142" t="str">
        <x:v>General conviction sealing under N.D.C.C. chapter 12-60.1; Non-conviction court-record closing under N.D.C.C. § 12-60.1-05; DUI-record sealing under the separate DUI statute; Deferred-imposition dismissal and sealing; First-offense possession sealing; Marijuana-specific summary-pardon or sealing relief</x:v>
      </x:c>
      <x:c r="J33" s="142" t="str">
        <x:v>guidance_only; likely_not_eligible; needs_review; not_yet; packet_ready_with_caution</x:v>
      </x:c>
      <x:c r="K33" s="56" t="str">
        <x:v>https://github.com/Roger-LegalEase/legalease-partner-dashboard-clean/blob/2f0ef0403f16e57544ad0bc86b2d1b1cd08861b3/src/lib/rcap-engine/compiled/profiles/ND-north-dakota.json</x:v>
      </x:c>
    </x:row>
    <x:row r="34">
      <x:c r="A34" s="55" t="str">
        <x:v>Nebraska</x:v>
      </x:c>
      <x:c r="B34" s="142" t="str">
        <x:v>NE</x:v>
      </x:c>
      <x:c r="C34" s="142" t="str">
        <x:v>2026-06-19-source-conversion-1</x:v>
      </x:c>
      <x:c r="D34" s="142" t="n">
        <x:v>8</x:v>
      </x:c>
      <x:c r="E34" s="142" t="n">
        <x:v>20</x:v>
      </x:c>
      <x:c r="F34" s="142" t="n">
        <x:v>11</x:v>
      </x:c>
      <x:c r="G34" s="142" t="n">
        <x:v>11</x:v>
      </x:c>
      <x:c r="H34" s="142" t="n">
        <x:v>11</x:v>
      </x:c>
      <x:c r="I34" s="142" t="str">
        <x:v>Automatic/time-based sealing of non-conviction records under § 29-3523; Conviction set-aside after probation, fine-only sentence, or community service under § 29-2264(2); Conviction set-aside after incarceration of one year or less under § 29-2264(3); Trafficking-survivor set-aside and sealing under § 29-3005; Pardon followed by motion to seal under § 29-3523(5); True expungement for arrest caused by law-enforcement error under § 29-3523(6); Juvenile automatic sealing under §§ 43-2,108.01 to 43-2,108.05; Juvenile petition-based sealing backstop</x:v>
      </x:c>
      <x:c r="J34" s="142" t="str">
        <x:v>guidance_only; likely_not_eligible; needs_more_info; needs_review; not_yet; packet_ready_with_caution</x:v>
      </x:c>
      <x:c r="K34" s="56" t="str">
        <x:v>https://github.com/Roger-LegalEase/legalease-partner-dashboard-clean/blob/2f0ef0403f16e57544ad0bc86b2d1b1cd08861b3/src/lib/rcap-engine/compiled/profiles/NE-nebraska.json</x:v>
      </x:c>
    </x:row>
    <x:row r="35">
      <x:c r="A35" s="55" t="str">
        <x:v>New Hampshire</x:v>
      </x:c>
      <x:c r="B35" s="142" t="str">
        <x:v>NH</x:v>
      </x:c>
      <x:c r="C35" s="142" t="str">
        <x:v>2026-06-19-source-conversion-1</x:v>
      </x:c>
      <x:c r="D35" s="142" t="n">
        <x:v>6</x:v>
      </x:c>
      <x:c r="E35" s="142" t="n">
        <x:v>36</x:v>
      </x:c>
      <x:c r="F35" s="142" t="n">
        <x:v>7</x:v>
      </x:c>
      <x:c r="G35" s="142" t="n">
        <x:v>8</x:v>
      </x:c>
      <x:c r="H35" s="142" t="n">
        <x:v>8</x:v>
      </x:c>
      <x:c r="I35" s="142" t="str">
        <x:v>Annulment after dismissal, acquittal, or nonprosecution; Annulment of a vacated conviction; Conviction annulment under RSA 651:5; Marijuana-possession annulment under RSA 651:5-b; DWI / DUI annulment; Out-of-state, federal, or military record guidance</x:v>
      </x:c>
      <x:c r="J35" s="142" t="str">
        <x:v>guidance_only; likely_not_eligible; needs_review; not_covered_yet; not_yet; packet_ready_with_caution</x:v>
      </x:c>
      <x:c r="K35" s="56" t="str">
        <x:v>https://github.com/Roger-LegalEase/legalease-partner-dashboard-clean/blob/2f0ef0403f16e57544ad0bc86b2d1b1cd08861b3/src/lib/rcap-engine/compiled/profiles/NH-new-hampshire.json</x:v>
      </x:c>
    </x:row>
    <x:row r="36">
      <x:c r="A36" s="55" t="str">
        <x:v>New Jersey</x:v>
      </x:c>
      <x:c r="B36" s="142" t="str">
        <x:v>NJ</x:v>
      </x:c>
      <x:c r="C36" s="142" t="str">
        <x:v>2026-06-19-source-conversion-1</x:v>
      </x:c>
      <x:c r="D36" s="142" t="n">
        <x:v>4</x:v>
      </x:c>
      <x:c r="E36" s="142" t="n">
        <x:v>18</x:v>
      </x:c>
      <x:c r="F36" s="142" t="n">
        <x:v>13</x:v>
      </x:c>
      <x:c r="G36" s="142" t="n">
        <x:v>13</x:v>
      </x:c>
      <x:c r="H36" s="142" t="n">
        <x:v>13</x:v>
      </x:c>
      <x:c r="I36" s="142" t="str">
        <x:v>Regular expungement under N.J.S.A. 2C:52-2 / 2C:52-3; Clean Slate petition under N.J.S.A. 2C:52-5.3; Marijuana / hashish expungement under N.J.S.A. 2C:52-5.1, -5.2, and -6.1; Arrest, dismissal, and other non-conviction expungement under N.J.S.A. 2C:52-6</x:v>
      </x:c>
      <x:c r="J36" s="142" t="str">
        <x:v>guidance_only; likely_not_eligible; needs_review; not_yet; packet_ready_with_caution</x:v>
      </x:c>
      <x:c r="K36" s="56" t="str">
        <x:v>https://github.com/Roger-LegalEase/legalease-partner-dashboard-clean/blob/2f0ef0403f16e57544ad0bc86b2d1b1cd08861b3/src/lib/rcap-engine/compiled/profiles/NJ-new-jersey.json</x:v>
      </x:c>
    </x:row>
    <x:row r="37">
      <x:c r="A37" s="55" t="str">
        <x:v>New Mexico</x:v>
      </x:c>
      <x:c r="B37" s="142" t="str">
        <x:v>NM</x:v>
      </x:c>
      <x:c r="C37" s="142" t="str">
        <x:v>2026-06-19-source-conversion-1</x:v>
      </x:c>
      <x:c r="D37" s="142" t="n">
        <x:v>5</x:v>
      </x:c>
      <x:c r="E37" s="142" t="n">
        <x:v>19</x:v>
      </x:c>
      <x:c r="F37" s="142" t="n">
        <x:v>10</x:v>
      </x:c>
      <x:c r="G37" s="142" t="n">
        <x:v>10</x:v>
      </x:c>
      <x:c r="H37" s="142" t="n">
        <x:v>10</x:v>
      </x:c>
      <x:c r="I37" s="142" t="str">
        <x:v>No conviction / released without conviction; Conviction; Cannabis expungement; Cannabis sentence dismissal / incarcerated-person pathway; DNA sample/profile expungement</x:v>
      </x:c>
      <x:c r="J37" s="142" t="str">
        <x:v>guidance_only; needs_review; not_yet; packet_ready_with_caution</x:v>
      </x:c>
      <x:c r="K37" s="56" t="str">
        <x:v>https://github.com/Roger-LegalEase/legalease-partner-dashboard-clean/blob/2f0ef0403f16e57544ad0bc86b2d1b1cd08861b3/src/lib/rcap-engine/compiled/profiles/NM-new-mexico.json</x:v>
      </x:c>
    </x:row>
    <x:row r="38">
      <x:c r="A38" s="55" t="str">
        <x:v>Nevada</x:v>
      </x:c>
      <x:c r="B38" s="142" t="str">
        <x:v>NV</x:v>
      </x:c>
      <x:c r="C38" s="142" t="str">
        <x:v>2026-06-19-source-conversion-1</x:v>
      </x:c>
      <x:c r="D38" s="142" t="n">
        <x:v>7</x:v>
      </x:c>
      <x:c r="E38" s="142" t="n">
        <x:v>18</x:v>
      </x:c>
      <x:c r="F38" s="142" t="n">
        <x:v>9</x:v>
      </x:c>
      <x:c r="G38" s="142" t="n">
        <x:v>9</x:v>
      </x:c>
      <x:c r="H38" s="142" t="n">
        <x:v>9</x:v>
      </x:c>
      <x:c r="I38" s="142" t="str">
        <x:v>General conviction-record sealing under NRS 179.245; Deferred-judgment dismissal and sealing under NRS 176.211; Probation or specialty-court dismissal / set-aside sealing; Reentry-program sealing under NRS 179.259; Trafficking-victim vacatur and sealing under NRS 179.247; Controlled-substance possession sealing under NRS 453.3365; Non-conviction record sealing</x:v>
      </x:c>
      <x:c r="J38" s="142" t="str">
        <x:v>needs_review; not_yet; packet_ready_with_caution</x:v>
      </x:c>
      <x:c r="K38" s="56" t="str">
        <x:v>https://github.com/Roger-LegalEase/legalease-partner-dashboard-clean/blob/2f0ef0403f16e57544ad0bc86b2d1b1cd08861b3/src/lib/rcap-engine/compiled/profiles/NV-nevada.json</x:v>
      </x:c>
    </x:row>
    <x:row r="39">
      <x:c r="A39" s="55" t="str">
        <x:v>New York</x:v>
      </x:c>
      <x:c r="B39" s="142" t="str">
        <x:v>NY</x:v>
      </x:c>
      <x:c r="C39" s="142" t="str">
        <x:v>2026-06-19-source-conversion-1</x:v>
      </x:c>
      <x:c r="D39" s="142" t="n">
        <x:v>5</x:v>
      </x:c>
      <x:c r="E39" s="142" t="n">
        <x:v>15</x:v>
      </x:c>
      <x:c r="F39" s="142" t="n">
        <x:v>9</x:v>
      </x:c>
      <x:c r="G39" s="142" t="n">
        <x:v>9</x:v>
      </x:c>
      <x:c r="H39" s="142" t="n">
        <x:v>16</x:v>
      </x:c>
      <x:c r="I39" s="142" t="str">
        <x:v>Automatic non-conviction sealing under CPL 160.50 / 160.55; Marijuana-record destruction under the MRTA; Conditional / treatment sealing under CPL 160.58; Discretionary conviction sealing by petition under CPL 160.59; Automatic Clean Slate sealing under CPL 160.57</x:v>
      </x:c>
      <x:c r="J39" s="142" t="str">
        <x:v>guidance_only; likely_not_eligible; needs_review; not_yet; packet_ready_with_caution</x:v>
      </x:c>
      <x:c r="K39" s="56" t="str">
        <x:v>https://github.com/Roger-LegalEase/legalease-partner-dashboard-clean/blob/2f0ef0403f16e57544ad0bc86b2d1b1cd08861b3/src/lib/rcap-engine/compiled/profiles/NY-new-york.json</x:v>
      </x:c>
    </x:row>
    <x:row r="40">
      <x:c r="A40" s="55" t="str">
        <x:v>Ohio</x:v>
      </x:c>
      <x:c r="B40" s="142" t="str">
        <x:v>OH</x:v>
      </x:c>
      <x:c r="C40" s="142" t="str">
        <x:v>2026-06-19-source-conversion-1</x:v>
      </x:c>
      <x:c r="D40" s="142" t="n">
        <x:v>7</x:v>
      </x:c>
      <x:c r="E40" s="142" t="n">
        <x:v>15</x:v>
      </x:c>
      <x:c r="F40" s="142" t="n">
        <x:v>11</x:v>
      </x:c>
      <x:c r="G40" s="142" t="n">
        <x:v>11</x:v>
      </x:c>
      <x:c r="H40" s="142" t="n">
        <x:v>11</x:v>
      </x:c>
      <x:c r="I40" s="142" t="str">
        <x:v>Adult conviction sealing or expungement under Ohio Rev. Code § 2953.32; Adult non-conviction sealing or expungement under § 2953.33; Marijuana / hashish possession expungement under § 2953.321; Human-trafficking-survivor conviction expungement under § 2953.36; Human-trafficking-survivor non-conviction expungement under § 2953.521; Certain firearm / carry conviction expungement under § 2953.35; Juvenile sealing and expungement</x:v>
      </x:c>
      <x:c r="J40" s="142" t="str">
        <x:v>likely_not_eligible; needs_review; not_yet; packet_ready_with_caution</x:v>
      </x:c>
      <x:c r="K40" s="56" t="str">
        <x:v>https://github.com/Roger-LegalEase/legalease-partner-dashboard-clean/blob/2f0ef0403f16e57544ad0bc86b2d1b1cd08861b3/src/lib/rcap-engine/compiled/profiles/OH-ohio.json</x:v>
      </x:c>
    </x:row>
    <x:row r="41">
      <x:c r="A41" s="55" t="str">
        <x:v>Oklahoma</x:v>
      </x:c>
      <x:c r="B41" s="142" t="str">
        <x:v>OK</x:v>
      </x:c>
      <x:c r="C41" s="142" t="str">
        <x:v>2026-06-19-source-conversion-1</x:v>
      </x:c>
      <x:c r="D41" s="142" t="n">
        <x:v>18</x:v>
      </x:c>
      <x:c r="E41" s="142" t="n">
        <x:v>16</x:v>
      </x:c>
      <x:c r="F41" s="142" t="n">
        <x:v>10</x:v>
      </x:c>
      <x:c r="G41" s="142" t="n">
        <x:v>10</x:v>
      </x:c>
      <x:c r="H41" s="142" t="n">
        <x:v>10</x:v>
      </x:c>
      <x:c r="I41" s="142" t="str">
        <x:v>Arrest with no charges filed; Acquittal, dismissal, or other no-conviction expungement; Conviction reversed and case dismissed; DNA factual-innocence expungement; Misdemeanor deferred-dismissal expungement; Nonviolent-felony deferred-dismissal expungement; Up-to-two-felony deferred-dismissal expungement; Fine-only misdemeanor conviction expungement; Other eligible misdemeanor-conviction expungement; One eligible nonviolent-felony conviction expungement; Not-more-than-two eligible felony convictions expungement; Felony reclassified as a misdemeanor; Pardon-based expungement; Deferred-sentence court-record expungement under § 991(c); Clean Slate automatic expungement; Human-trafficking-survivor relief; Victim Protective Order record relief; Juvenile record expungement</x:v>
      </x:c>
      <x:c r="J41" s="142" t="str">
        <x:v>guidance_only; needs_more_info; needs_review; packet_ready_with_caution</x:v>
      </x:c>
      <x:c r="K41" s="56" t="str">
        <x:v>https://github.com/Roger-LegalEase/legalease-partner-dashboard-clean/blob/2f0ef0403f16e57544ad0bc86b2d1b1cd08861b3/src/lib/rcap-engine/compiled/profiles/OK-oklahoma.json</x:v>
      </x:c>
    </x:row>
    <x:row r="42">
      <x:c r="A42" s="55" t="str">
        <x:v>Oregon</x:v>
      </x:c>
      <x:c r="B42" s="142" t="str">
        <x:v>OR</x:v>
      </x:c>
      <x:c r="C42" s="142" t="str">
        <x:v>2026-06-19-source-conversion-1</x:v>
      </x:c>
      <x:c r="D42" s="142" t="n">
        <x:v>3</x:v>
      </x:c>
      <x:c r="E42" s="142" t="n">
        <x:v>16</x:v>
      </x:c>
      <x:c r="F42" s="142" t="n">
        <x:v>9</x:v>
      </x:c>
      <x:c r="G42" s="142" t="n">
        <x:v>9</x:v>
      </x:c>
      <x:c r="H42" s="142" t="n">
        <x:v>9</x:v>
      </x:c>
      <x:c r="I42" s="142" t="str">
        <x:v>Set-aside of arrests or charges without conviction under ORS 137.225(1)(c); Set-aside of eligible convictions under ORS 137.225(1)(a); Marijuana-specific set-aside / redesignation</x:v>
      </x:c>
      <x:c r="J42" s="142" t="str">
        <x:v>likely_not_eligible; needs_review; not_yet; packet_ready_with_caution</x:v>
      </x:c>
      <x:c r="K42" s="56" t="str">
        <x:v>https://github.com/Roger-LegalEase/legalease-partner-dashboard-clean/blob/2f0ef0403f16e57544ad0bc86b2d1b1cd08861b3/src/lib/rcap-engine/compiled/profiles/OR-oregon.json</x:v>
      </x:c>
    </x:row>
    <x:row r="43">
      <x:c r="A43" s="55" t="str">
        <x:v>Pennsylvania</x:v>
      </x:c>
      <x:c r="B43" s="142" t="str">
        <x:v>PA</x:v>
      </x:c>
      <x:c r="C43" s="142" t="str">
        <x:v>2026-06-19-source-conversion-1</x:v>
      </x:c>
      <x:c r="D43" s="142" t="n">
        <x:v>11</x:v>
      </x:c>
      <x:c r="E43" s="142" t="n">
        <x:v>36</x:v>
      </x:c>
      <x:c r="F43" s="142" t="n">
        <x:v>6</x:v>
      </x:c>
      <x:c r="G43" s="142" t="n">
        <x:v>7</x:v>
      </x:c>
      <x:c r="H43" s="142" t="n">
        <x:v>7</x:v>
      </x:c>
      <x:c r="I43" s="142" t="str">
        <x:v>Path A — Non-conviction expungement; Path B — Complete-acquittal / not-guilty expungement; Path C — Summary-conviction expungement; Path D — ARD expungement; Path E — Age-70 expungement; Path F — Deceased-person expungement; Path G — Underage-drinking conviction expungement; Path H — Pardon-based expungement; Path I — Petition for limited access; Path J — Clean Slate automatic limited access; Path K — Human-trafficking vacatur / expungement</x:v>
      </x:c>
      <x:c r="J43" s="142" t="str">
        <x:v>guidance_only; needs_more_info; needs_review; not_yet; packet_ready_with_caution</x:v>
      </x:c>
      <x:c r="K43" s="56" t="str">
        <x:v>https://github.com/Roger-LegalEase/legalease-partner-dashboard-clean/blob/2f0ef0403f16e57544ad0bc86b2d1b1cd08861b3/src/lib/rcap-engine/compiled/profiles/PA-pennsylvania.json</x:v>
      </x:c>
    </x:row>
    <x:row r="44">
      <x:c r="A44" s="55" t="str">
        <x:v>Rhode Island</x:v>
      </x:c>
      <x:c r="B44" s="142" t="str">
        <x:v>RI</x:v>
      </x:c>
      <x:c r="C44" s="142" t="str">
        <x:v>2026-06-19-source-conversion-1</x:v>
      </x:c>
      <x:c r="D44" s="142" t="n">
        <x:v>8</x:v>
      </x:c>
      <x:c r="E44" s="142" t="n">
        <x:v>36</x:v>
      </x:c>
      <x:c r="F44" s="142" t="n">
        <x:v>6</x:v>
      </x:c>
      <x:c r="G44" s="142" t="n">
        <x:v>7</x:v>
      </x:c>
      <x:c r="H44" s="142" t="n">
        <x:v>7</x:v>
      </x:c>
      <x:c r="I44" s="142" t="str">
        <x:v>Path A — First-offender conviction expungement; Path B — Multiple-misdemeanor expungement; Path C — Deferred-sentence expungement; Path D — Non-conviction sealing / expungement; Path E — Filed-complaint relief under § 12-10-12; Path F — Marijuana-possession expungement; Path G — Decriminalized-offense expungement; Path H — Commercial-sexual-activity-related expungement</x:v>
      </x:c>
      <x:c r="J44" s="142" t="str">
        <x:v>guidance_only; likely_not_eligible; needs_more_info; needs_review; not_yet; packet_ready_with_caution</x:v>
      </x:c>
      <x:c r="K44" s="56" t="str">
        <x:v>https://github.com/Roger-LegalEase/legalease-partner-dashboard-clean/blob/2f0ef0403f16e57544ad0bc86b2d1b1cd08861b3/src/lib/rcap-engine/compiled/profiles/RI-rhode-island.json</x:v>
      </x:c>
    </x:row>
    <x:row r="45">
      <x:c r="A45" s="55" t="str">
        <x:v>South Carolina</x:v>
      </x:c>
      <x:c r="B45" s="142" t="str">
        <x:v>SC</x:v>
      </x:c>
      <x:c r="C45" s="142" t="str">
        <x:v>2026-06-19-source-conversion-1</x:v>
      </x:c>
      <x:c r="D45" s="142" t="n">
        <x:v>7</x:v>
      </x:c>
      <x:c r="E45" s="142" t="n">
        <x:v>24</x:v>
      </x:c>
      <x:c r="F45" s="142" t="n">
        <x:v>12</x:v>
      </x:c>
      <x:c r="G45" s="142" t="n">
        <x:v>12</x:v>
      </x:c>
      <x:c r="H45" s="142" t="n">
        <x:v>12</x:v>
      </x:c>
      <x:c r="I45" s="142" t="str">
        <x:v>General Sessions non-conviction expungement; Summary-court non-conviction expungement; Diversion or program-completion expungement; Eligible conviction expungement; Human-trafficking-survivor expungement; Juvenile expungement; Pardon guidance for otherwise ineligible convictions</x:v>
      </x:c>
      <x:c r="J45" s="142" t="str">
        <x:v>guidance_only; needs_review; not_yet; packet_ready_with_caution</x:v>
      </x:c>
      <x:c r="K45" s="56" t="str">
        <x:v>https://github.com/Roger-LegalEase/legalease-partner-dashboard-clean/blob/2f0ef0403f16e57544ad0bc86b2d1b1cd08861b3/src/lib/rcap-engine/compiled/profiles/SC-south-carolina.json</x:v>
      </x:c>
    </x:row>
    <x:row r="46">
      <x:c r="A46" s="55" t="str">
        <x:v>South Dakota</x:v>
      </x:c>
      <x:c r="B46" s="142" t="str">
        <x:v>SD</x:v>
      </x:c>
      <x:c r="C46" s="142" t="str">
        <x:v>2026-06-19-source-conversion-1</x:v>
      </x:c>
      <x:c r="D46" s="142" t="n">
        <x:v>8</x:v>
      </x:c>
      <x:c r="E46" s="142" t="n">
        <x:v>30</x:v>
      </x:c>
      <x:c r="F46" s="142" t="n">
        <x:v>10</x:v>
      </x:c>
      <x:c r="G46" s="142" t="n">
        <x:v>10</x:v>
      </x:c>
      <x:c r="H46" s="142" t="n">
        <x:v>10</x:v>
      </x:c>
      <x:c r="I46" s="142" t="str">
        <x:v>Adult arrest-record expungement under SDCL § 23A-3-27; Diversion expungement; Automatic public-record removal for petty, municipal, and Class 2 misdemeanor cases; Suspended-imposition-of-sentence sealing; Controlled-substance deferred-disposition route; Pardon-based sealing; Juvenile-delinquency sealing; Juvenile-trafficking expungement</x:v>
      </x:c>
      <x:c r="J46" s="142" t="str">
        <x:v>guidance_only; needs_review; packet_ready_with_caution</x:v>
      </x:c>
      <x:c r="K46" s="56" t="str">
        <x:v>https://github.com/Roger-LegalEase/legalease-partner-dashboard-clean/blob/2f0ef0403f16e57544ad0bc86b2d1b1cd08861b3/src/lib/rcap-engine/compiled/profiles/SD-south-dakota.json</x:v>
      </x:c>
    </x:row>
    <x:row r="47">
      <x:c r="A47" s="55" t="str">
        <x:v>Tennessee</x:v>
      </x:c>
      <x:c r="B47" s="142" t="str">
        <x:v>TN</x:v>
      </x:c>
      <x:c r="C47" s="142" t="str">
        <x:v>2026-06-19-source-conversion-1</x:v>
      </x:c>
      <x:c r="D47" s="142" t="n">
        <x:v>4</x:v>
      </x:c>
      <x:c r="E47" s="142" t="n">
        <x:v>16</x:v>
      </x:c>
      <x:c r="F47" s="142" t="n">
        <x:v>9</x:v>
      </x:c>
      <x:c r="G47" s="142" t="n">
        <x:v>9</x:v>
      </x:c>
      <x:c r="H47" s="142" t="n">
        <x:v>9</x:v>
      </x:c>
      <x:c r="I47" s="142" t="str">
        <x:v>Pathway 1 — Free non-conviction expunction under Tenn. Code §§ 40-32-101(a) / 40-32-106; Pathway 2 — Diversion expunction under §§ 40-15-105 / 40-35-313; Pathway 3 — Eligible-conviction expunction under §§ 40-32-101(g) / 40-32-107; Pathway 4 — Two-offense expunction under § 40-32-101(k)</x:v>
      </x:c>
      <x:c r="J47" s="142" t="str">
        <x:v>guidance_only; likely_not_eligible; needs_review; not_yet; packet_ready_with_caution</x:v>
      </x:c>
      <x:c r="K47" s="56" t="str">
        <x:v>https://github.com/Roger-LegalEase/legalease-partner-dashboard-clean/blob/2f0ef0403f16e57544ad0bc86b2d1b1cd08861b3/src/lib/rcap-engine/compiled/profiles/TN-tennessee.json</x:v>
      </x:c>
    </x:row>
    <x:row r="48">
      <x:c r="A48" s="55" t="str">
        <x:v>Texas</x:v>
      </x:c>
      <x:c r="B48" s="142" t="str">
        <x:v>TX</x:v>
      </x:c>
      <x:c r="C48" s="142" t="str">
        <x:v>2026-06-19-source-conversion-1</x:v>
      </x:c>
      <x:c r="D48" s="142" t="n">
        <x:v>9</x:v>
      </x:c>
      <x:c r="E48" s="142" t="n">
        <x:v>17</x:v>
      </x:c>
      <x:c r="F48" s="142" t="n">
        <x:v>11</x:v>
      </x:c>
      <x:c r="G48" s="142" t="n">
        <x:v>11</x:v>
      </x:c>
      <x:c r="H48" s="142" t="n">
        <x:v>11</x:v>
      </x:c>
      <x:c r="I48" s="142" t="str">
        <x:v>Expunction after acquittal / not-guilty disposition (Chapter 55A); Expunction for arrest with no charge filed after the limitations period; Expunction after qualifying dismissal or quash; Expunction after pardon or actual-innocence relief; Expunction after qualifying Class C deferred disposition; Automatic nondisclosure for qualifying nonviolent misdemeanor deferred adjudication (§ 411.072); Petitioned nondisclosure after completed deferred adjudication (§ 411.0725); Petitioned nondisclosure for an eligible conviction (§ 411.0735); First-offense DWI nondisclosure</x:v>
      </x:c>
      <x:c r="J48" s="142" t="str">
        <x:v>guidance_only; needs_review; not_yet; packet_ready_with_caution</x:v>
      </x:c>
      <x:c r="K48" s="56" t="str">
        <x:v>https://github.com/Roger-LegalEase/legalease-partner-dashboard-clean/blob/2f0ef0403f16e57544ad0bc86b2d1b1cd08861b3/src/lib/rcap-engine/compiled/profiles/TX-texas.json</x:v>
      </x:c>
    </x:row>
    <x:row r="49">
      <x:c r="A49" s="55" t="str">
        <x:v>Utah</x:v>
      </x:c>
      <x:c r="B49" s="142" t="str">
        <x:v>UT</x:v>
      </x:c>
      <x:c r="C49" s="142" t="str">
        <x:v>2026-06-19-source-conversion-1</x:v>
      </x:c>
      <x:c r="D49" s="142" t="n">
        <x:v>11</x:v>
      </x:c>
      <x:c r="E49" s="142" t="n">
        <x:v>36</x:v>
      </x:c>
      <x:c r="F49" s="142" t="n">
        <x:v>6</x:v>
      </x:c>
      <x:c r="G49" s="142" t="n">
        <x:v>6</x:v>
      </x:c>
      <x:c r="H49" s="142" t="n">
        <x:v>6</x:v>
      </x:c>
      <x:c r="I49" s="142" t="str">
        <x:v>Path A — Automatic Clean Slate expungement; Path B — Automatic expungement after acquittal or dismissal with prejudice; Path C — Clean Slate eligible convictions and plea-in-abeyance dismissals; Path D — Petition-based expungement with a BCI Certificate of Eligibility; Path E — Petition-based non-conviction expungement; Path F — Petition-based conviction expungement; Path I — Traffic-offense expungement or deletion; Path J — Cannabis-possession petition without a BCI certificate; Path K — Pardon-based expungement; Path L — Vacatur / human-trafficking-related expungement; Path M — Juvenile expungement</x:v>
      </x:c>
      <x:c r="J49" s="142" t="str">
        <x:v>guidance_only; likely_not_eligible; needs_review; not_yet; packet_ready_with_caution</x:v>
      </x:c>
      <x:c r="K49" s="56" t="str">
        <x:v>https://github.com/Roger-LegalEase/legalease-partner-dashboard-clean/blob/2f0ef0403f16e57544ad0bc86b2d1b1cd08861b3/src/lib/rcap-engine/compiled/profiles/UT-utah.json</x:v>
      </x:c>
    </x:row>
    <x:row r="50">
      <x:c r="A50" s="55" t="str">
        <x:v>Virginia</x:v>
      </x:c>
      <x:c r="B50" s="142" t="str">
        <x:v>VA</x:v>
      </x:c>
      <x:c r="C50" s="142" t="str">
        <x:v>2026-06-19-source-conversion-1</x:v>
      </x:c>
      <x:c r="D50" s="142" t="n">
        <x:v>3</x:v>
      </x:c>
      <x:c r="E50" s="142" t="n">
        <x:v>15</x:v>
      </x:c>
      <x:c r="F50" s="142" t="n">
        <x:v>10</x:v>
      </x:c>
      <x:c r="G50" s="142" t="n">
        <x:v>11</x:v>
      </x:c>
      <x:c r="H50" s="142" t="n">
        <x:v>11</x:v>
      </x:c>
      <x:c r="I50" s="142" t="str">
        <x:v>Regime 1 — Expungement (§ 19.2-392.2), available now; Automatic sealing (§ 19.2-392.7) — no filing; Petition-based sealing (§ 19.2-392.12 / .12:1)</x:v>
      </x:c>
      <x:c r="J50" s="142" t="str">
        <x:v>guidance_only; likely_not_eligible; needs_review; not_yet; packet_ready_with_caution</x:v>
      </x:c>
      <x:c r="K50" s="56" t="str">
        <x:v>https://github.com/Roger-LegalEase/legalease-partner-dashboard-clean/blob/2f0ef0403f16e57544ad0bc86b2d1b1cd08861b3/src/lib/rcap-engine/compiled/profiles/VA-virginia.json</x:v>
      </x:c>
    </x:row>
    <x:row r="51">
      <x:c r="A51" s="55" t="str">
        <x:v>Vermont</x:v>
      </x:c>
      <x:c r="B51" s="142" t="str">
        <x:v>VT</x:v>
      </x:c>
      <x:c r="C51" s="142" t="str">
        <x:v>2026-06-19-source-conversion-1</x:v>
      </x:c>
      <x:c r="D51" s="142" t="n">
        <x:v>8</x:v>
      </x:c>
      <x:c r="E51" s="142" t="n">
        <x:v>34</x:v>
      </x:c>
      <x:c r="F51" s="142" t="n">
        <x:v>11</x:v>
      </x:c>
      <x:c r="G51" s="142" t="n">
        <x:v>11</x:v>
      </x:c>
      <x:c r="H51" s="142" t="n">
        <x:v>11</x:v>
      </x:c>
      <x:c r="I51" s="142" t="str">
        <x:v>Adult conviction expungement — narrow statutory route; Adult misdemeanor-conviction sealing; Adult felony-conviction sealing; DUI sealing; Non-conviction sealing; Young-adult sealing for offenses committed at ages 18–21; Offense-before-age-25 sealing under 33 V.S.A. § 5119(g); Juvenile sealing</x:v>
      </x:c>
      <x:c r="J51" s="142" t="str">
        <x:v>guidance_only; likely_not_eligible; needs_review; not_yet; packet_ready_with_caution</x:v>
      </x:c>
      <x:c r="K51" s="56" t="str">
        <x:v>https://github.com/Roger-LegalEase/legalease-partner-dashboard-clean/blob/2f0ef0403f16e57544ad0bc86b2d1b1cd08861b3/src/lib/rcap-engine/compiled/profiles/VT-vermont.json</x:v>
      </x:c>
    </x:row>
    <x:row r="52">
      <x:c r="A52" s="55" t="str">
        <x:v>Washington</x:v>
      </x:c>
      <x:c r="B52" s="142" t="str">
        <x:v>WA</x:v>
      </x:c>
      <x:c r="C52" s="142" t="str">
        <x:v>2026-06-19-source-conversion-1</x:v>
      </x:c>
      <x:c r="D52" s="142" t="n">
        <x:v>7</x:v>
      </x:c>
      <x:c r="E52" s="142" t="n">
        <x:v>34</x:v>
      </x:c>
      <x:c r="F52" s="142" t="n">
        <x:v>10</x:v>
      </x:c>
      <x:c r="G52" s="142" t="n">
        <x:v>11</x:v>
      </x:c>
      <x:c r="H52" s="142" t="n">
        <x:v>11</x:v>
      </x:c>
      <x:c r="I52" s="142" t="str">
        <x:v>Adult misdemeanor / gross-misdemeanor vacation under RCW 9.96.060; Adult felony vacation under RCW 9.94A.640; Non-conviction record deletion under RCW 10.97.060; Blake drug-possession vacation and refund route; Misdemeanor cannabis-conviction vacation; Victim / survivor conviction-vacation route; Juvenile-record sealing under RCW 13.50.260</x:v>
      </x:c>
      <x:c r="J52" s="142" t="str">
        <x:v>guidance_only; likely_not_eligible; needs_review; packet_ready_with_caution</x:v>
      </x:c>
      <x:c r="K52" s="56" t="str">
        <x:v>https://github.com/Roger-LegalEase/legalease-partner-dashboard-clean/blob/2f0ef0403f16e57544ad0bc86b2d1b1cd08861b3/src/lib/rcap-engine/compiled/profiles/WA-washington.json</x:v>
      </x:c>
    </x:row>
    <x:row r="53">
      <x:c r="A53" s="55" t="str">
        <x:v>Wisconsin</x:v>
      </x:c>
      <x:c r="B53" s="142" t="str">
        <x:v>WI</x:v>
      </x:c>
      <x:c r="C53" s="142" t="str">
        <x:v>2026-06-19-source-conversion-1</x:v>
      </x:c>
      <x:c r="D53" s="142" t="n">
        <x:v>5</x:v>
      </x:c>
      <x:c r="E53" s="142" t="n">
        <x:v>23</x:v>
      </x:c>
      <x:c r="F53" s="142" t="n">
        <x:v>10</x:v>
      </x:c>
      <x:c r="G53" s="142" t="n">
        <x:v>10</x:v>
      </x:c>
      <x:c r="H53" s="142" t="n">
        <x:v>12</x:v>
      </x:c>
      <x:c r="I53" s="142" t="str">
        <x:v>Adult conviction expungement under Wis. Stat. § 973.015; Adult non-conviction / arrest-only record correction or removal; Human-trafficking / prostitution relief under § 973.015(2m); Juvenile-adjudication expungement under Wis. Stat. § 938.355(4m); Executive-pardon guidance</x:v>
      </x:c>
      <x:c r="J53" s="142" t="str">
        <x:v>guidance_only; needs_review; packet_ready_with_caution</x:v>
      </x:c>
      <x:c r="K53" s="56" t="str">
        <x:v>https://github.com/Roger-LegalEase/legalease-partner-dashboard-clean/blob/2f0ef0403f16e57544ad0bc86b2d1b1cd08861b3/src/lib/rcap-engine/compiled/profiles/WI-wisconsin.json</x:v>
      </x:c>
    </x:row>
    <x:row r="54">
      <x:c r="A54" s="55" t="str">
        <x:v>West Virginia</x:v>
      </x:c>
      <x:c r="B54" s="142" t="str">
        <x:v>WV</x:v>
      </x:c>
      <x:c r="C54" s="142" t="str">
        <x:v>2026-06-19-source-conversion-1</x:v>
      </x:c>
      <x:c r="D54" s="142" t="n">
        <x:v>7</x:v>
      </x:c>
      <x:c r="E54" s="142" t="n">
        <x:v>20</x:v>
      </x:c>
      <x:c r="F54" s="142" t="n">
        <x:v>11</x:v>
      </x:c>
      <x:c r="G54" s="142" t="n">
        <x:v>11</x:v>
      </x:c>
      <x:c r="H54" s="142" t="n">
        <x:v>11</x:v>
      </x:c>
      <x:c r="I54" s="142" t="str">
        <x:v>No-conviction expungement for acquittal, dismissal, diversion, or deferred adjudication; Eligible conviction expungement under W. Va. Code § 61-11-26; Accelerated treatment / recovery / job-readiness expungement under § 61-11-26a; First-offense drug-possession conditional-discharge relief; Pardon-based expungement; Sex-trafficking-victim vacatur and expungement; Juvenile-record relief</x:v>
      </x:c>
      <x:c r="J54" s="142" t="str">
        <x:v>needs_review; not_yet; packet_ready_with_caution</x:v>
      </x:c>
      <x:c r="K54" s="56" t="str">
        <x:v>https://github.com/Roger-LegalEase/legalease-partner-dashboard-clean/blob/2f0ef0403f16e57544ad0bc86b2d1b1cd08861b3/src/lib/rcap-engine/compiled/profiles/WV-west-virginia.json</x:v>
      </x:c>
    </x:row>
    <x:row r="55">
      <x:c r="A55" s="57" t="str">
        <x:v>Wyoming</x:v>
      </x:c>
      <x:c r="B55" s="143" t="str">
        <x:v>WY</x:v>
      </x:c>
      <x:c r="C55" s="143" t="str">
        <x:v>2026-06-19-source-conversion-1</x:v>
      </x:c>
      <x:c r="D55" s="143" t="n">
        <x:v>5</x:v>
      </x:c>
      <x:c r="E55" s="143" t="n">
        <x:v>25</x:v>
      </x:c>
      <x:c r="F55" s="143" t="n">
        <x:v>12</x:v>
      </x:c>
      <x:c r="G55" s="143" t="n">
        <x:v>12</x:v>
      </x:c>
      <x:c r="H55" s="143" t="n">
        <x:v>12</x:v>
      </x:c>
      <x:c r="I55" s="143" t="str">
        <x:v>Adult non-conviction expungement - W.S. 7-13-1401; Misdemeanor conviction expungement - W.S. 7-13-1501; Felony conviction expungement - W.S. 7-13-1502; Human-trafficking victim vacatur - W.S. 6-2-708; Juvenile / minor expungement - W.S. 14-6-241</x:v>
      </x:c>
      <x:c r="J55" s="143" t="str">
        <x:v>guidance_only; likely_not_eligible; needs_review; not_yet; packet_ready_with_caution</x:v>
      </x:c>
      <x:c r="K55" s="58" t="str">
        <x:v>https://github.com/Roger-LegalEase/legalease-partner-dashboard-clean/blob/2f0ef0403f16e57544ad0bc86b2d1b1cd08861b3/src/lib/rcap-engine/compiled/profiles/WY-wyoming.json</x:v>
      </x:c>
    </x:row>
  </x:sheetData>
  <x:mergeCells>
    <x:mergeCell ref="A1:K1"/>
    <x:mergeCell ref="A2:K2"/>
  </x:mergeCells>
  <x:conditionalFormatting sqref="F5:F55">
    <x:cfRule type="dataBar" priority="1">
      <x:dataBar>
        <x:cfvo type="min"/>
        <x:cfvo type="max"/>
        <x:color rgb="FFF04800"/>
      </x:dataBar>
      <x:extLst>
        <x:ext xmlns:x14="http://schemas.microsoft.com/office/spreadsheetml/2009/9/main" uri="{B025F937-C7B1-47D3-B67F-A62EFF666E3E}">
          <x14:id>{8F71232B-D5AE-AAA7-A4B2-DE8BC9E2BE92}</x14:id>
        </x:ext>
      </x:extLst>
    </x:cfRule>
  </x:conditionalFormatting>
  <x:pageMargins left="0.7" right="0.7" top="0.75" bottom="0.75" header="0.3" footer="0.3"/>
  <x:tableParts count="1">
    <x:tablePart xmlns:r="http://schemas.openxmlformats.org/officeDocument/2006/relationships" r:id="R19fabda1fe13465b"/>
  </x:tableParts>
  <x:extLst>
    <x:ext xmlns:x14="http://schemas.microsoft.com/office/spreadsheetml/2009/9/main" xmlns:xm="http://schemas.microsoft.com/office/excel/2006/main" uri="{78C0D931-6437-407d-A8EE-F0AAD7539E65}">
      <x14:conditionalFormattings>
        <x14:conditionalFormatting>
          <x14:cfRule type="dataBar" priority="1" id="{8F71232B-D5AE-AAA7-A4B2-DE8BC9E2BE92}">
            <x14:dataBar gradient="1">
              <x14:cfvo type="min"/>
              <x14:cfvo type="max"/>
              <x14:fillColor rgb="FFF04800"/>
            </x14:dataBar>
          </x14:cfRule>
          <xm:sqref>F5:F55</xm:sqref>
        </x14:conditionalFormatting>
      </x14:conditionalFormattings>
    </x:ext>
  </x:extLst>
</x:worksheet>
</file>

<file path=xl/worksheets/sheet3.xml><?xml version="1.0" encoding="utf-8"?>
<x:worksheet xmlns:x="http://schemas.openxmlformats.org/spreadsheetml/2006/main">
  <x:sheetFormatPr defaultRowHeight="15"/>
  <x:cols>
    <x:col min="1" max="1" width="22" hidden="0" customWidth="1"/>
    <x:col min="2" max="2" width="7" hidden="0" customWidth="1"/>
    <x:col min="3" max="3" width="8" hidden="0" customWidth="1"/>
    <x:col min="4" max="4" width="22" hidden="0" customWidth="1"/>
    <x:col min="5" max="5" width="52" hidden="0" customWidth="1"/>
    <x:col min="6" max="6" width="16" hidden="0" customWidth="1"/>
    <x:col min="7" max="7" width="48" hidden="0" customWidth="1"/>
    <x:col min="8" max="8" width="54" hidden="0" customWidth="1"/>
    <x:col min="9" max="9" width="30" hidden="0" customWidth="1"/>
    <x:col min="10" max="10" width="40" hidden="0" customWidth="1"/>
    <x:col min="11" max="11" width="20" hidden="0" customWidth="1"/>
    <x:col min="12" max="12" width="28" hidden="0" customWidth="1"/>
    <x:col min="13" max="13" width="55" hidden="0" customWidth="1"/>
  </x:cols>
  <x:sheetData>
    <x:row r="1" ht="32" customHeight="1">
      <x:c r="A1" s="5" t="str">
        <x:v>Normalized Free-Check Question Bank</x:v>
      </x:c>
    </x:row>
    <x:row r="2" ht="36" customHeight="1">
      <x:c r="A2" s="13" t="str">
        <x:v>Questions are ordered within each state. State-specific questions are conditional and should appear only while their mapped route remains viable.</x:v>
      </x:c>
    </x:row>
    <x:row r="4">
      <x:c r="A4" s="109" t="str">
        <x:v>State</x:v>
      </x:c>
      <x:c r="B4" s="131" t="str">
        <x:v>Code</x:v>
      </x:c>
      <x:c r="C4" s="131" t="str">
        <x:v>Order</x:v>
      </x:c>
      <x:c r="D4" s="131" t="str">
        <x:v>Category</x:v>
      </x:c>
      <x:c r="E4" s="131" t="str">
        <x:v>Question</x:v>
      </x:c>
      <x:c r="F4" s="131" t="str">
        <x:v>Input Type</x:v>
      </x:c>
      <x:c r="G4" s="131" t="str">
        <x:v>Ask Condition</x:v>
      </x:c>
      <x:c r="H4" s="131" t="str">
        <x:v>Logic / Answer Effect</x:v>
      </x:c>
      <x:c r="I4" s="131" t="str">
        <x:v>Route Scope</x:v>
      </x:c>
      <x:c r="J4" s="131" t="str">
        <x:v>Exact Detail Deferred</x:v>
      </x:c>
      <x:c r="K4" s="131" t="str">
        <x:v>Source Stage</x:v>
      </x:c>
      <x:c r="L4" s="131" t="str">
        <x:v>Source Type</x:v>
      </x:c>
      <x:c r="M4" s="110" t="str">
        <x:v>Profile URL</x:v>
      </x:c>
    </x:row>
    <x:row r="5">
      <x:c r="A5" s="53" t="str">
        <x:v>Alaska</x:v>
      </x:c>
      <x:c r="B5" s="141" t="str">
        <x:v>AK</x:v>
      </x:c>
      <x:c r="C5" s="141" t="n">
        <x:v>1</x:v>
      </x:c>
      <x:c r="D5" s="141" t="str">
        <x:v>Scope</x:v>
      </x:c>
      <x:c r="E5" s="141" t="str">
        <x:v>Are you asking about your own record?</x:v>
      </x:c>
      <x:c r="F5" s="141" t="str">
        <x:v>single_choice</x:v>
      </x:c>
      <x:c r="G5" s="141" t="str">
        <x:v>Ask in every free check</x:v>
      </x:c>
      <x:c r="H5" s="141" t="str">
        <x:v>No → stop or redirect; Yes → continue.</x:v>
      </x:c>
      <x:c r="I5" s="141" t="str">
        <x:v>All routes</x:v>
      </x:c>
      <x:c r="J5" s="141" t="str">
        <x:v>Exact details, if needed, are collected after account creation in packet completion.</x:v>
      </x:c>
      <x:c r="K5" s="141" t="str">
        <x:v>scope</x:v>
      </x:c>
      <x:c r="L5" s="141" t="str">
        <x:v>shared_scope_boundary</x:v>
      </x:c>
      <x:c r="M5" s="54" t="str">
        <x:v>https://github.com/Roger-LegalEase/legalease-partner-dashboard-clean/blob/2f0ef0403f16e57544ad0bc86b2d1b1cd08861b3/src/lib/rcap-engine/compiled/profiles/AK-alaska.json</x:v>
      </x:c>
    </x:row>
    <x:row r="6">
      <x:c r="A6" s="55" t="str">
        <x:v>Alaska</x:v>
      </x:c>
      <x:c r="B6" s="142" t="str">
        <x:v>AK</x:v>
      </x:c>
      <x:c r="C6" s="142" t="n">
        <x:v>2</x:v>
      </x:c>
      <x:c r="D6" s="142" t="str">
        <x:v>Scope</x:v>
      </x:c>
      <x:c r="E6" s="142" t="str">
        <x:v>Is this a state or local matter from Alaska, rather than a federal matter?</x:v>
      </x:c>
      <x:c r="F6" s="142" t="str">
        <x:v>single_choice</x:v>
      </x:c>
      <x:c r="G6" s="142" t="str">
        <x:v>Ask in every free check</x:v>
      </x:c>
      <x:c r="H6" s="142" t="str">
        <x:v>Federal or wrong-state matter → outside this state flow; state/local matter → continue.</x:v>
      </x:c>
      <x:c r="I6" s="142" t="str">
        <x:v>All routes</x:v>
      </x:c>
      <x:c r="J6" s="142" t="str">
        <x:v>Exact details, if needed, are collected after account creation in packet completion.</x:v>
      </x:c>
      <x:c r="K6" s="142" t="str">
        <x:v>scope</x:v>
      </x:c>
      <x:c r="L6" s="142" t="str">
        <x:v>shared_scope_boundary</x:v>
      </x:c>
      <x:c r="M6" s="56" t="str">
        <x:v>https://github.com/Roger-LegalEase/legalease-partner-dashboard-clean/blob/2f0ef0403f16e57544ad0bc86b2d1b1cd08861b3/src/lib/rcap-engine/compiled/profiles/AK-alaska.json</x:v>
      </x:c>
    </x:row>
    <x:row r="7">
      <x:c r="A7" s="55" t="str">
        <x:v>Alaska</x:v>
      </x:c>
      <x:c r="B7" s="142" t="str">
        <x:v>AK</x:v>
      </x:c>
      <x:c r="C7" s="142" t="n">
        <x:v>3</x:v>
      </x:c>
      <x:c r="D7" s="142" t="str">
        <x:v>Route identification</x:v>
      </x:c>
      <x:c r="E7" s="142" t="str">
        <x:v>How did the Alaska case or record end?</x:v>
      </x:c>
      <x:c r="F7" s="142" t="str">
        <x:v>single_choice</x:v>
      </x:c>
      <x:c r="G7" s="142" t="str">
        <x:v>Ask after scope, before route-specific questions</x:v>
      </x:c>
      <x:c r="H7" s="142" t="str">
        <x:v>Splits nonconviction, conviction, diversion/deferred, juvenile, automatic, pardon, correction, and other route families.</x:v>
      </x:c>
      <x:c r="I7" s="142" t="str">
        <x:v>All routes</x:v>
      </x:c>
      <x:c r="J7" s="142" t="str">
        <x:v>Exact details, if needed, are collected after account creation in packet completion.</x:v>
      </x:c>
      <x:c r="K7" s="142" t="str">
        <x:v>pathway_routing</x:v>
      </x:c>
      <x:c r="L7" s="142" t="str">
        <x:v>state_case_outcome_rules</x:v>
      </x:c>
      <x:c r="M7" s="56" t="str">
        <x:v>https://github.com/Roger-LegalEase/legalease-partner-dashboard-clean/blob/2f0ef0403f16e57544ad0bc86b2d1b1cd08861b3/src/lib/rcap-engine/compiled/profiles/AK-alaska.json</x:v>
      </x:c>
    </x:row>
    <x:row r="8">
      <x:c r="A8" s="55" t="str">
        <x:v>Alaska</x:v>
      </x:c>
      <x:c r="B8" s="142" t="str">
        <x:v>AK</x:v>
      </x:c>
      <x:c r="C8" s="142" t="n">
        <x:v>4</x:v>
      </x:c>
      <x:c r="D8" s="142" t="str">
        <x:v>Route identification</x:v>
      </x:c>
      <x:c r="E8" s="142" t="str">
        <x:v>What level or type was the charge?</x:v>
      </x:c>
      <x:c r="F8" s="142" t="str">
        <x:v>single_choice</x:v>
      </x:c>
      <x:c r="G8" s="142" t="str">
        <x:v>Ask after scope, before route-specific questions</x:v>
      </x:c>
      <x:c r="H8" s="142" t="str">
        <x:v>Narrows offense-level routes, waiting-period bands, and obvious exclusions.</x:v>
      </x:c>
      <x:c r="I8" s="142" t="str">
        <x:v>All routes</x:v>
      </x:c>
      <x:c r="J8" s="142" t="str">
        <x:v>Exact details, if needed, are collected after account creation in packet completion.</x:v>
      </x:c>
      <x:c r="K8" s="142" t="str">
        <x:v>pathway_routing</x:v>
      </x:c>
      <x:c r="L8" s="142" t="str">
        <x:v>state_pathway_and_exclusion_rules</x:v>
      </x:c>
      <x:c r="M8" s="56" t="str">
        <x:v>https://github.com/Roger-LegalEase/legalease-partner-dashboard-clean/blob/2f0ef0403f16e57544ad0bc86b2d1b1cd08861b3/src/lib/rcap-engine/compiled/profiles/AK-alaska.json</x:v>
      </x:c>
    </x:row>
    <x:row r="9">
      <x:c r="A9" s="55" t="str">
        <x:v>Alaska</x:v>
      </x:c>
      <x:c r="B9" s="142" t="str">
        <x:v>AK</x:v>
      </x:c>
      <x:c r="C9" s="142" t="n">
        <x:v>5</x:v>
      </x:c>
      <x:c r="D9" s="142" t="str">
        <x:v>Route identification</x:v>
      </x:c>
      <x:c r="E9" s="142" t="str">
        <x:v>Do any of these Alaska descriptions sound close to your situation?</x:v>
      </x:c>
      <x:c r="F9" s="142" t="str">
        <x:v>single_choice</x:v>
      </x:c>
      <x:c r="G9" s="142" t="str">
        <x:v>Ask after scope, before route-specific questions</x:v>
      </x:c>
      <x:c r="H9" s="142" t="str">
        <x:v>Lets the participant select a likely remedy or “not sure”; selection prunes unrelated route-specific questions.</x:v>
      </x:c>
      <x:c r="I9" s="142" t="str">
        <x:v>All routes</x:v>
      </x:c>
      <x:c r="J9" s="142" t="str">
        <x:v>Exact details, if needed, are collected after account creation in packet completion.</x:v>
      </x:c>
      <x:c r="K9" s="142" t="str">
        <x:v>pathway_routing</x:v>
      </x:c>
      <x:c r="L9" s="142" t="str">
        <x:v>curated_state_pathway_catalog_from_reference</x:v>
      </x:c>
      <x:c r="M9" s="56" t="str">
        <x:v>https://github.com/Roger-LegalEase/legalease-partner-dashboard-clean/blob/2f0ef0403f16e57544ad0bc86b2d1b1cd08861b3/src/lib/rcap-engine/compiled/profiles/AK-alaska.json</x:v>
      </x:c>
    </x:row>
    <x:row r="10">
      <x:c r="A10" s="55" t="str">
        <x:v>Alaska</x:v>
      </x:c>
      <x:c r="B10" s="142" t="str">
        <x:v>AK</x:v>
      </x:c>
      <x:c r="C10" s="142" t="n">
        <x:v>6</x:v>
      </x:c>
      <x:c r="D10" s="142" t="str">
        <x:v>Route identification</x:v>
      </x:c>
      <x:c r="E10" s="142" t="str">
        <x:v>How old were you when the offense or case began?</x:v>
      </x:c>
      <x:c r="F10" s="142" t="str">
        <x:v>number_or_range</x:v>
      </x:c>
      <x:c r="G10" s="142" t="str">
        <x:v>Ask only when adult-versus-juvenile or youthful-offender treatment may change the route.</x:v>
      </x:c>
      <x:c r="H10" s="142" t="str">
        <x:v>Routes to juvenile/youthful-offender logic or keeps the adult route.</x:v>
      </x:c>
      <x:c r="I10" s="142" t="str">
        <x:v>Age-sensitive routes</x:v>
      </x:c>
      <x:c r="J10" s="142" t="str">
        <x:v>Exact details, if needed, are collected after account creation in packet completion.</x:v>
      </x:c>
      <x:c r="K10" s="142" t="str">
        <x:v>pathway_routing</x:v>
      </x:c>
      <x:c r="L10" s="142" t="str">
        <x:v>derived_from_state_rule_fields</x:v>
      </x:c>
      <x:c r="M10" s="56" t="str">
        <x:v>https://github.com/Roger-LegalEase/legalease-partner-dashboard-clean/blob/2f0ef0403f16e57544ad0bc86b2d1b1cd08861b3/src/lib/rcap-engine/compiled/profiles/AK-alaska.json</x:v>
      </x:c>
    </x:row>
    <x:row r="11">
      <x:c r="A11" s="55" t="str">
        <x:v>Alaska</x:v>
      </x:c>
      <x:c r="B11" s="142" t="str">
        <x:v>AK</x:v>
      </x:c>
      <x:c r="C11" s="142" t="n">
        <x:v>7</x:v>
      </x:c>
      <x:c r="D11" s="142" t="str">
        <x:v>Special pathway</x:v>
      </x:c>
      <x:c r="E11" s="142" t="str">
        <x:v>Have you received a pardon, certificate of rehabilitation, or similar executive relief for this conviction?</x:v>
      </x:c>
      <x:c r="F11" s="142" t="str">
        <x:v>yes_no_unsure</x:v>
      </x:c>
      <x:c r="G11" s="142" t="str">
        <x:v>Ask only while a pardon or executive-relief route remains viable.</x:v>
      </x:c>
      <x:c r="H11" s="142" t="str">
        <x:v>Yes may open a pardon-based route; No preserves ordinary routes; Not sure defers proof.</x:v>
      </x:c>
      <x:c r="I11" s="142" t="str">
        <x:v>Pardon / executive-relief routes</x:v>
      </x:c>
      <x:c r="J11" s="142" t="str">
        <x:v>Exact details, if needed, are collected after account creation in packet completion.</x:v>
      </x:c>
      <x:c r="K11" s="142" t="str">
        <x:v>special_pathways</x:v>
      </x:c>
      <x:c r="L11" s="142" t="str">
        <x:v>derived_from_state_rule_fields</x:v>
      </x:c>
      <x:c r="M11" s="56" t="str">
        <x:v>https://github.com/Roger-LegalEase/legalease-partner-dashboard-clean/blob/2f0ef0403f16e57544ad0bc86b2d1b1cd08861b3/src/lib/rcap-engine/compiled/profiles/AK-alaska.json</x:v>
      </x:c>
    </x:row>
    <x:row r="12">
      <x:c r="A12" s="55" t="str">
        <x:v>Alaska</x:v>
      </x:c>
      <x:c r="B12" s="142" t="str">
        <x:v>AK</x:v>
      </x:c>
      <x:c r="C12" s="142" t="n">
        <x:v>8</x:v>
      </x:c>
      <x:c r="D12" s="142" t="str">
        <x:v>Special pathway</x:v>
      </x:c>
      <x:c r="E12" s="142" t="str">
        <x:v>Was the arrest or record caused by mistaken identity, identity theft, or law-enforcement error?</x:v>
      </x:c>
      <x:c r="F12" s="142" t="str">
        <x:v>yes_no_unsure</x:v>
      </x:c>
      <x:c r="G12" s="142" t="str">
        <x:v>Ask only while an identity-correction route remains viable.</x:v>
      </x:c>
      <x:c r="H12" s="142" t="str">
        <x:v>Yes routes to correction/sealing logic distinct from ordinary conviction relief.</x:v>
      </x:c>
      <x:c r="I12" s="142" t="str">
        <x:v>Mistaken-identity / correction routes</x:v>
      </x:c>
      <x:c r="J12" s="142" t="str">
        <x:v>Exact details, if needed, are collected after account creation in packet completion.</x:v>
      </x:c>
      <x:c r="K12" s="142" t="str">
        <x:v>special_pathways</x:v>
      </x:c>
      <x:c r="L12" s="142" t="str">
        <x:v>derived_from_state_rule_fields</x:v>
      </x:c>
      <x:c r="M12" s="56" t="str">
        <x:v>https://github.com/Roger-LegalEase/legalease-partner-dashboard-clean/blob/2f0ef0403f16e57544ad0bc86b2d1b1cd08861b3/src/lib/rcap-engine/compiled/profiles/AK-alaska.json</x:v>
      </x:c>
    </x:row>
    <x:row r="13">
      <x:c r="A13" s="55" t="str">
        <x:v>Alaska</x:v>
      </x:c>
      <x:c r="B13" s="142" t="str">
        <x:v>AK</x:v>
      </x:c>
      <x:c r="C13" s="142" t="n">
        <x:v>9</x:v>
      </x:c>
      <x:c r="D13" s="142" t="str">
        <x:v>Timing / completion</x:v>
      </x:c>
      <x:c r="E13" s="142" t="str">
        <x:v>Have you completed everything the court ordered in this case?</x:v>
      </x:c>
      <x:c r="F13" s="142" t="str">
        <x:v>single_choice</x:v>
      </x:c>
      <x:c r="G13" s="142" t="str">
        <x:v>Ask only when a viable route depends on sentence, supervision, program, restitution, or financial completion.</x:v>
      </x:c>
      <x:c r="H13" s="142" t="str">
        <x:v>No → usually not yet or needs more information; Yes → continue; Not sure → defer exact proof.</x:v>
      </x:c>
      <x:c r="I13" s="142" t="str">
        <x:v>Completion-dependent routes</x:v>
      </x:c>
      <x:c r="J13" s="142" t="str">
        <x:v>Exact details, if needed, are collected after account creation in packet completion.</x:v>
      </x:c>
      <x:c r="K13" s="142" t="str">
        <x:v>timing_and_completion</x:v>
      </x:c>
      <x:c r="L13" s="142" t="str">
        <x:v>normalized_free_check</x:v>
      </x:c>
      <x:c r="M13" s="56" t="str">
        <x:v>https://github.com/Roger-LegalEase/legalease-partner-dashboard-clean/blob/2f0ef0403f16e57544ad0bc86b2d1b1cd08861b3/src/lib/rcap-engine/compiled/profiles/AK-alaska.json</x:v>
      </x:c>
    </x:row>
    <x:row r="14">
      <x:c r="A14" s="55" t="str">
        <x:v>Alaska</x:v>
      </x:c>
      <x:c r="B14" s="142" t="str">
        <x:v>AK</x:v>
      </x:c>
      <x:c r="C14" s="142" t="n">
        <x:v>10</x:v>
      </x:c>
      <x:c r="D14" s="142" t="str">
        <x:v>Timing / completion</x:v>
      </x:c>
      <x:c r="E14" s="142" t="str">
        <x:v>About how long ago did this case end or get resolved?</x:v>
      </x:c>
      <x:c r="F14" s="142" t="str">
        <x:v>single_choice</x:v>
      </x:c>
      <x:c r="G14" s="142" t="str">
        <x:v>Ask only when at least one viable route has a waiting period.</x:v>
      </x:c>
      <x:c r="H14" s="142" t="str">
        <x:v>Uses an approximate band for a preliminary result; exact dates are collected later.</x:v>
      </x:c>
      <x:c r="I14" s="142" t="str">
        <x:v>Timing-dependent routes</x:v>
      </x:c>
      <x:c r="J14" s="142" t="str">
        <x:v>Exact details, if needed, are collected after account creation in packet completion.</x:v>
      </x:c>
      <x:c r="K14" s="142" t="str">
        <x:v>timing_and_completion</x:v>
      </x:c>
      <x:c r="L14" s="142" t="str">
        <x:v>normalized_free_check</x:v>
      </x:c>
      <x:c r="M14" s="56" t="str">
        <x:v>https://github.com/Roger-LegalEase/legalease-partner-dashboard-clean/blob/2f0ef0403f16e57544ad0bc86b2d1b1cd08861b3/src/lib/rcap-engine/compiled/profiles/AK-alaska.json</x:v>
      </x:c>
    </x:row>
    <x:row r="15">
      <x:c r="A15" s="55" t="str">
        <x:v>Alaska</x:v>
      </x:c>
      <x:c r="B15" s="142" t="str">
        <x:v>AK</x:v>
      </x:c>
      <x:c r="C15" s="142" t="n">
        <x:v>11</x:v>
      </x:c>
      <x:c r="D15" s="142" t="str">
        <x:v>Exclusions / review</x:v>
      </x:c>
      <x:c r="E15" s="142" t="str">
        <x:v>Does the record involve any Alaska category that the source identifies as excluded or review-required?</x:v>
      </x:c>
      <x:c r="F15" s="142" t="str">
        <x:v>multi_select</x:v>
      </x:c>
      <x:c r="G15" s="142" t="str">
        <x:v>Ask after the route is narrowed; show only categories relevant to the remaining route.</x:v>
      </x:c>
      <x:c r="H15" s="142" t="str">
        <x:v>Matching category → hard stop or review; none → continue.</x:v>
      </x:c>
      <x:c r="I15" s="142" t="str">
        <x:v>Route-specific exclusions</x:v>
      </x:c>
      <x:c r="J15" s="142" t="str">
        <x:v>Exact details, if needed, are collected after account creation in packet completion.</x:v>
      </x:c>
      <x:c r="K15" s="142" t="str">
        <x:v>exclusion_screen</x:v>
      </x:c>
      <x:c r="L15" s="142" t="str">
        <x:v>state_exclusion_section</x:v>
      </x:c>
      <x:c r="M15" s="56" t="str">
        <x:v>https://github.com/Roger-LegalEase/legalease-partner-dashboard-clean/blob/2f0ef0403f16e57544ad0bc86b2d1b1cd08861b3/src/lib/rcap-engine/compiled/profiles/AK-alaska.json</x:v>
      </x:c>
    </x:row>
    <x:row r="16">
      <x:c r="A16" s="55" t="str">
        <x:v>Alabama</x:v>
      </x:c>
      <x:c r="B16" s="142" t="str">
        <x:v>AL</x:v>
      </x:c>
      <x:c r="C16" s="142" t="n">
        <x:v>1</x:v>
      </x:c>
      <x:c r="D16" s="142" t="str">
        <x:v>Scope</x:v>
      </x:c>
      <x:c r="E16" s="142" t="str">
        <x:v>Are you asking about your own record?</x:v>
      </x:c>
      <x:c r="F16" s="142" t="str">
        <x:v>single_choice</x:v>
      </x:c>
      <x:c r="G16" s="142" t="str">
        <x:v>Ask in every free check</x:v>
      </x:c>
      <x:c r="H16" s="142" t="str">
        <x:v>No → stop or redirect; Yes → continue.</x:v>
      </x:c>
      <x:c r="I16" s="142" t="str">
        <x:v>All routes</x:v>
      </x:c>
      <x:c r="J16" s="142" t="str">
        <x:v>Exact details, if needed, are collected after account creation in packet completion.</x:v>
      </x:c>
      <x:c r="K16" s="142" t="str">
        <x:v>scope</x:v>
      </x:c>
      <x:c r="L16" s="142" t="str">
        <x:v>shared_scope_boundary</x:v>
      </x:c>
      <x:c r="M16" s="56" t="str">
        <x:v>https://github.com/Roger-LegalEase/legalease-partner-dashboard-clean/blob/2f0ef0403f16e57544ad0bc86b2d1b1cd08861b3/src/lib/rcap-engine/compiled/profiles/AL-alabama.json</x:v>
      </x:c>
    </x:row>
    <x:row r="17">
      <x:c r="A17" s="55" t="str">
        <x:v>Alabama</x:v>
      </x:c>
      <x:c r="B17" s="142" t="str">
        <x:v>AL</x:v>
      </x:c>
      <x:c r="C17" s="142" t="n">
        <x:v>2</x:v>
      </x:c>
      <x:c r="D17" s="142" t="str">
        <x:v>Scope</x:v>
      </x:c>
      <x:c r="E17" s="142" t="str">
        <x:v>Is this a state or local matter from Alabama, rather than a federal matter?</x:v>
      </x:c>
      <x:c r="F17" s="142" t="str">
        <x:v>single_choice</x:v>
      </x:c>
      <x:c r="G17" s="142" t="str">
        <x:v>Ask in every free check</x:v>
      </x:c>
      <x:c r="H17" s="142" t="str">
        <x:v>Federal or wrong-state matter → outside this state flow; state/local matter → continue.</x:v>
      </x:c>
      <x:c r="I17" s="142" t="str">
        <x:v>All routes</x:v>
      </x:c>
      <x:c r="J17" s="142" t="str">
        <x:v>Exact details, if needed, are collected after account creation in packet completion.</x:v>
      </x:c>
      <x:c r="K17" s="142" t="str">
        <x:v>scope</x:v>
      </x:c>
      <x:c r="L17" s="142" t="str">
        <x:v>shared_scope_boundary</x:v>
      </x:c>
      <x:c r="M17" s="56" t="str">
        <x:v>https://github.com/Roger-LegalEase/legalease-partner-dashboard-clean/blob/2f0ef0403f16e57544ad0bc86b2d1b1cd08861b3/src/lib/rcap-engine/compiled/profiles/AL-alabama.json</x:v>
      </x:c>
    </x:row>
    <x:row r="18">
      <x:c r="A18" s="55" t="str">
        <x:v>Alabama</x:v>
      </x:c>
      <x:c r="B18" s="142" t="str">
        <x:v>AL</x:v>
      </x:c>
      <x:c r="C18" s="142" t="n">
        <x:v>3</x:v>
      </x:c>
      <x:c r="D18" s="142" t="str">
        <x:v>Route identification</x:v>
      </x:c>
      <x:c r="E18" s="142" t="str">
        <x:v>How did the Alabama case or record end?</x:v>
      </x:c>
      <x:c r="F18" s="142" t="str">
        <x:v>single_choice</x:v>
      </x:c>
      <x:c r="G18" s="142" t="str">
        <x:v>Ask after scope, before route-specific questions</x:v>
      </x:c>
      <x:c r="H18" s="142" t="str">
        <x:v>Splits nonconviction, conviction, diversion/deferred, juvenile, automatic, pardon, correction, and other route families.</x:v>
      </x:c>
      <x:c r="I18" s="142" t="str">
        <x:v>All routes</x:v>
      </x:c>
      <x:c r="J18" s="142" t="str">
        <x:v>Exact details, if needed, are collected after account creation in packet completion.</x:v>
      </x:c>
      <x:c r="K18" s="142" t="str">
        <x:v>pathway_routing</x:v>
      </x:c>
      <x:c r="L18" s="142" t="str">
        <x:v>state_case_outcome_rules</x:v>
      </x:c>
      <x:c r="M18" s="56" t="str">
        <x:v>https://github.com/Roger-LegalEase/legalease-partner-dashboard-clean/blob/2f0ef0403f16e57544ad0bc86b2d1b1cd08861b3/src/lib/rcap-engine/compiled/profiles/AL-alabama.json</x:v>
      </x:c>
    </x:row>
    <x:row r="19">
      <x:c r="A19" s="55" t="str">
        <x:v>Alabama</x:v>
      </x:c>
      <x:c r="B19" s="142" t="str">
        <x:v>AL</x:v>
      </x:c>
      <x:c r="C19" s="142" t="n">
        <x:v>4</x:v>
      </x:c>
      <x:c r="D19" s="142" t="str">
        <x:v>Route identification</x:v>
      </x:c>
      <x:c r="E19" s="142" t="str">
        <x:v>What level or type was the charge?</x:v>
      </x:c>
      <x:c r="F19" s="142" t="str">
        <x:v>single_choice</x:v>
      </x:c>
      <x:c r="G19" s="142" t="str">
        <x:v>Ask after scope, before route-specific questions</x:v>
      </x:c>
      <x:c r="H19" s="142" t="str">
        <x:v>Narrows offense-level routes, waiting-period bands, and obvious exclusions.</x:v>
      </x:c>
      <x:c r="I19" s="142" t="str">
        <x:v>All routes</x:v>
      </x:c>
      <x:c r="J19" s="142" t="str">
        <x:v>Exact details, if needed, are collected after account creation in packet completion.</x:v>
      </x:c>
      <x:c r="K19" s="142" t="str">
        <x:v>pathway_routing</x:v>
      </x:c>
      <x:c r="L19" s="142" t="str">
        <x:v>state_pathway_and_exclusion_rules</x:v>
      </x:c>
      <x:c r="M19" s="56" t="str">
        <x:v>https://github.com/Roger-LegalEase/legalease-partner-dashboard-clean/blob/2f0ef0403f16e57544ad0bc86b2d1b1cd08861b3/src/lib/rcap-engine/compiled/profiles/AL-alabama.json</x:v>
      </x:c>
    </x:row>
    <x:row r="20">
      <x:c r="A20" s="55" t="str">
        <x:v>Alabama</x:v>
      </x:c>
      <x:c r="B20" s="142" t="str">
        <x:v>AL</x:v>
      </x:c>
      <x:c r="C20" s="142" t="n">
        <x:v>5</x:v>
      </x:c>
      <x:c r="D20" s="142" t="str">
        <x:v>Route identification</x:v>
      </x:c>
      <x:c r="E20" s="142" t="str">
        <x:v>Do any of these Alabama descriptions sound close to your situation?</x:v>
      </x:c>
      <x:c r="F20" s="142" t="str">
        <x:v>single_choice</x:v>
      </x:c>
      <x:c r="G20" s="142" t="str">
        <x:v>Ask after scope, before route-specific questions</x:v>
      </x:c>
      <x:c r="H20" s="142" t="str">
        <x:v>Lets the participant select a likely remedy or “not sure”; selection prunes unrelated route-specific questions.</x:v>
      </x:c>
      <x:c r="I20" s="142" t="str">
        <x:v>All routes</x:v>
      </x:c>
      <x:c r="J20" s="142" t="str">
        <x:v>Exact details, if needed, are collected after account creation in packet completion.</x:v>
      </x:c>
      <x:c r="K20" s="142" t="str">
        <x:v>pathway_routing</x:v>
      </x:c>
      <x:c r="L20" s="142" t="str">
        <x:v>curated_state_pathway_catalog_from_reference</x:v>
      </x:c>
      <x:c r="M20" s="56" t="str">
        <x:v>https://github.com/Roger-LegalEase/legalease-partner-dashboard-clean/blob/2f0ef0403f16e57544ad0bc86b2d1b1cd08861b3/src/lib/rcap-engine/compiled/profiles/AL-alabama.json</x:v>
      </x:c>
    </x:row>
    <x:row r="21">
      <x:c r="A21" s="55" t="str">
        <x:v>Alabama</x:v>
      </x:c>
      <x:c r="B21" s="142" t="str">
        <x:v>AL</x:v>
      </x:c>
      <x:c r="C21" s="142" t="n">
        <x:v>6</x:v>
      </x:c>
      <x:c r="D21" s="142" t="str">
        <x:v>Special pathway</x:v>
      </x:c>
      <x:c r="E21" s="142" t="str">
        <x:v>Was this offense connected to your status as a human-trafficking or sex-trafficking survivor?</x:v>
      </x:c>
      <x:c r="F21" s="142" t="str">
        <x:v>yes_no_prefer_not_to_say</x:v>
      </x:c>
      <x:c r="G21" s="142" t="str">
        <x:v>Ask only while trafficking-survivor relief remains viable; allow “prefer not to say.”</x:v>
      </x:c>
      <x:c r="H21" s="142" t="str">
        <x:v>May open vacatur/expungement or review treatment.</x:v>
      </x:c>
      <x:c r="I21" s="142" t="str">
        <x:v>Trafficking-survivor routes</x:v>
      </x:c>
      <x:c r="J21" s="142" t="str">
        <x:v>Exact details, if needed, are collected after account creation in packet completion.</x:v>
      </x:c>
      <x:c r="K21" s="142" t="str">
        <x:v>special_pathways</x:v>
      </x:c>
      <x:c r="L21" s="142" t="str">
        <x:v>derived_from_state_rule_fields</x:v>
      </x:c>
      <x:c r="M21" s="56" t="str">
        <x:v>https://github.com/Roger-LegalEase/legalease-partner-dashboard-clean/blob/2f0ef0403f16e57544ad0bc86b2d1b1cd08861b3/src/lib/rcap-engine/compiled/profiles/AL-alabama.json</x:v>
      </x:c>
    </x:row>
    <x:row r="22">
      <x:c r="A22" s="55" t="str">
        <x:v>Alabama</x:v>
      </x:c>
      <x:c r="B22" s="142" t="str">
        <x:v>AL</x:v>
      </x:c>
      <x:c r="C22" s="142" t="n">
        <x:v>7</x:v>
      </x:c>
      <x:c r="D22" s="142" t="str">
        <x:v>Special pathway</x:v>
      </x:c>
      <x:c r="E22" s="142" t="str">
        <x:v>Have you received a pardon, certificate of rehabilitation, or similar executive relief for this conviction?</x:v>
      </x:c>
      <x:c r="F22" s="142" t="str">
        <x:v>yes_no_unsure</x:v>
      </x:c>
      <x:c r="G22" s="142" t="str">
        <x:v>Ask only while a pardon or executive-relief route remains viable.</x:v>
      </x:c>
      <x:c r="H22" s="142" t="str">
        <x:v>Yes may open a pardon-based route; No preserves ordinary routes; Not sure defers proof.</x:v>
      </x:c>
      <x:c r="I22" s="142" t="str">
        <x:v>Pardon / executive-relief routes</x:v>
      </x:c>
      <x:c r="J22" s="142" t="str">
        <x:v>Exact details, if needed, are collected after account creation in packet completion.</x:v>
      </x:c>
      <x:c r="K22" s="142" t="str">
        <x:v>special_pathways</x:v>
      </x:c>
      <x:c r="L22" s="142" t="str">
        <x:v>derived_from_state_rule_fields</x:v>
      </x:c>
      <x:c r="M22" s="56" t="str">
        <x:v>https://github.com/Roger-LegalEase/legalease-partner-dashboard-clean/blob/2f0ef0403f16e57544ad0bc86b2d1b1cd08861b3/src/lib/rcap-engine/compiled/profiles/AL-alabama.json</x:v>
      </x:c>
    </x:row>
    <x:row r="23">
      <x:c r="A23" s="55" t="str">
        <x:v>Alabama</x:v>
      </x:c>
      <x:c r="B23" s="142" t="str">
        <x:v>AL</x:v>
      </x:c>
      <x:c r="C23" s="142" t="n">
        <x:v>8</x:v>
      </x:c>
      <x:c r="D23" s="142" t="str">
        <x:v>Timing / completion</x:v>
      </x:c>
      <x:c r="E23" s="142" t="str">
        <x:v>Do you currently have any pending criminal charge, open case, probation, parole, or other supervision?</x:v>
      </x:c>
      <x:c r="F23" s="142" t="str">
        <x:v>yes_no_unsure</x:v>
      </x:c>
      <x:c r="G23" s="142" t="str">
        <x:v>Ask only when pending cases or active supervision can block the candidate route.</x:v>
      </x:c>
      <x:c r="H23" s="142" t="str">
        <x:v>Pending/open matter may produce not-yet, review, or a different route.</x:v>
      </x:c>
      <x:c r="I23" s="142" t="str">
        <x:v>Pending-case-sensitive routes</x:v>
      </x:c>
      <x:c r="J23" s="142" t="str">
        <x:v>Exact details, if needed, are collected after account creation in packet completion.</x:v>
      </x:c>
      <x:c r="K23" s="142" t="str">
        <x:v>timing_and_completion</x:v>
      </x:c>
      <x:c r="L23" s="142" t="str">
        <x:v>derived_from_state_rule_fields</x:v>
      </x:c>
      <x:c r="M23" s="56" t="str">
        <x:v>https://github.com/Roger-LegalEase/legalease-partner-dashboard-clean/blob/2f0ef0403f16e57544ad0bc86b2d1b1cd08861b3/src/lib/rcap-engine/compiled/profiles/AL-alabama.json</x:v>
      </x:c>
    </x:row>
    <x:row r="24">
      <x:c r="A24" s="55" t="str">
        <x:v>Alabama</x:v>
      </x:c>
      <x:c r="B24" s="142" t="str">
        <x:v>AL</x:v>
      </x:c>
      <x:c r="C24" s="142" t="n">
        <x:v>9</x:v>
      </x:c>
      <x:c r="D24" s="142" t="str">
        <x:v>Timing / completion</x:v>
      </x:c>
      <x:c r="E24" s="142" t="str">
        <x:v>Have you completed everything the court ordered in this case?</x:v>
      </x:c>
      <x:c r="F24" s="142" t="str">
        <x:v>single_choice</x:v>
      </x:c>
      <x:c r="G24" s="142" t="str">
        <x:v>Ask only when a viable route depends on sentence, supervision, program, restitution, or financial completion.</x:v>
      </x:c>
      <x:c r="H24" s="142" t="str">
        <x:v>No → usually not yet or needs more information; Yes → continue; Not sure → defer exact proof.</x:v>
      </x:c>
      <x:c r="I24" s="142" t="str">
        <x:v>Completion-dependent routes</x:v>
      </x:c>
      <x:c r="J24" s="142" t="str">
        <x:v>Exact details, if needed, are collected after account creation in packet completion.</x:v>
      </x:c>
      <x:c r="K24" s="142" t="str">
        <x:v>timing_and_completion</x:v>
      </x:c>
      <x:c r="L24" s="142" t="str">
        <x:v>normalized_free_check</x:v>
      </x:c>
      <x:c r="M24" s="56" t="str">
        <x:v>https://github.com/Roger-LegalEase/legalease-partner-dashboard-clean/blob/2f0ef0403f16e57544ad0bc86b2d1b1cd08861b3/src/lib/rcap-engine/compiled/profiles/AL-alabama.json</x:v>
      </x:c>
    </x:row>
    <x:row r="25">
      <x:c r="A25" s="55" t="str">
        <x:v>Alabama</x:v>
      </x:c>
      <x:c r="B25" s="142" t="str">
        <x:v>AL</x:v>
      </x:c>
      <x:c r="C25" s="142" t="n">
        <x:v>10</x:v>
      </x:c>
      <x:c r="D25" s="142" t="str">
        <x:v>Timing / completion</x:v>
      </x:c>
      <x:c r="E25" s="142" t="str">
        <x:v>About how long ago did this case end or get resolved?</x:v>
      </x:c>
      <x:c r="F25" s="142" t="str">
        <x:v>single_choice</x:v>
      </x:c>
      <x:c r="G25" s="142" t="str">
        <x:v>Ask only when at least one viable route has a waiting period.</x:v>
      </x:c>
      <x:c r="H25" s="142" t="str">
        <x:v>Uses an approximate band for a preliminary result; exact dates are collected later.</x:v>
      </x:c>
      <x:c r="I25" s="142" t="str">
        <x:v>Timing-dependent routes</x:v>
      </x:c>
      <x:c r="J25" s="142" t="str">
        <x:v>Exact details, if needed, are collected after account creation in packet completion.</x:v>
      </x:c>
      <x:c r="K25" s="142" t="str">
        <x:v>timing_and_completion</x:v>
      </x:c>
      <x:c r="L25" s="142" t="str">
        <x:v>normalized_free_check</x:v>
      </x:c>
      <x:c r="M25" s="56" t="str">
        <x:v>https://github.com/Roger-LegalEase/legalease-partner-dashboard-clean/blob/2f0ef0403f16e57544ad0bc86b2d1b1cd08861b3/src/lib/rcap-engine/compiled/profiles/AL-alabama.json</x:v>
      </x:c>
    </x:row>
    <x:row r="26">
      <x:c r="A26" s="55" t="str">
        <x:v>Alabama</x:v>
      </x:c>
      <x:c r="B26" s="142" t="str">
        <x:v>AL</x:v>
      </x:c>
      <x:c r="C26" s="142" t="n">
        <x:v>11</x:v>
      </x:c>
      <x:c r="D26" s="142" t="str">
        <x:v>Exclusions / review</x:v>
      </x:c>
      <x:c r="E26" s="142" t="str">
        <x:v>Does the record involve any Alabama category that the source identifies as excluded or review-required?</x:v>
      </x:c>
      <x:c r="F26" s="142" t="str">
        <x:v>multi_select</x:v>
      </x:c>
      <x:c r="G26" s="142" t="str">
        <x:v>Ask after the route is narrowed; show only categories relevant to the remaining route.</x:v>
      </x:c>
      <x:c r="H26" s="142" t="str">
        <x:v>Matching category → hard stop or review; none → continue.</x:v>
      </x:c>
      <x:c r="I26" s="142" t="str">
        <x:v>Route-specific exclusions</x:v>
      </x:c>
      <x:c r="J26" s="142" t="str">
        <x:v>Exact details, if needed, are collected after account creation in packet completion.</x:v>
      </x:c>
      <x:c r="K26" s="142" t="str">
        <x:v>exclusion_screen</x:v>
      </x:c>
      <x:c r="L26" s="142" t="str">
        <x:v>state_exclusion_section</x:v>
      </x:c>
      <x:c r="M26" s="56" t="str">
        <x:v>https://github.com/Roger-LegalEase/legalease-partner-dashboard-clean/blob/2f0ef0403f16e57544ad0bc86b2d1b1cd08861b3/src/lib/rcap-engine/compiled/profiles/AL-alabama.json</x:v>
      </x:c>
    </x:row>
    <x:row r="27">
      <x:c r="A27" s="55" t="str">
        <x:v>Arkansas</x:v>
      </x:c>
      <x:c r="B27" s="142" t="str">
        <x:v>AR</x:v>
      </x:c>
      <x:c r="C27" s="142" t="n">
        <x:v>1</x:v>
      </x:c>
      <x:c r="D27" s="142" t="str">
        <x:v>Scope</x:v>
      </x:c>
      <x:c r="E27" s="142" t="str">
        <x:v>Are you asking about your own record?</x:v>
      </x:c>
      <x:c r="F27" s="142" t="str">
        <x:v>single_choice</x:v>
      </x:c>
      <x:c r="G27" s="142" t="str">
        <x:v>Ask in every free check</x:v>
      </x:c>
      <x:c r="H27" s="142" t="str">
        <x:v>No → stop or redirect; Yes → continue.</x:v>
      </x:c>
      <x:c r="I27" s="142" t="str">
        <x:v>All routes</x:v>
      </x:c>
      <x:c r="J27" s="142" t="str">
        <x:v>Exact details, if needed, are collected after account creation in packet completion.</x:v>
      </x:c>
      <x:c r="K27" s="142" t="str">
        <x:v>scope</x:v>
      </x:c>
      <x:c r="L27" s="142" t="str">
        <x:v>shared_scope_boundary</x:v>
      </x:c>
      <x:c r="M27" s="56" t="str">
        <x:v>https://github.com/Roger-LegalEase/legalease-partner-dashboard-clean/blob/2f0ef0403f16e57544ad0bc86b2d1b1cd08861b3/src/lib/rcap-engine/compiled/profiles/AR-arkansas.json</x:v>
      </x:c>
    </x:row>
    <x:row r="28">
      <x:c r="A28" s="55" t="str">
        <x:v>Arkansas</x:v>
      </x:c>
      <x:c r="B28" s="142" t="str">
        <x:v>AR</x:v>
      </x:c>
      <x:c r="C28" s="142" t="n">
        <x:v>2</x:v>
      </x:c>
      <x:c r="D28" s="142" t="str">
        <x:v>Scope</x:v>
      </x:c>
      <x:c r="E28" s="142" t="str">
        <x:v>Is this a state or local matter from Arkansas, rather than a federal matter?</x:v>
      </x:c>
      <x:c r="F28" s="142" t="str">
        <x:v>single_choice</x:v>
      </x:c>
      <x:c r="G28" s="142" t="str">
        <x:v>Ask in every free check</x:v>
      </x:c>
      <x:c r="H28" s="142" t="str">
        <x:v>Federal or wrong-state matter → outside this state flow; state/local matter → continue.</x:v>
      </x:c>
      <x:c r="I28" s="142" t="str">
        <x:v>All routes</x:v>
      </x:c>
      <x:c r="J28" s="142" t="str">
        <x:v>Exact details, if needed, are collected after account creation in packet completion.</x:v>
      </x:c>
      <x:c r="K28" s="142" t="str">
        <x:v>scope</x:v>
      </x:c>
      <x:c r="L28" s="142" t="str">
        <x:v>shared_scope_boundary</x:v>
      </x:c>
      <x:c r="M28" s="56" t="str">
        <x:v>https://github.com/Roger-LegalEase/legalease-partner-dashboard-clean/blob/2f0ef0403f16e57544ad0bc86b2d1b1cd08861b3/src/lib/rcap-engine/compiled/profiles/AR-arkansas.json</x:v>
      </x:c>
    </x:row>
    <x:row r="29">
      <x:c r="A29" s="55" t="str">
        <x:v>Arkansas</x:v>
      </x:c>
      <x:c r="B29" s="142" t="str">
        <x:v>AR</x:v>
      </x:c>
      <x:c r="C29" s="142" t="n">
        <x:v>3</x:v>
      </x:c>
      <x:c r="D29" s="142" t="str">
        <x:v>Route identification</x:v>
      </x:c>
      <x:c r="E29" s="142" t="str">
        <x:v>How did the Arkansas case or record end?</x:v>
      </x:c>
      <x:c r="F29" s="142" t="str">
        <x:v>single_choice</x:v>
      </x:c>
      <x:c r="G29" s="142" t="str">
        <x:v>Ask after scope, before route-specific questions</x:v>
      </x:c>
      <x:c r="H29" s="142" t="str">
        <x:v>Splits nonconviction, conviction, diversion/deferred, juvenile, automatic, pardon, correction, and other route families.</x:v>
      </x:c>
      <x:c r="I29" s="142" t="str">
        <x:v>All routes</x:v>
      </x:c>
      <x:c r="J29" s="142" t="str">
        <x:v>Exact details, if needed, are collected after account creation in packet completion.</x:v>
      </x:c>
      <x:c r="K29" s="142" t="str">
        <x:v>pathway_routing</x:v>
      </x:c>
      <x:c r="L29" s="142" t="str">
        <x:v>state_case_outcome_rules</x:v>
      </x:c>
      <x:c r="M29" s="56" t="str">
        <x:v>https://github.com/Roger-LegalEase/legalease-partner-dashboard-clean/blob/2f0ef0403f16e57544ad0bc86b2d1b1cd08861b3/src/lib/rcap-engine/compiled/profiles/AR-arkansas.json</x:v>
      </x:c>
    </x:row>
    <x:row r="30">
      <x:c r="A30" s="55" t="str">
        <x:v>Arkansas</x:v>
      </x:c>
      <x:c r="B30" s="142" t="str">
        <x:v>AR</x:v>
      </x:c>
      <x:c r="C30" s="142" t="n">
        <x:v>4</x:v>
      </x:c>
      <x:c r="D30" s="142" t="str">
        <x:v>Route identification</x:v>
      </x:c>
      <x:c r="E30" s="142" t="str">
        <x:v>What level or type was the charge?</x:v>
      </x:c>
      <x:c r="F30" s="142" t="str">
        <x:v>single_choice</x:v>
      </x:c>
      <x:c r="G30" s="142" t="str">
        <x:v>Ask after scope, before route-specific questions</x:v>
      </x:c>
      <x:c r="H30" s="142" t="str">
        <x:v>Narrows offense-level routes, waiting-period bands, and obvious exclusions.</x:v>
      </x:c>
      <x:c r="I30" s="142" t="str">
        <x:v>All routes</x:v>
      </x:c>
      <x:c r="J30" s="142" t="str">
        <x:v>Exact details, if needed, are collected after account creation in packet completion.</x:v>
      </x:c>
      <x:c r="K30" s="142" t="str">
        <x:v>pathway_routing</x:v>
      </x:c>
      <x:c r="L30" s="142" t="str">
        <x:v>state_pathway_and_exclusion_rules</x:v>
      </x:c>
      <x:c r="M30" s="56" t="str">
        <x:v>https://github.com/Roger-LegalEase/legalease-partner-dashboard-clean/blob/2f0ef0403f16e57544ad0bc86b2d1b1cd08861b3/src/lib/rcap-engine/compiled/profiles/AR-arkansas.json</x:v>
      </x:c>
    </x:row>
    <x:row r="31">
      <x:c r="A31" s="55" t="str">
        <x:v>Arkansas</x:v>
      </x:c>
      <x:c r="B31" s="142" t="str">
        <x:v>AR</x:v>
      </x:c>
      <x:c r="C31" s="142" t="n">
        <x:v>5</x:v>
      </x:c>
      <x:c r="D31" s="142" t="str">
        <x:v>Route identification</x:v>
      </x:c>
      <x:c r="E31" s="142" t="str">
        <x:v>Do any of these Arkansas descriptions sound close to your situation?</x:v>
      </x:c>
      <x:c r="F31" s="142" t="str">
        <x:v>single_choice</x:v>
      </x:c>
      <x:c r="G31" s="142" t="str">
        <x:v>Ask after scope, before route-specific questions</x:v>
      </x:c>
      <x:c r="H31" s="142" t="str">
        <x:v>Lets the participant select a likely remedy or “not sure”; selection prunes unrelated route-specific questions.</x:v>
      </x:c>
      <x:c r="I31" s="142" t="str">
        <x:v>All routes</x:v>
      </x:c>
      <x:c r="J31" s="142" t="str">
        <x:v>Exact details, if needed, are collected after account creation in packet completion.</x:v>
      </x:c>
      <x:c r="K31" s="142" t="str">
        <x:v>pathway_routing</x:v>
      </x:c>
      <x:c r="L31" s="142" t="str">
        <x:v>curated_state_pathway_catalog_from_reference</x:v>
      </x:c>
      <x:c r="M31" s="56" t="str">
        <x:v>https://github.com/Roger-LegalEase/legalease-partner-dashboard-clean/blob/2f0ef0403f16e57544ad0bc86b2d1b1cd08861b3/src/lib/rcap-engine/compiled/profiles/AR-arkansas.json</x:v>
      </x:c>
    </x:row>
    <x:row r="32">
      <x:c r="A32" s="55" t="str">
        <x:v>Arkansas</x:v>
      </x:c>
      <x:c r="B32" s="142" t="str">
        <x:v>AR</x:v>
      </x:c>
      <x:c r="C32" s="142" t="n">
        <x:v>6</x:v>
      </x:c>
      <x:c r="D32" s="142" t="str">
        <x:v>Timing / completion</x:v>
      </x:c>
      <x:c r="E32" s="142" t="str">
        <x:v>Do you currently have any pending criminal charge, open case, probation, parole, or other supervision?</x:v>
      </x:c>
      <x:c r="F32" s="142" t="str">
        <x:v>yes_no_unsure</x:v>
      </x:c>
      <x:c r="G32" s="142" t="str">
        <x:v>Ask only when pending cases or active supervision can block the candidate route.</x:v>
      </x:c>
      <x:c r="H32" s="142" t="str">
        <x:v>Pending/open matter may produce not-yet, review, or a different route.</x:v>
      </x:c>
      <x:c r="I32" s="142" t="str">
        <x:v>Pending-case-sensitive routes</x:v>
      </x:c>
      <x:c r="J32" s="142" t="str">
        <x:v>Exact details, if needed, are collected after account creation in packet completion.</x:v>
      </x:c>
      <x:c r="K32" s="142" t="str">
        <x:v>timing_and_completion</x:v>
      </x:c>
      <x:c r="L32" s="142" t="str">
        <x:v>derived_from_state_rule_fields</x:v>
      </x:c>
      <x:c r="M32" s="56" t="str">
        <x:v>https://github.com/Roger-LegalEase/legalease-partner-dashboard-clean/blob/2f0ef0403f16e57544ad0bc86b2d1b1cd08861b3/src/lib/rcap-engine/compiled/profiles/AR-arkansas.json</x:v>
      </x:c>
    </x:row>
    <x:row r="33">
      <x:c r="A33" s="55" t="str">
        <x:v>Arkansas</x:v>
      </x:c>
      <x:c r="B33" s="142" t="str">
        <x:v>AR</x:v>
      </x:c>
      <x:c r="C33" s="142" t="n">
        <x:v>7</x:v>
      </x:c>
      <x:c r="D33" s="142" t="str">
        <x:v>Timing / completion</x:v>
      </x:c>
      <x:c r="E33" s="142" t="str">
        <x:v>Have you completed everything the court ordered in this case?</x:v>
      </x:c>
      <x:c r="F33" s="142" t="str">
        <x:v>single_choice</x:v>
      </x:c>
      <x:c r="G33" s="142" t="str">
        <x:v>Ask only when a viable route depends on sentence, supervision, program, restitution, or financial completion.</x:v>
      </x:c>
      <x:c r="H33" s="142" t="str">
        <x:v>No → usually not yet or needs more information; Yes → continue; Not sure → defer exact proof.</x:v>
      </x:c>
      <x:c r="I33" s="142" t="str">
        <x:v>Completion-dependent routes</x:v>
      </x:c>
      <x:c r="J33" s="142" t="str">
        <x:v>Exact details, if needed, are collected after account creation in packet completion.</x:v>
      </x:c>
      <x:c r="K33" s="142" t="str">
        <x:v>timing_and_completion</x:v>
      </x:c>
      <x:c r="L33" s="142" t="str">
        <x:v>normalized_free_check</x:v>
      </x:c>
      <x:c r="M33" s="56" t="str">
        <x:v>https://github.com/Roger-LegalEase/legalease-partner-dashboard-clean/blob/2f0ef0403f16e57544ad0bc86b2d1b1cd08861b3/src/lib/rcap-engine/compiled/profiles/AR-arkansas.json</x:v>
      </x:c>
    </x:row>
    <x:row r="34">
      <x:c r="A34" s="55" t="str">
        <x:v>Arkansas</x:v>
      </x:c>
      <x:c r="B34" s="142" t="str">
        <x:v>AR</x:v>
      </x:c>
      <x:c r="C34" s="142" t="n">
        <x:v>8</x:v>
      </x:c>
      <x:c r="D34" s="142" t="str">
        <x:v>Timing / completion</x:v>
      </x:c>
      <x:c r="E34" s="142" t="str">
        <x:v>About how long ago did this case end or get resolved?</x:v>
      </x:c>
      <x:c r="F34" s="142" t="str">
        <x:v>single_choice</x:v>
      </x:c>
      <x:c r="G34" s="142" t="str">
        <x:v>Ask only when at least one viable route has a waiting period.</x:v>
      </x:c>
      <x:c r="H34" s="142" t="str">
        <x:v>Uses an approximate band for a preliminary result; exact dates are collected later.</x:v>
      </x:c>
      <x:c r="I34" s="142" t="str">
        <x:v>Timing-dependent routes</x:v>
      </x:c>
      <x:c r="J34" s="142" t="str">
        <x:v>Exact details, if needed, are collected after account creation in packet completion.</x:v>
      </x:c>
      <x:c r="K34" s="142" t="str">
        <x:v>timing_and_completion</x:v>
      </x:c>
      <x:c r="L34" s="142" t="str">
        <x:v>normalized_free_check</x:v>
      </x:c>
      <x:c r="M34" s="56" t="str">
        <x:v>https://github.com/Roger-LegalEase/legalease-partner-dashboard-clean/blob/2f0ef0403f16e57544ad0bc86b2d1b1cd08861b3/src/lib/rcap-engine/compiled/profiles/AR-arkansas.json</x:v>
      </x:c>
    </x:row>
    <x:row r="35">
      <x:c r="A35" s="55" t="str">
        <x:v>Arkansas</x:v>
      </x:c>
      <x:c r="B35" s="142" t="str">
        <x:v>AR</x:v>
      </x:c>
      <x:c r="C35" s="142" t="n">
        <x:v>9</x:v>
      </x:c>
      <x:c r="D35" s="142" t="str">
        <x:v>Exclusions / review</x:v>
      </x:c>
      <x:c r="E35" s="142" t="str">
        <x:v>Does the record involve any Arkansas category that the source identifies as excluded or review-required?</x:v>
      </x:c>
      <x:c r="F35" s="142" t="str">
        <x:v>multi_select</x:v>
      </x:c>
      <x:c r="G35" s="142" t="str">
        <x:v>Ask after the route is narrowed; show only categories relevant to the remaining route.</x:v>
      </x:c>
      <x:c r="H35" s="142" t="str">
        <x:v>Matching category → hard stop or review; none → continue.</x:v>
      </x:c>
      <x:c r="I35" s="142" t="str">
        <x:v>Route-specific exclusions</x:v>
      </x:c>
      <x:c r="J35" s="142" t="str">
        <x:v>Exact details, if needed, are collected after account creation in packet completion.</x:v>
      </x:c>
      <x:c r="K35" s="142" t="str">
        <x:v>exclusion_screen</x:v>
      </x:c>
      <x:c r="L35" s="142" t="str">
        <x:v>state_exclusion_section</x:v>
      </x:c>
      <x:c r="M35" s="56" t="str">
        <x:v>https://github.com/Roger-LegalEase/legalease-partner-dashboard-clean/blob/2f0ef0403f16e57544ad0bc86b2d1b1cd08861b3/src/lib/rcap-engine/compiled/profiles/AR-arkansas.json</x:v>
      </x:c>
    </x:row>
    <x:row r="36">
      <x:c r="A36" s="55" t="str">
        <x:v>Arizona</x:v>
      </x:c>
      <x:c r="B36" s="142" t="str">
        <x:v>AZ</x:v>
      </x:c>
      <x:c r="C36" s="142" t="n">
        <x:v>1</x:v>
      </x:c>
      <x:c r="D36" s="142" t="str">
        <x:v>Scope</x:v>
      </x:c>
      <x:c r="E36" s="142" t="str">
        <x:v>Are you asking about your own record?</x:v>
      </x:c>
      <x:c r="F36" s="142" t="str">
        <x:v>single_choice</x:v>
      </x:c>
      <x:c r="G36" s="142" t="str">
        <x:v>Ask in every free check</x:v>
      </x:c>
      <x:c r="H36" s="142" t="str">
        <x:v>No → stop or redirect; Yes → continue.</x:v>
      </x:c>
      <x:c r="I36" s="142" t="str">
        <x:v>All routes</x:v>
      </x:c>
      <x:c r="J36" s="142" t="str">
        <x:v>Exact details, if needed, are collected after account creation in packet completion.</x:v>
      </x:c>
      <x:c r="K36" s="142" t="str">
        <x:v>scope</x:v>
      </x:c>
      <x:c r="L36" s="142" t="str">
        <x:v>shared_scope_boundary</x:v>
      </x:c>
      <x:c r="M36" s="56" t="str">
        <x:v>https://github.com/Roger-LegalEase/legalease-partner-dashboard-clean/blob/2f0ef0403f16e57544ad0bc86b2d1b1cd08861b3/src/lib/rcap-engine/compiled/profiles/AZ-arizona.json</x:v>
      </x:c>
    </x:row>
    <x:row r="37">
      <x:c r="A37" s="55" t="str">
        <x:v>Arizona</x:v>
      </x:c>
      <x:c r="B37" s="142" t="str">
        <x:v>AZ</x:v>
      </x:c>
      <x:c r="C37" s="142" t="n">
        <x:v>2</x:v>
      </x:c>
      <x:c r="D37" s="142" t="str">
        <x:v>Scope</x:v>
      </x:c>
      <x:c r="E37" s="142" t="str">
        <x:v>Is this a state or local matter from Arizona, rather than a federal matter?</x:v>
      </x:c>
      <x:c r="F37" s="142" t="str">
        <x:v>single_choice</x:v>
      </x:c>
      <x:c r="G37" s="142" t="str">
        <x:v>Ask in every free check</x:v>
      </x:c>
      <x:c r="H37" s="142" t="str">
        <x:v>Federal or wrong-state matter → outside this state flow; state/local matter → continue.</x:v>
      </x:c>
      <x:c r="I37" s="142" t="str">
        <x:v>All routes</x:v>
      </x:c>
      <x:c r="J37" s="142" t="str">
        <x:v>Exact details, if needed, are collected after account creation in packet completion.</x:v>
      </x:c>
      <x:c r="K37" s="142" t="str">
        <x:v>scope</x:v>
      </x:c>
      <x:c r="L37" s="142" t="str">
        <x:v>shared_scope_boundary</x:v>
      </x:c>
      <x:c r="M37" s="56" t="str">
        <x:v>https://github.com/Roger-LegalEase/legalease-partner-dashboard-clean/blob/2f0ef0403f16e57544ad0bc86b2d1b1cd08861b3/src/lib/rcap-engine/compiled/profiles/AZ-arizona.json</x:v>
      </x:c>
    </x:row>
    <x:row r="38">
      <x:c r="A38" s="55" t="str">
        <x:v>Arizona</x:v>
      </x:c>
      <x:c r="B38" s="142" t="str">
        <x:v>AZ</x:v>
      </x:c>
      <x:c r="C38" s="142" t="n">
        <x:v>3</x:v>
      </x:c>
      <x:c r="D38" s="142" t="str">
        <x:v>Route identification</x:v>
      </x:c>
      <x:c r="E38" s="142" t="str">
        <x:v>How did the Arizona case or record end?</x:v>
      </x:c>
      <x:c r="F38" s="142" t="str">
        <x:v>single_choice</x:v>
      </x:c>
      <x:c r="G38" s="142" t="str">
        <x:v>Ask after scope, before route-specific questions</x:v>
      </x:c>
      <x:c r="H38" s="142" t="str">
        <x:v>Splits nonconviction, conviction, diversion/deferred, juvenile, automatic, pardon, correction, and other route families.</x:v>
      </x:c>
      <x:c r="I38" s="142" t="str">
        <x:v>All routes</x:v>
      </x:c>
      <x:c r="J38" s="142" t="str">
        <x:v>Exact details, if needed, are collected after account creation in packet completion.</x:v>
      </x:c>
      <x:c r="K38" s="142" t="str">
        <x:v>pathway_routing</x:v>
      </x:c>
      <x:c r="L38" s="142" t="str">
        <x:v>state_case_outcome_rules</x:v>
      </x:c>
      <x:c r="M38" s="56" t="str">
        <x:v>https://github.com/Roger-LegalEase/legalease-partner-dashboard-clean/blob/2f0ef0403f16e57544ad0bc86b2d1b1cd08861b3/src/lib/rcap-engine/compiled/profiles/AZ-arizona.json</x:v>
      </x:c>
    </x:row>
    <x:row r="39">
      <x:c r="A39" s="55" t="str">
        <x:v>Arizona</x:v>
      </x:c>
      <x:c r="B39" s="142" t="str">
        <x:v>AZ</x:v>
      </x:c>
      <x:c r="C39" s="142" t="n">
        <x:v>4</x:v>
      </x:c>
      <x:c r="D39" s="142" t="str">
        <x:v>Route identification</x:v>
      </x:c>
      <x:c r="E39" s="142" t="str">
        <x:v>What level or type was the charge?</x:v>
      </x:c>
      <x:c r="F39" s="142" t="str">
        <x:v>single_choice</x:v>
      </x:c>
      <x:c r="G39" s="142" t="str">
        <x:v>Ask after scope, before route-specific questions</x:v>
      </x:c>
      <x:c r="H39" s="142" t="str">
        <x:v>Narrows offense-level routes, waiting-period bands, and obvious exclusions.</x:v>
      </x:c>
      <x:c r="I39" s="142" t="str">
        <x:v>All routes</x:v>
      </x:c>
      <x:c r="J39" s="142" t="str">
        <x:v>Exact details, if needed, are collected after account creation in packet completion.</x:v>
      </x:c>
      <x:c r="K39" s="142" t="str">
        <x:v>pathway_routing</x:v>
      </x:c>
      <x:c r="L39" s="142" t="str">
        <x:v>state_pathway_and_exclusion_rules</x:v>
      </x:c>
      <x:c r="M39" s="56" t="str">
        <x:v>https://github.com/Roger-LegalEase/legalease-partner-dashboard-clean/blob/2f0ef0403f16e57544ad0bc86b2d1b1cd08861b3/src/lib/rcap-engine/compiled/profiles/AZ-arizona.json</x:v>
      </x:c>
    </x:row>
    <x:row r="40">
      <x:c r="A40" s="55" t="str">
        <x:v>Arizona</x:v>
      </x:c>
      <x:c r="B40" s="142" t="str">
        <x:v>AZ</x:v>
      </x:c>
      <x:c r="C40" s="142" t="n">
        <x:v>5</x:v>
      </x:c>
      <x:c r="D40" s="142" t="str">
        <x:v>Route identification</x:v>
      </x:c>
      <x:c r="E40" s="142" t="str">
        <x:v>Do any of these Arizona descriptions sound close to your situation?</x:v>
      </x:c>
      <x:c r="F40" s="142" t="str">
        <x:v>single_choice</x:v>
      </x:c>
      <x:c r="G40" s="142" t="str">
        <x:v>Ask after scope, before route-specific questions</x:v>
      </x:c>
      <x:c r="H40" s="142" t="str">
        <x:v>Lets the participant select a likely remedy or “not sure”; selection prunes unrelated route-specific questions.</x:v>
      </x:c>
      <x:c r="I40" s="142" t="str">
        <x:v>All routes</x:v>
      </x:c>
      <x:c r="J40" s="142" t="str">
        <x:v>Exact details, if needed, are collected after account creation in packet completion.</x:v>
      </x:c>
      <x:c r="K40" s="142" t="str">
        <x:v>pathway_routing</x:v>
      </x:c>
      <x:c r="L40" s="142" t="str">
        <x:v>curated_state_pathway_catalog_from_reference</x:v>
      </x:c>
      <x:c r="M40" s="56" t="str">
        <x:v>https://github.com/Roger-LegalEase/legalease-partner-dashboard-clean/blob/2f0ef0403f16e57544ad0bc86b2d1b1cd08861b3/src/lib/rcap-engine/compiled/profiles/AZ-arizona.json</x:v>
      </x:c>
    </x:row>
    <x:row r="41">
      <x:c r="A41" s="55" t="str">
        <x:v>Arizona</x:v>
      </x:c>
      <x:c r="B41" s="142" t="str">
        <x:v>AZ</x:v>
      </x:c>
      <x:c r="C41" s="142" t="n">
        <x:v>6</x:v>
      </x:c>
      <x:c r="D41" s="142" t="str">
        <x:v>Timing / completion</x:v>
      </x:c>
      <x:c r="E41" s="142" t="str">
        <x:v>Have you completed everything the court ordered in this case?</x:v>
      </x:c>
      <x:c r="F41" s="142" t="str">
        <x:v>single_choice</x:v>
      </x:c>
      <x:c r="G41" s="142" t="str">
        <x:v>Ask only when a viable route depends on sentence, supervision, program, restitution, or financial completion.</x:v>
      </x:c>
      <x:c r="H41" s="142" t="str">
        <x:v>No → usually not yet or needs more information; Yes → continue; Not sure → defer exact proof.</x:v>
      </x:c>
      <x:c r="I41" s="142" t="str">
        <x:v>Completion-dependent routes</x:v>
      </x:c>
      <x:c r="J41" s="142" t="str">
        <x:v>Exact details, if needed, are collected after account creation in packet completion.</x:v>
      </x:c>
      <x:c r="K41" s="142" t="str">
        <x:v>timing_and_completion</x:v>
      </x:c>
      <x:c r="L41" s="142" t="str">
        <x:v>normalized_free_check</x:v>
      </x:c>
      <x:c r="M41" s="56" t="str">
        <x:v>https://github.com/Roger-LegalEase/legalease-partner-dashboard-clean/blob/2f0ef0403f16e57544ad0bc86b2d1b1cd08861b3/src/lib/rcap-engine/compiled/profiles/AZ-arizona.json</x:v>
      </x:c>
    </x:row>
    <x:row r="42">
      <x:c r="A42" s="55" t="str">
        <x:v>Arizona</x:v>
      </x:c>
      <x:c r="B42" s="142" t="str">
        <x:v>AZ</x:v>
      </x:c>
      <x:c r="C42" s="142" t="n">
        <x:v>7</x:v>
      </x:c>
      <x:c r="D42" s="142" t="str">
        <x:v>Timing / completion</x:v>
      </x:c>
      <x:c r="E42" s="142" t="str">
        <x:v>About how long ago did this case end or get resolved?</x:v>
      </x:c>
      <x:c r="F42" s="142" t="str">
        <x:v>single_choice</x:v>
      </x:c>
      <x:c r="G42" s="142" t="str">
        <x:v>Ask only when at least one viable route has a waiting period.</x:v>
      </x:c>
      <x:c r="H42" s="142" t="str">
        <x:v>Uses an approximate band for a preliminary result; exact dates are collected later.</x:v>
      </x:c>
      <x:c r="I42" s="142" t="str">
        <x:v>Timing-dependent routes</x:v>
      </x:c>
      <x:c r="J42" s="142" t="str">
        <x:v>Exact details, if needed, are collected after account creation in packet completion.</x:v>
      </x:c>
      <x:c r="K42" s="142" t="str">
        <x:v>timing_and_completion</x:v>
      </x:c>
      <x:c r="L42" s="142" t="str">
        <x:v>normalized_free_check</x:v>
      </x:c>
      <x:c r="M42" s="56" t="str">
        <x:v>https://github.com/Roger-LegalEase/legalease-partner-dashboard-clean/blob/2f0ef0403f16e57544ad0bc86b2d1b1cd08861b3/src/lib/rcap-engine/compiled/profiles/AZ-arizona.json</x:v>
      </x:c>
    </x:row>
    <x:row r="43">
      <x:c r="A43" s="55" t="str">
        <x:v>Arizona</x:v>
      </x:c>
      <x:c r="B43" s="142" t="str">
        <x:v>AZ</x:v>
      </x:c>
      <x:c r="C43" s="142" t="n">
        <x:v>8</x:v>
      </x:c>
      <x:c r="D43" s="142" t="str">
        <x:v>Exclusions / review</x:v>
      </x:c>
      <x:c r="E43" s="142" t="str">
        <x:v>Does the record involve any Arizona category that the source identifies as excluded or review-required?</x:v>
      </x:c>
      <x:c r="F43" s="142" t="str">
        <x:v>multi_select</x:v>
      </x:c>
      <x:c r="G43" s="142" t="str">
        <x:v>Ask after the route is narrowed; show only categories relevant to the remaining route.</x:v>
      </x:c>
      <x:c r="H43" s="142" t="str">
        <x:v>Matching category → hard stop or review; none → continue.</x:v>
      </x:c>
      <x:c r="I43" s="142" t="str">
        <x:v>Route-specific exclusions</x:v>
      </x:c>
      <x:c r="J43" s="142" t="str">
        <x:v>Exact details, if needed, are collected after account creation in packet completion.</x:v>
      </x:c>
      <x:c r="K43" s="142" t="str">
        <x:v>exclusion_screen</x:v>
      </x:c>
      <x:c r="L43" s="142" t="str">
        <x:v>state_exclusion_section</x:v>
      </x:c>
      <x:c r="M43" s="56" t="str">
        <x:v>https://github.com/Roger-LegalEase/legalease-partner-dashboard-clean/blob/2f0ef0403f16e57544ad0bc86b2d1b1cd08861b3/src/lib/rcap-engine/compiled/profiles/AZ-arizona.json</x:v>
      </x:c>
    </x:row>
    <x:row r="44">
      <x:c r="A44" s="55" t="str">
        <x:v>California</x:v>
      </x:c>
      <x:c r="B44" s="142" t="str">
        <x:v>CA</x:v>
      </x:c>
      <x:c r="C44" s="142" t="n">
        <x:v>1</x:v>
      </x:c>
      <x:c r="D44" s="142" t="str">
        <x:v>Scope</x:v>
      </x:c>
      <x:c r="E44" s="142" t="str">
        <x:v>Are you asking about your own record?</x:v>
      </x:c>
      <x:c r="F44" s="142" t="str">
        <x:v>single_choice</x:v>
      </x:c>
      <x:c r="G44" s="142" t="str">
        <x:v>Ask in every free check</x:v>
      </x:c>
      <x:c r="H44" s="142" t="str">
        <x:v>No → stop or redirect; Yes → continue.</x:v>
      </x:c>
      <x:c r="I44" s="142" t="str">
        <x:v>All routes</x:v>
      </x:c>
      <x:c r="J44" s="142" t="str">
        <x:v>Exact details, if needed, are collected after account creation in packet completion.</x:v>
      </x:c>
      <x:c r="K44" s="142" t="str">
        <x:v>scope</x:v>
      </x:c>
      <x:c r="L44" s="142" t="str">
        <x:v>shared_scope_boundary</x:v>
      </x:c>
      <x:c r="M44" s="56" t="str">
        <x:v>https://github.com/Roger-LegalEase/legalease-partner-dashboard-clean/blob/2f0ef0403f16e57544ad0bc86b2d1b1cd08861b3/src/lib/rcap-engine/compiled/profiles/CA-california.json</x:v>
      </x:c>
    </x:row>
    <x:row r="45">
      <x:c r="A45" s="55" t="str">
        <x:v>California</x:v>
      </x:c>
      <x:c r="B45" s="142" t="str">
        <x:v>CA</x:v>
      </x:c>
      <x:c r="C45" s="142" t="n">
        <x:v>2</x:v>
      </x:c>
      <x:c r="D45" s="142" t="str">
        <x:v>Scope</x:v>
      </x:c>
      <x:c r="E45" s="142" t="str">
        <x:v>Is this a state or local matter from California, rather than a federal matter?</x:v>
      </x:c>
      <x:c r="F45" s="142" t="str">
        <x:v>single_choice</x:v>
      </x:c>
      <x:c r="G45" s="142" t="str">
        <x:v>Ask in every free check</x:v>
      </x:c>
      <x:c r="H45" s="142" t="str">
        <x:v>Federal or wrong-state matter → outside this state flow; state/local matter → continue.</x:v>
      </x:c>
      <x:c r="I45" s="142" t="str">
        <x:v>All routes</x:v>
      </x:c>
      <x:c r="J45" s="142" t="str">
        <x:v>Exact details, if needed, are collected after account creation in packet completion.</x:v>
      </x:c>
      <x:c r="K45" s="142" t="str">
        <x:v>scope</x:v>
      </x:c>
      <x:c r="L45" s="142" t="str">
        <x:v>shared_scope_boundary</x:v>
      </x:c>
      <x:c r="M45" s="56" t="str">
        <x:v>https://github.com/Roger-LegalEase/legalease-partner-dashboard-clean/blob/2f0ef0403f16e57544ad0bc86b2d1b1cd08861b3/src/lib/rcap-engine/compiled/profiles/CA-california.json</x:v>
      </x:c>
    </x:row>
    <x:row r="46">
      <x:c r="A46" s="55" t="str">
        <x:v>California</x:v>
      </x:c>
      <x:c r="B46" s="142" t="str">
        <x:v>CA</x:v>
      </x:c>
      <x:c r="C46" s="142" t="n">
        <x:v>3</x:v>
      </x:c>
      <x:c r="D46" s="142" t="str">
        <x:v>Route identification</x:v>
      </x:c>
      <x:c r="E46" s="142" t="str">
        <x:v>How did the California case or record end?</x:v>
      </x:c>
      <x:c r="F46" s="142" t="str">
        <x:v>single_choice</x:v>
      </x:c>
      <x:c r="G46" s="142" t="str">
        <x:v>Ask after scope, before route-specific questions</x:v>
      </x:c>
      <x:c r="H46" s="142" t="str">
        <x:v>Splits nonconviction, conviction, diversion/deferred, juvenile, automatic, pardon, correction, and other route families.</x:v>
      </x:c>
      <x:c r="I46" s="142" t="str">
        <x:v>All routes</x:v>
      </x:c>
      <x:c r="J46" s="142" t="str">
        <x:v>Exact details, if needed, are collected after account creation in packet completion.</x:v>
      </x:c>
      <x:c r="K46" s="142" t="str">
        <x:v>pathway_routing</x:v>
      </x:c>
      <x:c r="L46" s="142" t="str">
        <x:v>state_case_outcome_rules</x:v>
      </x:c>
      <x:c r="M46" s="56" t="str">
        <x:v>https://github.com/Roger-LegalEase/legalease-partner-dashboard-clean/blob/2f0ef0403f16e57544ad0bc86b2d1b1cd08861b3/src/lib/rcap-engine/compiled/profiles/CA-california.json</x:v>
      </x:c>
    </x:row>
    <x:row r="47">
      <x:c r="A47" s="55" t="str">
        <x:v>California</x:v>
      </x:c>
      <x:c r="B47" s="142" t="str">
        <x:v>CA</x:v>
      </x:c>
      <x:c r="C47" s="142" t="n">
        <x:v>4</x:v>
      </x:c>
      <x:c r="D47" s="142" t="str">
        <x:v>Route identification</x:v>
      </x:c>
      <x:c r="E47" s="142" t="str">
        <x:v>What level or type was the charge?</x:v>
      </x:c>
      <x:c r="F47" s="142" t="str">
        <x:v>single_choice</x:v>
      </x:c>
      <x:c r="G47" s="142" t="str">
        <x:v>Ask after scope, before route-specific questions</x:v>
      </x:c>
      <x:c r="H47" s="142" t="str">
        <x:v>Narrows offense-level routes, waiting-period bands, and obvious exclusions.</x:v>
      </x:c>
      <x:c r="I47" s="142" t="str">
        <x:v>All routes</x:v>
      </x:c>
      <x:c r="J47" s="142" t="str">
        <x:v>Exact details, if needed, are collected after account creation in packet completion.</x:v>
      </x:c>
      <x:c r="K47" s="142" t="str">
        <x:v>pathway_routing</x:v>
      </x:c>
      <x:c r="L47" s="142" t="str">
        <x:v>state_pathway_and_exclusion_rules</x:v>
      </x:c>
      <x:c r="M47" s="56" t="str">
        <x:v>https://github.com/Roger-LegalEase/legalease-partner-dashboard-clean/blob/2f0ef0403f16e57544ad0bc86b2d1b1cd08861b3/src/lib/rcap-engine/compiled/profiles/CA-california.json</x:v>
      </x:c>
    </x:row>
    <x:row r="48">
      <x:c r="A48" s="55" t="str">
        <x:v>California</x:v>
      </x:c>
      <x:c r="B48" s="142" t="str">
        <x:v>CA</x:v>
      </x:c>
      <x:c r="C48" s="142" t="n">
        <x:v>5</x:v>
      </x:c>
      <x:c r="D48" s="142" t="str">
        <x:v>Route identification</x:v>
      </x:c>
      <x:c r="E48" s="142" t="str">
        <x:v>Do any of these California descriptions sound close to your situation?</x:v>
      </x:c>
      <x:c r="F48" s="142" t="str">
        <x:v>single_choice</x:v>
      </x:c>
      <x:c r="G48" s="142" t="str">
        <x:v>Ask after scope, before route-specific questions</x:v>
      </x:c>
      <x:c r="H48" s="142" t="str">
        <x:v>Lets the participant select a likely remedy or “not sure”; selection prunes unrelated route-specific questions.</x:v>
      </x:c>
      <x:c r="I48" s="142" t="str">
        <x:v>All routes</x:v>
      </x:c>
      <x:c r="J48" s="142" t="str">
        <x:v>Exact details, if needed, are collected after account creation in packet completion.</x:v>
      </x:c>
      <x:c r="K48" s="142" t="str">
        <x:v>pathway_routing</x:v>
      </x:c>
      <x:c r="L48" s="142" t="str">
        <x:v>curated_state_pathway_catalog_from_reference</x:v>
      </x:c>
      <x:c r="M48" s="56" t="str">
        <x:v>https://github.com/Roger-LegalEase/legalease-partner-dashboard-clean/blob/2f0ef0403f16e57544ad0bc86b2d1b1cd08861b3/src/lib/rcap-engine/compiled/profiles/CA-california.json</x:v>
      </x:c>
    </x:row>
    <x:row r="49">
      <x:c r="A49" s="55" t="str">
        <x:v>California</x:v>
      </x:c>
      <x:c r="B49" s="142" t="str">
        <x:v>CA</x:v>
      </x:c>
      <x:c r="C49" s="142" t="n">
        <x:v>6</x:v>
      </x:c>
      <x:c r="D49" s="142" t="str">
        <x:v>Special pathway</x:v>
      </x:c>
      <x:c r="E49" s="142" t="str">
        <x:v>Have you received a pardon, certificate of rehabilitation, or similar executive relief for this conviction?</x:v>
      </x:c>
      <x:c r="F49" s="142" t="str">
        <x:v>yes_no_unsure</x:v>
      </x:c>
      <x:c r="G49" s="142" t="str">
        <x:v>Ask only while a pardon or executive-relief route remains viable.</x:v>
      </x:c>
      <x:c r="H49" s="142" t="str">
        <x:v>Yes may open a pardon-based route; No preserves ordinary routes; Not sure defers proof.</x:v>
      </x:c>
      <x:c r="I49" s="142" t="str">
        <x:v>Pardon / executive-relief routes</x:v>
      </x:c>
      <x:c r="J49" s="142" t="str">
        <x:v>Exact details, if needed, are collected after account creation in packet completion.</x:v>
      </x:c>
      <x:c r="K49" s="142" t="str">
        <x:v>special_pathways</x:v>
      </x:c>
      <x:c r="L49" s="142" t="str">
        <x:v>derived_from_state_rule_fields</x:v>
      </x:c>
      <x:c r="M49" s="56" t="str">
        <x:v>https://github.com/Roger-LegalEase/legalease-partner-dashboard-clean/blob/2f0ef0403f16e57544ad0bc86b2d1b1cd08861b3/src/lib/rcap-engine/compiled/profiles/CA-california.json</x:v>
      </x:c>
    </x:row>
    <x:row r="50">
      <x:c r="A50" s="55" t="str">
        <x:v>California</x:v>
      </x:c>
      <x:c r="B50" s="142" t="str">
        <x:v>CA</x:v>
      </x:c>
      <x:c r="C50" s="142" t="n">
        <x:v>7</x:v>
      </x:c>
      <x:c r="D50" s="142" t="str">
        <x:v>Timing / completion</x:v>
      </x:c>
      <x:c r="E50" s="142" t="str">
        <x:v>Do you currently have any pending criminal charge, open case, probation, parole, or other supervision?</x:v>
      </x:c>
      <x:c r="F50" s="142" t="str">
        <x:v>yes_no_unsure</x:v>
      </x:c>
      <x:c r="G50" s="142" t="str">
        <x:v>Ask only when pending cases or active supervision can block the candidate route.</x:v>
      </x:c>
      <x:c r="H50" s="142" t="str">
        <x:v>Pending/open matter may produce not-yet, review, or a different route.</x:v>
      </x:c>
      <x:c r="I50" s="142" t="str">
        <x:v>Pending-case-sensitive routes</x:v>
      </x:c>
      <x:c r="J50" s="142" t="str">
        <x:v>Exact details, if needed, are collected after account creation in packet completion.</x:v>
      </x:c>
      <x:c r="K50" s="142" t="str">
        <x:v>timing_and_completion</x:v>
      </x:c>
      <x:c r="L50" s="142" t="str">
        <x:v>derived_from_state_rule_fields</x:v>
      </x:c>
      <x:c r="M50" s="56" t="str">
        <x:v>https://github.com/Roger-LegalEase/legalease-partner-dashboard-clean/blob/2f0ef0403f16e57544ad0bc86b2d1b1cd08861b3/src/lib/rcap-engine/compiled/profiles/CA-california.json</x:v>
      </x:c>
    </x:row>
    <x:row r="51">
      <x:c r="A51" s="55" t="str">
        <x:v>California</x:v>
      </x:c>
      <x:c r="B51" s="142" t="str">
        <x:v>CA</x:v>
      </x:c>
      <x:c r="C51" s="142" t="n">
        <x:v>8</x:v>
      </x:c>
      <x:c r="D51" s="142" t="str">
        <x:v>Timing / completion</x:v>
      </x:c>
      <x:c r="E51" s="142" t="str">
        <x:v>Have you completed everything the court ordered in this case?</x:v>
      </x:c>
      <x:c r="F51" s="142" t="str">
        <x:v>single_choice</x:v>
      </x:c>
      <x:c r="G51" s="142" t="str">
        <x:v>Ask only when a viable route depends on sentence, supervision, program, restitution, or financial completion.</x:v>
      </x:c>
      <x:c r="H51" s="142" t="str">
        <x:v>No → usually not yet or needs more information; Yes → continue; Not sure → defer exact proof.</x:v>
      </x:c>
      <x:c r="I51" s="142" t="str">
        <x:v>Completion-dependent routes</x:v>
      </x:c>
      <x:c r="J51" s="142" t="str">
        <x:v>Exact details, if needed, are collected after account creation in packet completion.</x:v>
      </x:c>
      <x:c r="K51" s="142" t="str">
        <x:v>timing_and_completion</x:v>
      </x:c>
      <x:c r="L51" s="142" t="str">
        <x:v>normalized_free_check</x:v>
      </x:c>
      <x:c r="M51" s="56" t="str">
        <x:v>https://github.com/Roger-LegalEase/legalease-partner-dashboard-clean/blob/2f0ef0403f16e57544ad0bc86b2d1b1cd08861b3/src/lib/rcap-engine/compiled/profiles/CA-california.json</x:v>
      </x:c>
    </x:row>
    <x:row r="52">
      <x:c r="A52" s="55" t="str">
        <x:v>California</x:v>
      </x:c>
      <x:c r="B52" s="142" t="str">
        <x:v>CA</x:v>
      </x:c>
      <x:c r="C52" s="142" t="n">
        <x:v>9</x:v>
      </x:c>
      <x:c r="D52" s="142" t="str">
        <x:v>Timing / completion</x:v>
      </x:c>
      <x:c r="E52" s="142" t="str">
        <x:v>About how long ago did this case end or get resolved?</x:v>
      </x:c>
      <x:c r="F52" s="142" t="str">
        <x:v>single_choice</x:v>
      </x:c>
      <x:c r="G52" s="142" t="str">
        <x:v>Ask only when at least one viable route has a waiting period.</x:v>
      </x:c>
      <x:c r="H52" s="142" t="str">
        <x:v>Uses an approximate band for a preliminary result; exact dates are collected later.</x:v>
      </x:c>
      <x:c r="I52" s="142" t="str">
        <x:v>Timing-dependent routes</x:v>
      </x:c>
      <x:c r="J52" s="142" t="str">
        <x:v>Exact details, if needed, are collected after account creation in packet completion.</x:v>
      </x:c>
      <x:c r="K52" s="142" t="str">
        <x:v>timing_and_completion</x:v>
      </x:c>
      <x:c r="L52" s="142" t="str">
        <x:v>normalized_free_check</x:v>
      </x:c>
      <x:c r="M52" s="56" t="str">
        <x:v>https://github.com/Roger-LegalEase/legalease-partner-dashboard-clean/blob/2f0ef0403f16e57544ad0bc86b2d1b1cd08861b3/src/lib/rcap-engine/compiled/profiles/CA-california.json</x:v>
      </x:c>
    </x:row>
    <x:row r="53">
      <x:c r="A53" s="55" t="str">
        <x:v>California</x:v>
      </x:c>
      <x:c r="B53" s="142" t="str">
        <x:v>CA</x:v>
      </x:c>
      <x:c r="C53" s="142" t="n">
        <x:v>10</x:v>
      </x:c>
      <x:c r="D53" s="142" t="str">
        <x:v>Exclusions / review</x:v>
      </x:c>
      <x:c r="E53" s="142" t="str">
        <x:v>Does the record involve any California category that the source identifies as excluded or review-required?</x:v>
      </x:c>
      <x:c r="F53" s="142" t="str">
        <x:v>multi_select</x:v>
      </x:c>
      <x:c r="G53" s="142" t="str">
        <x:v>Ask after the route is narrowed; show only categories relevant to the remaining route.</x:v>
      </x:c>
      <x:c r="H53" s="142" t="str">
        <x:v>Matching category → hard stop or review; none → continue.</x:v>
      </x:c>
      <x:c r="I53" s="142" t="str">
        <x:v>Route-specific exclusions</x:v>
      </x:c>
      <x:c r="J53" s="142" t="str">
        <x:v>Exact details, if needed, are collected after account creation in packet completion.</x:v>
      </x:c>
      <x:c r="K53" s="142" t="str">
        <x:v>exclusion_screen</x:v>
      </x:c>
      <x:c r="L53" s="142" t="str">
        <x:v>state_exclusion_section</x:v>
      </x:c>
      <x:c r="M53" s="56" t="str">
        <x:v>https://github.com/Roger-LegalEase/legalease-partner-dashboard-clean/blob/2f0ef0403f16e57544ad0bc86b2d1b1cd08861b3/src/lib/rcap-engine/compiled/profiles/CA-california.json</x:v>
      </x:c>
    </x:row>
    <x:row r="54">
      <x:c r="A54" s="55" t="str">
        <x:v>Colorado</x:v>
      </x:c>
      <x:c r="B54" s="142" t="str">
        <x:v>CO</x:v>
      </x:c>
      <x:c r="C54" s="142" t="n">
        <x:v>1</x:v>
      </x:c>
      <x:c r="D54" s="142" t="str">
        <x:v>Scope</x:v>
      </x:c>
      <x:c r="E54" s="142" t="str">
        <x:v>Are you asking about your own record?</x:v>
      </x:c>
      <x:c r="F54" s="142" t="str">
        <x:v>single_choice</x:v>
      </x:c>
      <x:c r="G54" s="142" t="str">
        <x:v>Ask in every free check</x:v>
      </x:c>
      <x:c r="H54" s="142" t="str">
        <x:v>No → stop or redirect; Yes → continue.</x:v>
      </x:c>
      <x:c r="I54" s="142" t="str">
        <x:v>All routes</x:v>
      </x:c>
      <x:c r="J54" s="142" t="str">
        <x:v>Exact details, if needed, are collected after account creation in packet completion.</x:v>
      </x:c>
      <x:c r="K54" s="142" t="str">
        <x:v>scope</x:v>
      </x:c>
      <x:c r="L54" s="142" t="str">
        <x:v>shared_scope_boundary</x:v>
      </x:c>
      <x:c r="M54" s="56" t="str">
        <x:v>https://github.com/Roger-LegalEase/legalease-partner-dashboard-clean/blob/2f0ef0403f16e57544ad0bc86b2d1b1cd08861b3/src/lib/rcap-engine/compiled/profiles/CO-colorado.json</x:v>
      </x:c>
    </x:row>
    <x:row r="55">
      <x:c r="A55" s="55" t="str">
        <x:v>Colorado</x:v>
      </x:c>
      <x:c r="B55" s="142" t="str">
        <x:v>CO</x:v>
      </x:c>
      <x:c r="C55" s="142" t="n">
        <x:v>2</x:v>
      </x:c>
      <x:c r="D55" s="142" t="str">
        <x:v>Scope</x:v>
      </x:c>
      <x:c r="E55" s="142" t="str">
        <x:v>Is this a state or local matter from Colorado, rather than a federal matter?</x:v>
      </x:c>
      <x:c r="F55" s="142" t="str">
        <x:v>single_choice</x:v>
      </x:c>
      <x:c r="G55" s="142" t="str">
        <x:v>Ask in every free check</x:v>
      </x:c>
      <x:c r="H55" s="142" t="str">
        <x:v>Federal or wrong-state matter → outside this state flow; state/local matter → continue.</x:v>
      </x:c>
      <x:c r="I55" s="142" t="str">
        <x:v>All routes</x:v>
      </x:c>
      <x:c r="J55" s="142" t="str">
        <x:v>Exact details, if needed, are collected after account creation in packet completion.</x:v>
      </x:c>
      <x:c r="K55" s="142" t="str">
        <x:v>scope</x:v>
      </x:c>
      <x:c r="L55" s="142" t="str">
        <x:v>shared_scope_boundary</x:v>
      </x:c>
      <x:c r="M55" s="56" t="str">
        <x:v>https://github.com/Roger-LegalEase/legalease-partner-dashboard-clean/blob/2f0ef0403f16e57544ad0bc86b2d1b1cd08861b3/src/lib/rcap-engine/compiled/profiles/CO-colorado.json</x:v>
      </x:c>
    </x:row>
    <x:row r="56">
      <x:c r="A56" s="55" t="str">
        <x:v>Colorado</x:v>
      </x:c>
      <x:c r="B56" s="142" t="str">
        <x:v>CO</x:v>
      </x:c>
      <x:c r="C56" s="142" t="n">
        <x:v>3</x:v>
      </x:c>
      <x:c r="D56" s="142" t="str">
        <x:v>Route identification</x:v>
      </x:c>
      <x:c r="E56" s="142" t="str">
        <x:v>How did the Colorado case or record end?</x:v>
      </x:c>
      <x:c r="F56" s="142" t="str">
        <x:v>single_choice</x:v>
      </x:c>
      <x:c r="G56" s="142" t="str">
        <x:v>Ask after scope, before route-specific questions</x:v>
      </x:c>
      <x:c r="H56" s="142" t="str">
        <x:v>Splits nonconviction, conviction, diversion/deferred, juvenile, automatic, pardon, correction, and other route families.</x:v>
      </x:c>
      <x:c r="I56" s="142" t="str">
        <x:v>All routes</x:v>
      </x:c>
      <x:c r="J56" s="142" t="str">
        <x:v>Exact details, if needed, are collected after account creation in packet completion.</x:v>
      </x:c>
      <x:c r="K56" s="142" t="str">
        <x:v>pathway_routing</x:v>
      </x:c>
      <x:c r="L56" s="142" t="str">
        <x:v>state_case_outcome_rules</x:v>
      </x:c>
      <x:c r="M56" s="56" t="str">
        <x:v>https://github.com/Roger-LegalEase/legalease-partner-dashboard-clean/blob/2f0ef0403f16e57544ad0bc86b2d1b1cd08861b3/src/lib/rcap-engine/compiled/profiles/CO-colorado.json</x:v>
      </x:c>
    </x:row>
    <x:row r="57">
      <x:c r="A57" s="55" t="str">
        <x:v>Colorado</x:v>
      </x:c>
      <x:c r="B57" s="142" t="str">
        <x:v>CO</x:v>
      </x:c>
      <x:c r="C57" s="142" t="n">
        <x:v>4</x:v>
      </x:c>
      <x:c r="D57" s="142" t="str">
        <x:v>Route identification</x:v>
      </x:c>
      <x:c r="E57" s="142" t="str">
        <x:v>What level or type was the charge?</x:v>
      </x:c>
      <x:c r="F57" s="142" t="str">
        <x:v>single_choice</x:v>
      </x:c>
      <x:c r="G57" s="142" t="str">
        <x:v>Ask after scope, before route-specific questions</x:v>
      </x:c>
      <x:c r="H57" s="142" t="str">
        <x:v>Narrows offense-level routes, waiting-period bands, and obvious exclusions.</x:v>
      </x:c>
      <x:c r="I57" s="142" t="str">
        <x:v>All routes</x:v>
      </x:c>
      <x:c r="J57" s="142" t="str">
        <x:v>Exact details, if needed, are collected after account creation in packet completion.</x:v>
      </x:c>
      <x:c r="K57" s="142" t="str">
        <x:v>pathway_routing</x:v>
      </x:c>
      <x:c r="L57" s="142" t="str">
        <x:v>state_pathway_and_exclusion_rules</x:v>
      </x:c>
      <x:c r="M57" s="56" t="str">
        <x:v>https://github.com/Roger-LegalEase/legalease-partner-dashboard-clean/blob/2f0ef0403f16e57544ad0bc86b2d1b1cd08861b3/src/lib/rcap-engine/compiled/profiles/CO-colorado.json</x:v>
      </x:c>
    </x:row>
    <x:row r="58">
      <x:c r="A58" s="55" t="str">
        <x:v>Colorado</x:v>
      </x:c>
      <x:c r="B58" s="142" t="str">
        <x:v>CO</x:v>
      </x:c>
      <x:c r="C58" s="142" t="n">
        <x:v>5</x:v>
      </x:c>
      <x:c r="D58" s="142" t="str">
        <x:v>Route identification</x:v>
      </x:c>
      <x:c r="E58" s="142" t="str">
        <x:v>Do any of these Colorado descriptions sound close to your situation?</x:v>
      </x:c>
      <x:c r="F58" s="142" t="str">
        <x:v>single_choice</x:v>
      </x:c>
      <x:c r="G58" s="142" t="str">
        <x:v>Ask after scope, before route-specific questions</x:v>
      </x:c>
      <x:c r="H58" s="142" t="str">
        <x:v>Lets the participant select a likely remedy or “not sure”; selection prunes unrelated route-specific questions.</x:v>
      </x:c>
      <x:c r="I58" s="142" t="str">
        <x:v>All routes</x:v>
      </x:c>
      <x:c r="J58" s="142" t="str">
        <x:v>Exact details, if needed, are collected after account creation in packet completion.</x:v>
      </x:c>
      <x:c r="K58" s="142" t="str">
        <x:v>pathway_routing</x:v>
      </x:c>
      <x:c r="L58" s="142" t="str">
        <x:v>curated_state_pathway_catalog_from_reference</x:v>
      </x:c>
      <x:c r="M58" s="56" t="str">
        <x:v>https://github.com/Roger-LegalEase/legalease-partner-dashboard-clean/blob/2f0ef0403f16e57544ad0bc86b2d1b1cd08861b3/src/lib/rcap-engine/compiled/profiles/CO-colorado.json</x:v>
      </x:c>
    </x:row>
    <x:row r="59">
      <x:c r="A59" s="55" t="str">
        <x:v>Colorado</x:v>
      </x:c>
      <x:c r="B59" s="142" t="str">
        <x:v>CO</x:v>
      </x:c>
      <x:c r="C59" s="142" t="n">
        <x:v>6</x:v>
      </x:c>
      <x:c r="D59" s="142" t="str">
        <x:v>Route identification</x:v>
      </x:c>
      <x:c r="E59" s="142" t="str">
        <x:v>How old were you when the offense or case began?</x:v>
      </x:c>
      <x:c r="F59" s="142" t="str">
        <x:v>number_or_range</x:v>
      </x:c>
      <x:c r="G59" s="142" t="str">
        <x:v>Ask only when adult-versus-juvenile or youthful-offender treatment may change the route.</x:v>
      </x:c>
      <x:c r="H59" s="142" t="str">
        <x:v>Routes to juvenile/youthful-offender logic or keeps the adult route.</x:v>
      </x:c>
      <x:c r="I59" s="142" t="str">
        <x:v>Age-sensitive routes</x:v>
      </x:c>
      <x:c r="J59" s="142" t="str">
        <x:v>Exact details, if needed, are collected after account creation in packet completion.</x:v>
      </x:c>
      <x:c r="K59" s="142" t="str">
        <x:v>pathway_routing</x:v>
      </x:c>
      <x:c r="L59" s="142" t="str">
        <x:v>derived_from_state_rule_fields</x:v>
      </x:c>
      <x:c r="M59" s="56" t="str">
        <x:v>https://github.com/Roger-LegalEase/legalease-partner-dashboard-clean/blob/2f0ef0403f16e57544ad0bc86b2d1b1cd08861b3/src/lib/rcap-engine/compiled/profiles/CO-colorado.json</x:v>
      </x:c>
    </x:row>
    <x:row r="60">
      <x:c r="A60" s="55" t="str">
        <x:v>Colorado</x:v>
      </x:c>
      <x:c r="B60" s="142" t="str">
        <x:v>CO</x:v>
      </x:c>
      <x:c r="C60" s="142" t="n">
        <x:v>7</x:v>
      </x:c>
      <x:c r="D60" s="142" t="str">
        <x:v>Timing / completion</x:v>
      </x:c>
      <x:c r="E60" s="142" t="str">
        <x:v>About how long ago did this case end or get resolved?</x:v>
      </x:c>
      <x:c r="F60" s="142" t="str">
        <x:v>single_choice</x:v>
      </x:c>
      <x:c r="G60" s="142" t="str">
        <x:v>Ask only when at least one viable route has a waiting period.</x:v>
      </x:c>
      <x:c r="H60" s="142" t="str">
        <x:v>Uses an approximate band for a preliminary result; exact dates are collected later.</x:v>
      </x:c>
      <x:c r="I60" s="142" t="str">
        <x:v>Timing-dependent routes</x:v>
      </x:c>
      <x:c r="J60" s="142" t="str">
        <x:v>Exact details, if needed, are collected after account creation in packet completion.</x:v>
      </x:c>
      <x:c r="K60" s="142" t="str">
        <x:v>timing_and_completion</x:v>
      </x:c>
      <x:c r="L60" s="142" t="str">
        <x:v>normalized_free_check</x:v>
      </x:c>
      <x:c r="M60" s="56" t="str">
        <x:v>https://github.com/Roger-LegalEase/legalease-partner-dashboard-clean/blob/2f0ef0403f16e57544ad0bc86b2d1b1cd08861b3/src/lib/rcap-engine/compiled/profiles/CO-colorado.json</x:v>
      </x:c>
    </x:row>
    <x:row r="61">
      <x:c r="A61" s="55" t="str">
        <x:v>Colorado</x:v>
      </x:c>
      <x:c r="B61" s="142" t="str">
        <x:v>CO</x:v>
      </x:c>
      <x:c r="C61" s="142" t="n">
        <x:v>8</x:v>
      </x:c>
      <x:c r="D61" s="142" t="str">
        <x:v>Exclusions / review</x:v>
      </x:c>
      <x:c r="E61" s="142" t="str">
        <x:v>Does the record involve any Colorado category that the source identifies as excluded or review-required?</x:v>
      </x:c>
      <x:c r="F61" s="142" t="str">
        <x:v>multi_select</x:v>
      </x:c>
      <x:c r="G61" s="142" t="str">
        <x:v>Ask after the route is narrowed; show only categories relevant to the remaining route.</x:v>
      </x:c>
      <x:c r="H61" s="142" t="str">
        <x:v>Matching category → hard stop or review; none → continue.</x:v>
      </x:c>
      <x:c r="I61" s="142" t="str">
        <x:v>Route-specific exclusions</x:v>
      </x:c>
      <x:c r="J61" s="142" t="str">
        <x:v>Exact details, if needed, are collected after account creation in packet completion.</x:v>
      </x:c>
      <x:c r="K61" s="142" t="str">
        <x:v>exclusion_screen</x:v>
      </x:c>
      <x:c r="L61" s="142" t="str">
        <x:v>state_exclusion_section</x:v>
      </x:c>
      <x:c r="M61" s="56" t="str">
        <x:v>https://github.com/Roger-LegalEase/legalease-partner-dashboard-clean/blob/2f0ef0403f16e57544ad0bc86b2d1b1cd08861b3/src/lib/rcap-engine/compiled/profiles/CO-colorado.json</x:v>
      </x:c>
    </x:row>
    <x:row r="62">
      <x:c r="A62" s="55" t="str">
        <x:v>Connecticut</x:v>
      </x:c>
      <x:c r="B62" s="142" t="str">
        <x:v>CT</x:v>
      </x:c>
      <x:c r="C62" s="142" t="n">
        <x:v>1</x:v>
      </x:c>
      <x:c r="D62" s="142" t="str">
        <x:v>Scope</x:v>
      </x:c>
      <x:c r="E62" s="142" t="str">
        <x:v>Are you asking about your own record?</x:v>
      </x:c>
      <x:c r="F62" s="142" t="str">
        <x:v>single_choice</x:v>
      </x:c>
      <x:c r="G62" s="142" t="str">
        <x:v>Ask in every free check</x:v>
      </x:c>
      <x:c r="H62" s="142" t="str">
        <x:v>No → stop or redirect; Yes → continue.</x:v>
      </x:c>
      <x:c r="I62" s="142" t="str">
        <x:v>All routes</x:v>
      </x:c>
      <x:c r="J62" s="142" t="str">
        <x:v>Exact details, if needed, are collected after account creation in packet completion.</x:v>
      </x:c>
      <x:c r="K62" s="142" t="str">
        <x:v>scope</x:v>
      </x:c>
      <x:c r="L62" s="142" t="str">
        <x:v>shared_scope_boundary</x:v>
      </x:c>
      <x:c r="M62" s="56" t="str">
        <x:v>https://github.com/Roger-LegalEase/legalease-partner-dashboard-clean/blob/2f0ef0403f16e57544ad0bc86b2d1b1cd08861b3/src/lib/rcap-engine/compiled/profiles/CT-connecticut.json</x:v>
      </x:c>
    </x:row>
    <x:row r="63">
      <x:c r="A63" s="55" t="str">
        <x:v>Connecticut</x:v>
      </x:c>
      <x:c r="B63" s="142" t="str">
        <x:v>CT</x:v>
      </x:c>
      <x:c r="C63" s="142" t="n">
        <x:v>2</x:v>
      </x:c>
      <x:c r="D63" s="142" t="str">
        <x:v>Scope</x:v>
      </x:c>
      <x:c r="E63" s="142" t="str">
        <x:v>Is this a state or local matter from Connecticut, rather than a federal matter?</x:v>
      </x:c>
      <x:c r="F63" s="142" t="str">
        <x:v>single_choice</x:v>
      </x:c>
      <x:c r="G63" s="142" t="str">
        <x:v>Ask in every free check</x:v>
      </x:c>
      <x:c r="H63" s="142" t="str">
        <x:v>Federal or wrong-state matter → outside this state flow; state/local matter → continue.</x:v>
      </x:c>
      <x:c r="I63" s="142" t="str">
        <x:v>All routes</x:v>
      </x:c>
      <x:c r="J63" s="142" t="str">
        <x:v>Exact details, if needed, are collected after account creation in packet completion.</x:v>
      </x:c>
      <x:c r="K63" s="142" t="str">
        <x:v>scope</x:v>
      </x:c>
      <x:c r="L63" s="142" t="str">
        <x:v>shared_scope_boundary</x:v>
      </x:c>
      <x:c r="M63" s="56" t="str">
        <x:v>https://github.com/Roger-LegalEase/legalease-partner-dashboard-clean/blob/2f0ef0403f16e57544ad0bc86b2d1b1cd08861b3/src/lib/rcap-engine/compiled/profiles/CT-connecticut.json</x:v>
      </x:c>
    </x:row>
    <x:row r="64">
      <x:c r="A64" s="55" t="str">
        <x:v>Connecticut</x:v>
      </x:c>
      <x:c r="B64" s="142" t="str">
        <x:v>CT</x:v>
      </x:c>
      <x:c r="C64" s="142" t="n">
        <x:v>3</x:v>
      </x:c>
      <x:c r="D64" s="142" t="str">
        <x:v>Route identification</x:v>
      </x:c>
      <x:c r="E64" s="142" t="str">
        <x:v>How did the Connecticut case or record end?</x:v>
      </x:c>
      <x:c r="F64" s="142" t="str">
        <x:v>single_choice</x:v>
      </x:c>
      <x:c r="G64" s="142" t="str">
        <x:v>Ask after scope, before route-specific questions</x:v>
      </x:c>
      <x:c r="H64" s="142" t="str">
        <x:v>Splits nonconviction, conviction, diversion/deferred, juvenile, automatic, pardon, correction, and other route families.</x:v>
      </x:c>
      <x:c r="I64" s="142" t="str">
        <x:v>All routes</x:v>
      </x:c>
      <x:c r="J64" s="142" t="str">
        <x:v>Exact details, if needed, are collected after account creation in packet completion.</x:v>
      </x:c>
      <x:c r="K64" s="142" t="str">
        <x:v>pathway_routing</x:v>
      </x:c>
      <x:c r="L64" s="142" t="str">
        <x:v>state_case_outcome_rules</x:v>
      </x:c>
      <x:c r="M64" s="56" t="str">
        <x:v>https://github.com/Roger-LegalEase/legalease-partner-dashboard-clean/blob/2f0ef0403f16e57544ad0bc86b2d1b1cd08861b3/src/lib/rcap-engine/compiled/profiles/CT-connecticut.json</x:v>
      </x:c>
    </x:row>
    <x:row r="65">
      <x:c r="A65" s="55" t="str">
        <x:v>Connecticut</x:v>
      </x:c>
      <x:c r="B65" s="142" t="str">
        <x:v>CT</x:v>
      </x:c>
      <x:c r="C65" s="142" t="n">
        <x:v>4</x:v>
      </x:c>
      <x:c r="D65" s="142" t="str">
        <x:v>Route identification</x:v>
      </x:c>
      <x:c r="E65" s="142" t="str">
        <x:v>What level or type was the charge?</x:v>
      </x:c>
      <x:c r="F65" s="142" t="str">
        <x:v>single_choice</x:v>
      </x:c>
      <x:c r="G65" s="142" t="str">
        <x:v>Ask after scope, before route-specific questions</x:v>
      </x:c>
      <x:c r="H65" s="142" t="str">
        <x:v>Narrows offense-level routes, waiting-period bands, and obvious exclusions.</x:v>
      </x:c>
      <x:c r="I65" s="142" t="str">
        <x:v>All routes</x:v>
      </x:c>
      <x:c r="J65" s="142" t="str">
        <x:v>Exact details, if needed, are collected after account creation in packet completion.</x:v>
      </x:c>
      <x:c r="K65" s="142" t="str">
        <x:v>pathway_routing</x:v>
      </x:c>
      <x:c r="L65" s="142" t="str">
        <x:v>state_pathway_and_exclusion_rules</x:v>
      </x:c>
      <x:c r="M65" s="56" t="str">
        <x:v>https://github.com/Roger-LegalEase/legalease-partner-dashboard-clean/blob/2f0ef0403f16e57544ad0bc86b2d1b1cd08861b3/src/lib/rcap-engine/compiled/profiles/CT-connecticut.json</x:v>
      </x:c>
    </x:row>
    <x:row r="66">
      <x:c r="A66" s="55" t="str">
        <x:v>Connecticut</x:v>
      </x:c>
      <x:c r="B66" s="142" t="str">
        <x:v>CT</x:v>
      </x:c>
      <x:c r="C66" s="142" t="n">
        <x:v>5</x:v>
      </x:c>
      <x:c r="D66" s="142" t="str">
        <x:v>Route identification</x:v>
      </x:c>
      <x:c r="E66" s="142" t="str">
        <x:v>Do any of these Connecticut descriptions sound close to your situation?</x:v>
      </x:c>
      <x:c r="F66" s="142" t="str">
        <x:v>single_choice</x:v>
      </x:c>
      <x:c r="G66" s="142" t="str">
        <x:v>Ask after scope, before route-specific questions</x:v>
      </x:c>
      <x:c r="H66" s="142" t="str">
        <x:v>Lets the participant select a likely remedy or “not sure”; selection prunes unrelated route-specific questions.</x:v>
      </x:c>
      <x:c r="I66" s="142" t="str">
        <x:v>All routes</x:v>
      </x:c>
      <x:c r="J66" s="142" t="str">
        <x:v>Exact details, if needed, are collected after account creation in packet completion.</x:v>
      </x:c>
      <x:c r="K66" s="142" t="str">
        <x:v>pathway_routing</x:v>
      </x:c>
      <x:c r="L66" s="142" t="str">
        <x:v>curated_state_pathway_catalog_from_reference</x:v>
      </x:c>
      <x:c r="M66" s="56" t="str">
        <x:v>https://github.com/Roger-LegalEase/legalease-partner-dashboard-clean/blob/2f0ef0403f16e57544ad0bc86b2d1b1cd08861b3/src/lib/rcap-engine/compiled/profiles/CT-connecticut.json</x:v>
      </x:c>
    </x:row>
    <x:row r="67">
      <x:c r="A67" s="55" t="str">
        <x:v>Connecticut</x:v>
      </x:c>
      <x:c r="B67" s="142" t="str">
        <x:v>CT</x:v>
      </x:c>
      <x:c r="C67" s="142" t="n">
        <x:v>6</x:v>
      </x:c>
      <x:c r="D67" s="142" t="str">
        <x:v>Special pathway</x:v>
      </x:c>
      <x:c r="E67" s="142" t="str">
        <x:v>Have you received a pardon, certificate of rehabilitation, or similar executive relief for this conviction?</x:v>
      </x:c>
      <x:c r="F67" s="142" t="str">
        <x:v>yes_no_unsure</x:v>
      </x:c>
      <x:c r="G67" s="142" t="str">
        <x:v>Ask only while a pardon or executive-relief route remains viable.</x:v>
      </x:c>
      <x:c r="H67" s="142" t="str">
        <x:v>Yes may open a pardon-based route; No preserves ordinary routes; Not sure defers proof.</x:v>
      </x:c>
      <x:c r="I67" s="142" t="str">
        <x:v>Pardon / executive-relief routes</x:v>
      </x:c>
      <x:c r="J67" s="142" t="str">
        <x:v>Exact details, if needed, are collected after account creation in packet completion.</x:v>
      </x:c>
      <x:c r="K67" s="142" t="str">
        <x:v>special_pathways</x:v>
      </x:c>
      <x:c r="L67" s="142" t="str">
        <x:v>derived_from_state_rule_fields</x:v>
      </x:c>
      <x:c r="M67" s="56" t="str">
        <x:v>https://github.com/Roger-LegalEase/legalease-partner-dashboard-clean/blob/2f0ef0403f16e57544ad0bc86b2d1b1cd08861b3/src/lib/rcap-engine/compiled/profiles/CT-connecticut.json</x:v>
      </x:c>
    </x:row>
    <x:row r="68">
      <x:c r="A68" s="55" t="str">
        <x:v>Connecticut</x:v>
      </x:c>
      <x:c r="B68" s="142" t="str">
        <x:v>CT</x:v>
      </x:c>
      <x:c r="C68" s="142" t="n">
        <x:v>7</x:v>
      </x:c>
      <x:c r="D68" s="142" t="str">
        <x:v>Timing / completion</x:v>
      </x:c>
      <x:c r="E68" s="142" t="str">
        <x:v>Have you completed everything the court ordered in this case?</x:v>
      </x:c>
      <x:c r="F68" s="142" t="str">
        <x:v>single_choice</x:v>
      </x:c>
      <x:c r="G68" s="142" t="str">
        <x:v>Ask only when a viable route depends on sentence, supervision, program, restitution, or financial completion.</x:v>
      </x:c>
      <x:c r="H68" s="142" t="str">
        <x:v>No → usually not yet or needs more information; Yes → continue; Not sure → defer exact proof.</x:v>
      </x:c>
      <x:c r="I68" s="142" t="str">
        <x:v>Completion-dependent routes</x:v>
      </x:c>
      <x:c r="J68" s="142" t="str">
        <x:v>Exact details, if needed, are collected after account creation in packet completion.</x:v>
      </x:c>
      <x:c r="K68" s="142" t="str">
        <x:v>timing_and_completion</x:v>
      </x:c>
      <x:c r="L68" s="142" t="str">
        <x:v>normalized_free_check</x:v>
      </x:c>
      <x:c r="M68" s="56" t="str">
        <x:v>https://github.com/Roger-LegalEase/legalease-partner-dashboard-clean/blob/2f0ef0403f16e57544ad0bc86b2d1b1cd08861b3/src/lib/rcap-engine/compiled/profiles/CT-connecticut.json</x:v>
      </x:c>
    </x:row>
    <x:row r="69">
      <x:c r="A69" s="55" t="str">
        <x:v>Connecticut</x:v>
      </x:c>
      <x:c r="B69" s="142" t="str">
        <x:v>CT</x:v>
      </x:c>
      <x:c r="C69" s="142" t="n">
        <x:v>8</x:v>
      </x:c>
      <x:c r="D69" s="142" t="str">
        <x:v>Timing / completion</x:v>
      </x:c>
      <x:c r="E69" s="142" t="str">
        <x:v>About how long ago did this case end or get resolved?</x:v>
      </x:c>
      <x:c r="F69" s="142" t="str">
        <x:v>single_choice</x:v>
      </x:c>
      <x:c r="G69" s="142" t="str">
        <x:v>Ask only when at least one viable route has a waiting period.</x:v>
      </x:c>
      <x:c r="H69" s="142" t="str">
        <x:v>Uses an approximate band for a preliminary result; exact dates are collected later.</x:v>
      </x:c>
      <x:c r="I69" s="142" t="str">
        <x:v>Timing-dependent routes</x:v>
      </x:c>
      <x:c r="J69" s="142" t="str">
        <x:v>Exact details, if needed, are collected after account creation in packet completion.</x:v>
      </x:c>
      <x:c r="K69" s="142" t="str">
        <x:v>timing_and_completion</x:v>
      </x:c>
      <x:c r="L69" s="142" t="str">
        <x:v>normalized_free_check</x:v>
      </x:c>
      <x:c r="M69" s="56" t="str">
        <x:v>https://github.com/Roger-LegalEase/legalease-partner-dashboard-clean/blob/2f0ef0403f16e57544ad0bc86b2d1b1cd08861b3/src/lib/rcap-engine/compiled/profiles/CT-connecticut.json</x:v>
      </x:c>
    </x:row>
    <x:row r="70">
      <x:c r="A70" s="55" t="str">
        <x:v>Connecticut</x:v>
      </x:c>
      <x:c r="B70" s="142" t="str">
        <x:v>CT</x:v>
      </x:c>
      <x:c r="C70" s="142" t="n">
        <x:v>9</x:v>
      </x:c>
      <x:c r="D70" s="142" t="str">
        <x:v>Exclusions / review</x:v>
      </x:c>
      <x:c r="E70" s="142" t="str">
        <x:v>Does the record involve any Connecticut category that the source identifies as excluded or review-required?</x:v>
      </x:c>
      <x:c r="F70" s="142" t="str">
        <x:v>multi_select</x:v>
      </x:c>
      <x:c r="G70" s="142" t="str">
        <x:v>Ask after the route is narrowed; show only categories relevant to the remaining route.</x:v>
      </x:c>
      <x:c r="H70" s="142" t="str">
        <x:v>Matching category → hard stop or review; none → continue.</x:v>
      </x:c>
      <x:c r="I70" s="142" t="str">
        <x:v>Route-specific exclusions</x:v>
      </x:c>
      <x:c r="J70" s="142" t="str">
        <x:v>Exact details, if needed, are collected after account creation in packet completion.</x:v>
      </x:c>
      <x:c r="K70" s="142" t="str">
        <x:v>exclusion_screen</x:v>
      </x:c>
      <x:c r="L70" s="142" t="str">
        <x:v>state_exclusion_section</x:v>
      </x:c>
      <x:c r="M70" s="56" t="str">
        <x:v>https://github.com/Roger-LegalEase/legalease-partner-dashboard-clean/blob/2f0ef0403f16e57544ad0bc86b2d1b1cd08861b3/src/lib/rcap-engine/compiled/profiles/CT-connecticut.json</x:v>
      </x:c>
    </x:row>
    <x:row r="71">
      <x:c r="A71" s="55" t="str">
        <x:v>District of Columbia</x:v>
      </x:c>
      <x:c r="B71" s="142" t="str">
        <x:v>DC</x:v>
      </x:c>
      <x:c r="C71" s="142" t="n">
        <x:v>1</x:v>
      </x:c>
      <x:c r="D71" s="142" t="str">
        <x:v>Scope</x:v>
      </x:c>
      <x:c r="E71" s="142" t="str">
        <x:v>Are you asking about your own record?</x:v>
      </x:c>
      <x:c r="F71" s="142" t="str">
        <x:v>single_choice</x:v>
      </x:c>
      <x:c r="G71" s="142" t="str">
        <x:v>Ask in every free check</x:v>
      </x:c>
      <x:c r="H71" s="142" t="str">
        <x:v>No → stop or redirect; Yes → continue.</x:v>
      </x:c>
      <x:c r="I71" s="142" t="str">
        <x:v>All routes</x:v>
      </x:c>
      <x:c r="J71" s="142" t="str">
        <x:v>Exact details, if needed, are collected after account creation in packet completion.</x:v>
      </x:c>
      <x:c r="K71" s="142" t="str">
        <x:v>scope</x:v>
      </x:c>
      <x:c r="L71" s="142" t="str">
        <x:v>shared_scope_boundary</x:v>
      </x:c>
      <x:c r="M71" s="56" t="str">
        <x:v>https://github.com/Roger-LegalEase/legalease-partner-dashboard-clean/blob/2f0ef0403f16e57544ad0bc86b2d1b1cd08861b3/src/lib/rcap-engine/compiled/profiles/DC-district-of-columbia.json</x:v>
      </x:c>
    </x:row>
    <x:row r="72">
      <x:c r="A72" s="55" t="str">
        <x:v>District of Columbia</x:v>
      </x:c>
      <x:c r="B72" s="142" t="str">
        <x:v>DC</x:v>
      </x:c>
      <x:c r="C72" s="142" t="n">
        <x:v>2</x:v>
      </x:c>
      <x:c r="D72" s="142" t="str">
        <x:v>Scope</x:v>
      </x:c>
      <x:c r="E72" s="142" t="str">
        <x:v>Is this a state or local matter from District of Columbia, rather than a federal matter?</x:v>
      </x:c>
      <x:c r="F72" s="142" t="str">
        <x:v>single_choice</x:v>
      </x:c>
      <x:c r="G72" s="142" t="str">
        <x:v>Ask in every free check</x:v>
      </x:c>
      <x:c r="H72" s="142" t="str">
        <x:v>Federal or wrong-state matter → outside this state flow; state/local matter → continue.</x:v>
      </x:c>
      <x:c r="I72" s="142" t="str">
        <x:v>All routes</x:v>
      </x:c>
      <x:c r="J72" s="142" t="str">
        <x:v>Exact details, if needed, are collected after account creation in packet completion.</x:v>
      </x:c>
      <x:c r="K72" s="142" t="str">
        <x:v>scope</x:v>
      </x:c>
      <x:c r="L72" s="142" t="str">
        <x:v>shared_scope_boundary</x:v>
      </x:c>
      <x:c r="M72" s="56" t="str">
        <x:v>https://github.com/Roger-LegalEase/legalease-partner-dashboard-clean/blob/2f0ef0403f16e57544ad0bc86b2d1b1cd08861b3/src/lib/rcap-engine/compiled/profiles/DC-district-of-columbia.json</x:v>
      </x:c>
    </x:row>
    <x:row r="73">
      <x:c r="A73" s="55" t="str">
        <x:v>District of Columbia</x:v>
      </x:c>
      <x:c r="B73" s="142" t="str">
        <x:v>DC</x:v>
      </x:c>
      <x:c r="C73" s="142" t="n">
        <x:v>3</x:v>
      </x:c>
      <x:c r="D73" s="142" t="str">
        <x:v>Route identification</x:v>
      </x:c>
      <x:c r="E73" s="142" t="str">
        <x:v>How did the District of Columbia case or record end?</x:v>
      </x:c>
      <x:c r="F73" s="142" t="str">
        <x:v>single_choice</x:v>
      </x:c>
      <x:c r="G73" s="142" t="str">
        <x:v>Ask after scope, before route-specific questions</x:v>
      </x:c>
      <x:c r="H73" s="142" t="str">
        <x:v>Splits nonconviction, conviction, diversion/deferred, juvenile, automatic, pardon, correction, and other route families.</x:v>
      </x:c>
      <x:c r="I73" s="142" t="str">
        <x:v>All routes</x:v>
      </x:c>
      <x:c r="J73" s="142" t="str">
        <x:v>Exact details, if needed, are collected after account creation in packet completion.</x:v>
      </x:c>
      <x:c r="K73" s="142" t="str">
        <x:v>pathway_routing</x:v>
      </x:c>
      <x:c r="L73" s="142" t="str">
        <x:v>state_case_outcome_rules</x:v>
      </x:c>
      <x:c r="M73" s="56" t="str">
        <x:v>https://github.com/Roger-LegalEase/legalease-partner-dashboard-clean/blob/2f0ef0403f16e57544ad0bc86b2d1b1cd08861b3/src/lib/rcap-engine/compiled/profiles/DC-district-of-columbia.json</x:v>
      </x:c>
    </x:row>
    <x:row r="74">
      <x:c r="A74" s="55" t="str">
        <x:v>District of Columbia</x:v>
      </x:c>
      <x:c r="B74" s="142" t="str">
        <x:v>DC</x:v>
      </x:c>
      <x:c r="C74" s="142" t="n">
        <x:v>4</x:v>
      </x:c>
      <x:c r="D74" s="142" t="str">
        <x:v>Route identification</x:v>
      </x:c>
      <x:c r="E74" s="142" t="str">
        <x:v>What level or type was the charge?</x:v>
      </x:c>
      <x:c r="F74" s="142" t="str">
        <x:v>single_choice</x:v>
      </x:c>
      <x:c r="G74" s="142" t="str">
        <x:v>Ask after scope, before route-specific questions</x:v>
      </x:c>
      <x:c r="H74" s="142" t="str">
        <x:v>Narrows offense-level routes, waiting-period bands, and obvious exclusions.</x:v>
      </x:c>
      <x:c r="I74" s="142" t="str">
        <x:v>All routes</x:v>
      </x:c>
      <x:c r="J74" s="142" t="str">
        <x:v>Exact details, if needed, are collected after account creation in packet completion.</x:v>
      </x:c>
      <x:c r="K74" s="142" t="str">
        <x:v>pathway_routing</x:v>
      </x:c>
      <x:c r="L74" s="142" t="str">
        <x:v>state_pathway_and_exclusion_rules</x:v>
      </x:c>
      <x:c r="M74" s="56" t="str">
        <x:v>https://github.com/Roger-LegalEase/legalease-partner-dashboard-clean/blob/2f0ef0403f16e57544ad0bc86b2d1b1cd08861b3/src/lib/rcap-engine/compiled/profiles/DC-district-of-columbia.json</x:v>
      </x:c>
    </x:row>
    <x:row r="75">
      <x:c r="A75" s="55" t="str">
        <x:v>District of Columbia</x:v>
      </x:c>
      <x:c r="B75" s="142" t="str">
        <x:v>DC</x:v>
      </x:c>
      <x:c r="C75" s="142" t="n">
        <x:v>5</x:v>
      </x:c>
      <x:c r="D75" s="142" t="str">
        <x:v>Route identification</x:v>
      </x:c>
      <x:c r="E75" s="142" t="str">
        <x:v>Do any of these District of Columbia descriptions sound close to your situation?</x:v>
      </x:c>
      <x:c r="F75" s="142" t="str">
        <x:v>single_choice</x:v>
      </x:c>
      <x:c r="G75" s="142" t="str">
        <x:v>Ask after scope, before route-specific questions</x:v>
      </x:c>
      <x:c r="H75" s="142" t="str">
        <x:v>Lets the participant select a likely remedy or “not sure”; selection prunes unrelated route-specific questions.</x:v>
      </x:c>
      <x:c r="I75" s="142" t="str">
        <x:v>All routes</x:v>
      </x:c>
      <x:c r="J75" s="142" t="str">
        <x:v>Exact details, if needed, are collected after account creation in packet completion.</x:v>
      </x:c>
      <x:c r="K75" s="142" t="str">
        <x:v>pathway_routing</x:v>
      </x:c>
      <x:c r="L75" s="142" t="str">
        <x:v>curated_state_pathway_catalog_from_reference</x:v>
      </x:c>
      <x:c r="M75" s="56" t="str">
        <x:v>https://github.com/Roger-LegalEase/legalease-partner-dashboard-clean/blob/2f0ef0403f16e57544ad0bc86b2d1b1cd08861b3/src/lib/rcap-engine/compiled/profiles/DC-district-of-columbia.json</x:v>
      </x:c>
    </x:row>
    <x:row r="76">
      <x:c r="A76" s="55" t="str">
        <x:v>District of Columbia</x:v>
      </x:c>
      <x:c r="B76" s="142" t="str">
        <x:v>DC</x:v>
      </x:c>
      <x:c r="C76" s="142" t="n">
        <x:v>6</x:v>
      </x:c>
      <x:c r="D76" s="142" t="str">
        <x:v>Route identification</x:v>
      </x:c>
      <x:c r="E76" s="142" t="str">
        <x:v>How old were you when the offense or case began?</x:v>
      </x:c>
      <x:c r="F76" s="142" t="str">
        <x:v>number_or_range</x:v>
      </x:c>
      <x:c r="G76" s="142" t="str">
        <x:v>Ask only when adult-versus-juvenile or youthful-offender treatment may change the route.</x:v>
      </x:c>
      <x:c r="H76" s="142" t="str">
        <x:v>Routes to juvenile/youthful-offender logic or keeps the adult route.</x:v>
      </x:c>
      <x:c r="I76" s="142" t="str">
        <x:v>Age-sensitive routes</x:v>
      </x:c>
      <x:c r="J76" s="142" t="str">
        <x:v>Exact details, if needed, are collected after account creation in packet completion.</x:v>
      </x:c>
      <x:c r="K76" s="142" t="str">
        <x:v>pathway_routing</x:v>
      </x:c>
      <x:c r="L76" s="142" t="str">
        <x:v>derived_from_state_rule_fields</x:v>
      </x:c>
      <x:c r="M76" s="56" t="str">
        <x:v>https://github.com/Roger-LegalEase/legalease-partner-dashboard-clean/blob/2f0ef0403f16e57544ad0bc86b2d1b1cd08861b3/src/lib/rcap-engine/compiled/profiles/DC-district-of-columbia.json</x:v>
      </x:c>
    </x:row>
    <x:row r="77">
      <x:c r="A77" s="55" t="str">
        <x:v>District of Columbia</x:v>
      </x:c>
      <x:c r="B77" s="142" t="str">
        <x:v>DC</x:v>
      </x:c>
      <x:c r="C77" s="142" t="n">
        <x:v>7</x:v>
      </x:c>
      <x:c r="D77" s="142" t="str">
        <x:v>Timing / completion</x:v>
      </x:c>
      <x:c r="E77" s="142" t="str">
        <x:v>Have you completed everything the court ordered in this case?</x:v>
      </x:c>
      <x:c r="F77" s="142" t="str">
        <x:v>single_choice</x:v>
      </x:c>
      <x:c r="G77" s="142" t="str">
        <x:v>Ask only when a viable route depends on sentence, supervision, program, restitution, or financial completion.</x:v>
      </x:c>
      <x:c r="H77" s="142" t="str">
        <x:v>No → usually not yet or needs more information; Yes → continue; Not sure → defer exact proof.</x:v>
      </x:c>
      <x:c r="I77" s="142" t="str">
        <x:v>Completion-dependent routes</x:v>
      </x:c>
      <x:c r="J77" s="142" t="str">
        <x:v>Exact details, if needed, are collected after account creation in packet completion.</x:v>
      </x:c>
      <x:c r="K77" s="142" t="str">
        <x:v>timing_and_completion</x:v>
      </x:c>
      <x:c r="L77" s="142" t="str">
        <x:v>normalized_free_check</x:v>
      </x:c>
      <x:c r="M77" s="56" t="str">
        <x:v>https://github.com/Roger-LegalEase/legalease-partner-dashboard-clean/blob/2f0ef0403f16e57544ad0bc86b2d1b1cd08861b3/src/lib/rcap-engine/compiled/profiles/DC-district-of-columbia.json</x:v>
      </x:c>
    </x:row>
    <x:row r="78">
      <x:c r="A78" s="55" t="str">
        <x:v>District of Columbia</x:v>
      </x:c>
      <x:c r="B78" s="142" t="str">
        <x:v>DC</x:v>
      </x:c>
      <x:c r="C78" s="142" t="n">
        <x:v>8</x:v>
      </x:c>
      <x:c r="D78" s="142" t="str">
        <x:v>Timing / completion</x:v>
      </x:c>
      <x:c r="E78" s="142" t="str">
        <x:v>About how long ago did this case end or get resolved?</x:v>
      </x:c>
      <x:c r="F78" s="142" t="str">
        <x:v>single_choice</x:v>
      </x:c>
      <x:c r="G78" s="142" t="str">
        <x:v>Ask only when at least one viable route has a waiting period.</x:v>
      </x:c>
      <x:c r="H78" s="142" t="str">
        <x:v>Uses an approximate band for a preliminary result; exact dates are collected later.</x:v>
      </x:c>
      <x:c r="I78" s="142" t="str">
        <x:v>Timing-dependent routes</x:v>
      </x:c>
      <x:c r="J78" s="142" t="str">
        <x:v>Exact details, if needed, are collected after account creation in packet completion.</x:v>
      </x:c>
      <x:c r="K78" s="142" t="str">
        <x:v>timing_and_completion</x:v>
      </x:c>
      <x:c r="L78" s="142" t="str">
        <x:v>normalized_free_check</x:v>
      </x:c>
      <x:c r="M78" s="56" t="str">
        <x:v>https://github.com/Roger-LegalEase/legalease-partner-dashboard-clean/blob/2f0ef0403f16e57544ad0bc86b2d1b1cd08861b3/src/lib/rcap-engine/compiled/profiles/DC-district-of-columbia.json</x:v>
      </x:c>
    </x:row>
    <x:row r="79">
      <x:c r="A79" s="55" t="str">
        <x:v>Delaware</x:v>
      </x:c>
      <x:c r="B79" s="142" t="str">
        <x:v>DE</x:v>
      </x:c>
      <x:c r="C79" s="142" t="n">
        <x:v>1</x:v>
      </x:c>
      <x:c r="D79" s="142" t="str">
        <x:v>Scope</x:v>
      </x:c>
      <x:c r="E79" s="142" t="str">
        <x:v>Are you asking about your own record?</x:v>
      </x:c>
      <x:c r="F79" s="142" t="str">
        <x:v>single_choice</x:v>
      </x:c>
      <x:c r="G79" s="142" t="str">
        <x:v>Ask in every free check</x:v>
      </x:c>
      <x:c r="H79" s="142" t="str">
        <x:v>No → stop or redirect; Yes → continue.</x:v>
      </x:c>
      <x:c r="I79" s="142" t="str">
        <x:v>All routes</x:v>
      </x:c>
      <x:c r="J79" s="142" t="str">
        <x:v>Exact details, if needed, are collected after account creation in packet completion.</x:v>
      </x:c>
      <x:c r="K79" s="142" t="str">
        <x:v>scope</x:v>
      </x:c>
      <x:c r="L79" s="142" t="str">
        <x:v>shared_scope_boundary</x:v>
      </x:c>
      <x:c r="M79" s="56" t="str">
        <x:v>https://github.com/Roger-LegalEase/legalease-partner-dashboard-clean/blob/2f0ef0403f16e57544ad0bc86b2d1b1cd08861b3/src/lib/rcap-engine/compiled/profiles/DE-delaware.json</x:v>
      </x:c>
    </x:row>
    <x:row r="80">
      <x:c r="A80" s="55" t="str">
        <x:v>Delaware</x:v>
      </x:c>
      <x:c r="B80" s="142" t="str">
        <x:v>DE</x:v>
      </x:c>
      <x:c r="C80" s="142" t="n">
        <x:v>2</x:v>
      </x:c>
      <x:c r="D80" s="142" t="str">
        <x:v>Scope</x:v>
      </x:c>
      <x:c r="E80" s="142" t="str">
        <x:v>Is this a state or local matter from Delaware, rather than a federal matter?</x:v>
      </x:c>
      <x:c r="F80" s="142" t="str">
        <x:v>single_choice</x:v>
      </x:c>
      <x:c r="G80" s="142" t="str">
        <x:v>Ask in every free check</x:v>
      </x:c>
      <x:c r="H80" s="142" t="str">
        <x:v>Federal or wrong-state matter → outside this state flow; state/local matter → continue.</x:v>
      </x:c>
      <x:c r="I80" s="142" t="str">
        <x:v>All routes</x:v>
      </x:c>
      <x:c r="J80" s="142" t="str">
        <x:v>Exact details, if needed, are collected after account creation in packet completion.</x:v>
      </x:c>
      <x:c r="K80" s="142" t="str">
        <x:v>scope</x:v>
      </x:c>
      <x:c r="L80" s="142" t="str">
        <x:v>shared_scope_boundary</x:v>
      </x:c>
      <x:c r="M80" s="56" t="str">
        <x:v>https://github.com/Roger-LegalEase/legalease-partner-dashboard-clean/blob/2f0ef0403f16e57544ad0bc86b2d1b1cd08861b3/src/lib/rcap-engine/compiled/profiles/DE-delaware.json</x:v>
      </x:c>
    </x:row>
    <x:row r="81">
      <x:c r="A81" s="55" t="str">
        <x:v>Delaware</x:v>
      </x:c>
      <x:c r="B81" s="142" t="str">
        <x:v>DE</x:v>
      </x:c>
      <x:c r="C81" s="142" t="n">
        <x:v>3</x:v>
      </x:c>
      <x:c r="D81" s="142" t="str">
        <x:v>Route identification</x:v>
      </x:c>
      <x:c r="E81" s="142" t="str">
        <x:v>How did the Delaware case or record end?</x:v>
      </x:c>
      <x:c r="F81" s="142" t="str">
        <x:v>single_choice</x:v>
      </x:c>
      <x:c r="G81" s="142" t="str">
        <x:v>Ask after scope, before route-specific questions</x:v>
      </x:c>
      <x:c r="H81" s="142" t="str">
        <x:v>Splits nonconviction, conviction, diversion/deferred, juvenile, automatic, pardon, correction, and other route families.</x:v>
      </x:c>
      <x:c r="I81" s="142" t="str">
        <x:v>All routes</x:v>
      </x:c>
      <x:c r="J81" s="142" t="str">
        <x:v>Exact details, if needed, are collected after account creation in packet completion.</x:v>
      </x:c>
      <x:c r="K81" s="142" t="str">
        <x:v>pathway_routing</x:v>
      </x:c>
      <x:c r="L81" s="142" t="str">
        <x:v>state_case_outcome_rules</x:v>
      </x:c>
      <x:c r="M81" s="56" t="str">
        <x:v>https://github.com/Roger-LegalEase/legalease-partner-dashboard-clean/blob/2f0ef0403f16e57544ad0bc86b2d1b1cd08861b3/src/lib/rcap-engine/compiled/profiles/DE-delaware.json</x:v>
      </x:c>
    </x:row>
    <x:row r="82">
      <x:c r="A82" s="55" t="str">
        <x:v>Delaware</x:v>
      </x:c>
      <x:c r="B82" s="142" t="str">
        <x:v>DE</x:v>
      </x:c>
      <x:c r="C82" s="142" t="n">
        <x:v>4</x:v>
      </x:c>
      <x:c r="D82" s="142" t="str">
        <x:v>Route identification</x:v>
      </x:c>
      <x:c r="E82" s="142" t="str">
        <x:v>What level or type was the charge?</x:v>
      </x:c>
      <x:c r="F82" s="142" t="str">
        <x:v>single_choice</x:v>
      </x:c>
      <x:c r="G82" s="142" t="str">
        <x:v>Ask after scope, before route-specific questions</x:v>
      </x:c>
      <x:c r="H82" s="142" t="str">
        <x:v>Narrows offense-level routes, waiting-period bands, and obvious exclusions.</x:v>
      </x:c>
      <x:c r="I82" s="142" t="str">
        <x:v>All routes</x:v>
      </x:c>
      <x:c r="J82" s="142" t="str">
        <x:v>Exact details, if needed, are collected after account creation in packet completion.</x:v>
      </x:c>
      <x:c r="K82" s="142" t="str">
        <x:v>pathway_routing</x:v>
      </x:c>
      <x:c r="L82" s="142" t="str">
        <x:v>state_pathway_and_exclusion_rules</x:v>
      </x:c>
      <x:c r="M82" s="56" t="str">
        <x:v>https://github.com/Roger-LegalEase/legalease-partner-dashboard-clean/blob/2f0ef0403f16e57544ad0bc86b2d1b1cd08861b3/src/lib/rcap-engine/compiled/profiles/DE-delaware.json</x:v>
      </x:c>
    </x:row>
    <x:row r="83">
      <x:c r="A83" s="55" t="str">
        <x:v>Delaware</x:v>
      </x:c>
      <x:c r="B83" s="142" t="str">
        <x:v>DE</x:v>
      </x:c>
      <x:c r="C83" s="142" t="n">
        <x:v>5</x:v>
      </x:c>
      <x:c r="D83" s="142" t="str">
        <x:v>Route identification</x:v>
      </x:c>
      <x:c r="E83" s="142" t="str">
        <x:v>Do any of these Delaware descriptions sound close to your situation?</x:v>
      </x:c>
      <x:c r="F83" s="142" t="str">
        <x:v>single_choice</x:v>
      </x:c>
      <x:c r="G83" s="142" t="str">
        <x:v>Ask after scope, before route-specific questions</x:v>
      </x:c>
      <x:c r="H83" s="142" t="str">
        <x:v>Lets the participant select a likely remedy or “not sure”; selection prunes unrelated route-specific questions.</x:v>
      </x:c>
      <x:c r="I83" s="142" t="str">
        <x:v>All routes</x:v>
      </x:c>
      <x:c r="J83" s="142" t="str">
        <x:v>Exact details, if needed, are collected after account creation in packet completion.</x:v>
      </x:c>
      <x:c r="K83" s="142" t="str">
        <x:v>pathway_routing</x:v>
      </x:c>
      <x:c r="L83" s="142" t="str">
        <x:v>curated_state_pathway_catalog_from_reference</x:v>
      </x:c>
      <x:c r="M83" s="56" t="str">
        <x:v>https://github.com/Roger-LegalEase/legalease-partner-dashboard-clean/blob/2f0ef0403f16e57544ad0bc86b2d1b1cd08861b3/src/lib/rcap-engine/compiled/profiles/DE-delaware.json</x:v>
      </x:c>
    </x:row>
    <x:row r="84">
      <x:c r="A84" s="55" t="str">
        <x:v>Delaware</x:v>
      </x:c>
      <x:c r="B84" s="142" t="str">
        <x:v>DE</x:v>
      </x:c>
      <x:c r="C84" s="142" t="n">
        <x:v>6</x:v>
      </x:c>
      <x:c r="D84" s="142" t="str">
        <x:v>Special pathway</x:v>
      </x:c>
      <x:c r="E84" s="142" t="str">
        <x:v>Have you received a pardon, certificate of rehabilitation, or similar executive relief for this conviction?</x:v>
      </x:c>
      <x:c r="F84" s="142" t="str">
        <x:v>yes_no_unsure</x:v>
      </x:c>
      <x:c r="G84" s="142" t="str">
        <x:v>Ask only while a pardon or executive-relief route remains viable.</x:v>
      </x:c>
      <x:c r="H84" s="142" t="str">
        <x:v>Yes may open a pardon-based route; No preserves ordinary routes; Not sure defers proof.</x:v>
      </x:c>
      <x:c r="I84" s="142" t="str">
        <x:v>Pardon / executive-relief routes</x:v>
      </x:c>
      <x:c r="J84" s="142" t="str">
        <x:v>Exact details, if needed, are collected after account creation in packet completion.</x:v>
      </x:c>
      <x:c r="K84" s="142" t="str">
        <x:v>special_pathways</x:v>
      </x:c>
      <x:c r="L84" s="142" t="str">
        <x:v>derived_from_state_rule_fields</x:v>
      </x:c>
      <x:c r="M84" s="56" t="str">
        <x:v>https://github.com/Roger-LegalEase/legalease-partner-dashboard-clean/blob/2f0ef0403f16e57544ad0bc86b2d1b1cd08861b3/src/lib/rcap-engine/compiled/profiles/DE-delaware.json</x:v>
      </x:c>
    </x:row>
    <x:row r="85">
      <x:c r="A85" s="55" t="str">
        <x:v>Delaware</x:v>
      </x:c>
      <x:c r="B85" s="142" t="str">
        <x:v>DE</x:v>
      </x:c>
      <x:c r="C85" s="142" t="n">
        <x:v>7</x:v>
      </x:c>
      <x:c r="D85" s="142" t="str">
        <x:v>Timing / completion</x:v>
      </x:c>
      <x:c r="E85" s="142" t="str">
        <x:v>Have you completed everything the court ordered in this case?</x:v>
      </x:c>
      <x:c r="F85" s="142" t="str">
        <x:v>single_choice</x:v>
      </x:c>
      <x:c r="G85" s="142" t="str">
        <x:v>Ask only when a viable route depends on sentence, supervision, program, restitution, or financial completion.</x:v>
      </x:c>
      <x:c r="H85" s="142" t="str">
        <x:v>No → usually not yet or needs more information; Yes → continue; Not sure → defer exact proof.</x:v>
      </x:c>
      <x:c r="I85" s="142" t="str">
        <x:v>Completion-dependent routes</x:v>
      </x:c>
      <x:c r="J85" s="142" t="str">
        <x:v>Exact details, if needed, are collected after account creation in packet completion.</x:v>
      </x:c>
      <x:c r="K85" s="142" t="str">
        <x:v>timing_and_completion</x:v>
      </x:c>
      <x:c r="L85" s="142" t="str">
        <x:v>normalized_free_check</x:v>
      </x:c>
      <x:c r="M85" s="56" t="str">
        <x:v>https://github.com/Roger-LegalEase/legalease-partner-dashboard-clean/blob/2f0ef0403f16e57544ad0bc86b2d1b1cd08861b3/src/lib/rcap-engine/compiled/profiles/DE-delaware.json</x:v>
      </x:c>
    </x:row>
    <x:row r="86">
      <x:c r="A86" s="55" t="str">
        <x:v>Delaware</x:v>
      </x:c>
      <x:c r="B86" s="142" t="str">
        <x:v>DE</x:v>
      </x:c>
      <x:c r="C86" s="142" t="n">
        <x:v>8</x:v>
      </x:c>
      <x:c r="D86" s="142" t="str">
        <x:v>Timing / completion</x:v>
      </x:c>
      <x:c r="E86" s="142" t="str">
        <x:v>About how long ago did this case end or get resolved?</x:v>
      </x:c>
      <x:c r="F86" s="142" t="str">
        <x:v>single_choice</x:v>
      </x:c>
      <x:c r="G86" s="142" t="str">
        <x:v>Ask only when at least one viable route has a waiting period.</x:v>
      </x:c>
      <x:c r="H86" s="142" t="str">
        <x:v>Uses an approximate band for a preliminary result; exact dates are collected later.</x:v>
      </x:c>
      <x:c r="I86" s="142" t="str">
        <x:v>Timing-dependent routes</x:v>
      </x:c>
      <x:c r="J86" s="142" t="str">
        <x:v>Exact details, if needed, are collected after account creation in packet completion.</x:v>
      </x:c>
      <x:c r="K86" s="142" t="str">
        <x:v>timing_and_completion</x:v>
      </x:c>
      <x:c r="L86" s="142" t="str">
        <x:v>normalized_free_check</x:v>
      </x:c>
      <x:c r="M86" s="56" t="str">
        <x:v>https://github.com/Roger-LegalEase/legalease-partner-dashboard-clean/blob/2f0ef0403f16e57544ad0bc86b2d1b1cd08861b3/src/lib/rcap-engine/compiled/profiles/DE-delaware.json</x:v>
      </x:c>
    </x:row>
    <x:row r="87">
      <x:c r="A87" s="55" t="str">
        <x:v>Delaware</x:v>
      </x:c>
      <x:c r="B87" s="142" t="str">
        <x:v>DE</x:v>
      </x:c>
      <x:c r="C87" s="142" t="n">
        <x:v>9</x:v>
      </x:c>
      <x:c r="D87" s="142" t="str">
        <x:v>Exclusions / review</x:v>
      </x:c>
      <x:c r="E87" s="142" t="str">
        <x:v>Does the record involve any Delaware category that the source identifies as excluded or review-required?</x:v>
      </x:c>
      <x:c r="F87" s="142" t="str">
        <x:v>multi_select</x:v>
      </x:c>
      <x:c r="G87" s="142" t="str">
        <x:v>Ask after the route is narrowed; show only categories relevant to the remaining route.</x:v>
      </x:c>
      <x:c r="H87" s="142" t="str">
        <x:v>Matching category → hard stop or review; none → continue.</x:v>
      </x:c>
      <x:c r="I87" s="142" t="str">
        <x:v>Route-specific exclusions</x:v>
      </x:c>
      <x:c r="J87" s="142" t="str">
        <x:v>Exact details, if needed, are collected after account creation in packet completion.</x:v>
      </x:c>
      <x:c r="K87" s="142" t="str">
        <x:v>exclusion_screen</x:v>
      </x:c>
      <x:c r="L87" s="142" t="str">
        <x:v>state_exclusion_section</x:v>
      </x:c>
      <x:c r="M87" s="56" t="str">
        <x:v>https://github.com/Roger-LegalEase/legalease-partner-dashboard-clean/blob/2f0ef0403f16e57544ad0bc86b2d1b1cd08861b3/src/lib/rcap-engine/compiled/profiles/DE-delaware.json</x:v>
      </x:c>
    </x:row>
    <x:row r="88">
      <x:c r="A88" s="55" t="str">
        <x:v>Florida</x:v>
      </x:c>
      <x:c r="B88" s="142" t="str">
        <x:v>FL</x:v>
      </x:c>
      <x:c r="C88" s="142" t="n">
        <x:v>1</x:v>
      </x:c>
      <x:c r="D88" s="142" t="str">
        <x:v>Scope</x:v>
      </x:c>
      <x:c r="E88" s="142" t="str">
        <x:v>Are you asking about your own record?</x:v>
      </x:c>
      <x:c r="F88" s="142" t="str">
        <x:v>single_choice</x:v>
      </x:c>
      <x:c r="G88" s="142" t="str">
        <x:v>Ask in every free check</x:v>
      </x:c>
      <x:c r="H88" s="142" t="str">
        <x:v>No → stop or redirect; Yes → continue.</x:v>
      </x:c>
      <x:c r="I88" s="142" t="str">
        <x:v>All routes</x:v>
      </x:c>
      <x:c r="J88" s="142" t="str">
        <x:v>Exact details, if needed, are collected after account creation in packet completion.</x:v>
      </x:c>
      <x:c r="K88" s="142" t="str">
        <x:v>scope</x:v>
      </x:c>
      <x:c r="L88" s="142" t="str">
        <x:v>shared_scope_boundary</x:v>
      </x:c>
      <x:c r="M88" s="56" t="str">
        <x:v>https://github.com/Roger-LegalEase/legalease-partner-dashboard-clean/blob/2f0ef0403f16e57544ad0bc86b2d1b1cd08861b3/src/lib/rcap-engine/compiled/profiles/FL-florida.json</x:v>
      </x:c>
    </x:row>
    <x:row r="89">
      <x:c r="A89" s="55" t="str">
        <x:v>Florida</x:v>
      </x:c>
      <x:c r="B89" s="142" t="str">
        <x:v>FL</x:v>
      </x:c>
      <x:c r="C89" s="142" t="n">
        <x:v>2</x:v>
      </x:c>
      <x:c r="D89" s="142" t="str">
        <x:v>Scope</x:v>
      </x:c>
      <x:c r="E89" s="142" t="str">
        <x:v>Is this a state or local matter from Florida, rather than a federal matter?</x:v>
      </x:c>
      <x:c r="F89" s="142" t="str">
        <x:v>single_choice</x:v>
      </x:c>
      <x:c r="G89" s="142" t="str">
        <x:v>Ask in every free check</x:v>
      </x:c>
      <x:c r="H89" s="142" t="str">
        <x:v>Federal or wrong-state matter → outside this state flow; state/local matter → continue.</x:v>
      </x:c>
      <x:c r="I89" s="142" t="str">
        <x:v>All routes</x:v>
      </x:c>
      <x:c r="J89" s="142" t="str">
        <x:v>Exact details, if needed, are collected after account creation in packet completion.</x:v>
      </x:c>
      <x:c r="K89" s="142" t="str">
        <x:v>scope</x:v>
      </x:c>
      <x:c r="L89" s="142" t="str">
        <x:v>shared_scope_boundary</x:v>
      </x:c>
      <x:c r="M89" s="56" t="str">
        <x:v>https://github.com/Roger-LegalEase/legalease-partner-dashboard-clean/blob/2f0ef0403f16e57544ad0bc86b2d1b1cd08861b3/src/lib/rcap-engine/compiled/profiles/FL-florida.json</x:v>
      </x:c>
    </x:row>
    <x:row r="90">
      <x:c r="A90" s="55" t="str">
        <x:v>Florida</x:v>
      </x:c>
      <x:c r="B90" s="142" t="str">
        <x:v>FL</x:v>
      </x:c>
      <x:c r="C90" s="142" t="n">
        <x:v>3</x:v>
      </x:c>
      <x:c r="D90" s="142" t="str">
        <x:v>Route identification</x:v>
      </x:c>
      <x:c r="E90" s="142" t="str">
        <x:v>How did the Florida case or record end?</x:v>
      </x:c>
      <x:c r="F90" s="142" t="str">
        <x:v>single_choice</x:v>
      </x:c>
      <x:c r="G90" s="142" t="str">
        <x:v>Ask after scope, before route-specific questions</x:v>
      </x:c>
      <x:c r="H90" s="142" t="str">
        <x:v>Splits nonconviction, conviction, diversion/deferred, juvenile, automatic, pardon, correction, and other route families.</x:v>
      </x:c>
      <x:c r="I90" s="142" t="str">
        <x:v>All routes</x:v>
      </x:c>
      <x:c r="J90" s="142" t="str">
        <x:v>Exact details, if needed, are collected after account creation in packet completion.</x:v>
      </x:c>
      <x:c r="K90" s="142" t="str">
        <x:v>pathway_routing</x:v>
      </x:c>
      <x:c r="L90" s="142" t="str">
        <x:v>state_case_outcome_rules</x:v>
      </x:c>
      <x:c r="M90" s="56" t="str">
        <x:v>https://github.com/Roger-LegalEase/legalease-partner-dashboard-clean/blob/2f0ef0403f16e57544ad0bc86b2d1b1cd08861b3/src/lib/rcap-engine/compiled/profiles/FL-florida.json</x:v>
      </x:c>
    </x:row>
    <x:row r="91">
      <x:c r="A91" s="55" t="str">
        <x:v>Florida</x:v>
      </x:c>
      <x:c r="B91" s="142" t="str">
        <x:v>FL</x:v>
      </x:c>
      <x:c r="C91" s="142" t="n">
        <x:v>4</x:v>
      </x:c>
      <x:c r="D91" s="142" t="str">
        <x:v>Route identification</x:v>
      </x:c>
      <x:c r="E91" s="142" t="str">
        <x:v>What level or type was the charge?</x:v>
      </x:c>
      <x:c r="F91" s="142" t="str">
        <x:v>single_choice</x:v>
      </x:c>
      <x:c r="G91" s="142" t="str">
        <x:v>Ask after scope, before route-specific questions</x:v>
      </x:c>
      <x:c r="H91" s="142" t="str">
        <x:v>Narrows offense-level routes, waiting-period bands, and obvious exclusions.</x:v>
      </x:c>
      <x:c r="I91" s="142" t="str">
        <x:v>All routes</x:v>
      </x:c>
      <x:c r="J91" s="142" t="str">
        <x:v>Exact details, if needed, are collected after account creation in packet completion.</x:v>
      </x:c>
      <x:c r="K91" s="142" t="str">
        <x:v>pathway_routing</x:v>
      </x:c>
      <x:c r="L91" s="142" t="str">
        <x:v>state_pathway_and_exclusion_rules</x:v>
      </x:c>
      <x:c r="M91" s="56" t="str">
        <x:v>https://github.com/Roger-LegalEase/legalease-partner-dashboard-clean/blob/2f0ef0403f16e57544ad0bc86b2d1b1cd08861b3/src/lib/rcap-engine/compiled/profiles/FL-florida.json</x:v>
      </x:c>
    </x:row>
    <x:row r="92">
      <x:c r="A92" s="55" t="str">
        <x:v>Florida</x:v>
      </x:c>
      <x:c r="B92" s="142" t="str">
        <x:v>FL</x:v>
      </x:c>
      <x:c r="C92" s="142" t="n">
        <x:v>5</x:v>
      </x:c>
      <x:c r="D92" s="142" t="str">
        <x:v>Route identification</x:v>
      </x:c>
      <x:c r="E92" s="142" t="str">
        <x:v>Do any of these Florida descriptions sound close to your situation?</x:v>
      </x:c>
      <x:c r="F92" s="142" t="str">
        <x:v>single_choice</x:v>
      </x:c>
      <x:c r="G92" s="142" t="str">
        <x:v>Ask after scope, before route-specific questions</x:v>
      </x:c>
      <x:c r="H92" s="142" t="str">
        <x:v>Lets the participant select a likely remedy or “not sure”; selection prunes unrelated route-specific questions.</x:v>
      </x:c>
      <x:c r="I92" s="142" t="str">
        <x:v>All routes</x:v>
      </x:c>
      <x:c r="J92" s="142" t="str">
        <x:v>Exact details, if needed, are collected after account creation in packet completion.</x:v>
      </x:c>
      <x:c r="K92" s="142" t="str">
        <x:v>pathway_routing</x:v>
      </x:c>
      <x:c r="L92" s="142" t="str">
        <x:v>curated_state_pathway_catalog_from_reference</x:v>
      </x:c>
      <x:c r="M92" s="56" t="str">
        <x:v>https://github.com/Roger-LegalEase/legalease-partner-dashboard-clean/blob/2f0ef0403f16e57544ad0bc86b2d1b1cd08861b3/src/lib/rcap-engine/compiled/profiles/FL-florida.json</x:v>
      </x:c>
    </x:row>
    <x:row r="93">
      <x:c r="A93" s="55" t="str">
        <x:v>Florida</x:v>
      </x:c>
      <x:c r="B93" s="142" t="str">
        <x:v>FL</x:v>
      </x:c>
      <x:c r="C93" s="142" t="n">
        <x:v>6</x:v>
      </x:c>
      <x:c r="D93" s="142" t="str">
        <x:v>Route identification</x:v>
      </x:c>
      <x:c r="E93" s="142" t="str">
        <x:v>How old were you when the offense or case began?</x:v>
      </x:c>
      <x:c r="F93" s="142" t="str">
        <x:v>number_or_range</x:v>
      </x:c>
      <x:c r="G93" s="142" t="str">
        <x:v>Ask only when adult-versus-juvenile or youthful-offender treatment may change the route.</x:v>
      </x:c>
      <x:c r="H93" s="142" t="str">
        <x:v>Routes to juvenile/youthful-offender logic or keeps the adult route.</x:v>
      </x:c>
      <x:c r="I93" s="142" t="str">
        <x:v>Age-sensitive routes</x:v>
      </x:c>
      <x:c r="J93" s="142" t="str">
        <x:v>Exact details, if needed, are collected after account creation in packet completion.</x:v>
      </x:c>
      <x:c r="K93" s="142" t="str">
        <x:v>pathway_routing</x:v>
      </x:c>
      <x:c r="L93" s="142" t="str">
        <x:v>derived_from_state_rule_fields</x:v>
      </x:c>
      <x:c r="M93" s="56" t="str">
        <x:v>https://github.com/Roger-LegalEase/legalease-partner-dashboard-clean/blob/2f0ef0403f16e57544ad0bc86b2d1b1cd08861b3/src/lib/rcap-engine/compiled/profiles/FL-florida.json</x:v>
      </x:c>
    </x:row>
    <x:row r="94">
      <x:c r="A94" s="55" t="str">
        <x:v>Florida</x:v>
      </x:c>
      <x:c r="B94" s="142" t="str">
        <x:v>FL</x:v>
      </x:c>
      <x:c r="C94" s="142" t="n">
        <x:v>7</x:v>
      </x:c>
      <x:c r="D94" s="142" t="str">
        <x:v>State-specific eligibility</x:v>
      </x:c>
      <x:c r="E94" s="142" t="str">
        <x:v>Have you previously received record-clearing relief in Florida or elsewhere?</x:v>
      </x:c>
      <x:c r="F94" s="142" t="str">
        <x:v>yes_no_unsure</x:v>
      </x:c>
      <x:c r="G94" s="142" t="str">
        <x:v>Ask only when prior use of relief affects the candidate route.</x:v>
      </x:c>
      <x:c r="H94" s="142" t="str">
        <x:v>Prior relief may limit the route, change the packet, or require review.</x:v>
      </x:c>
      <x:c r="I94" s="142" t="str">
        <x:v>Prior-relief-limited routes</x:v>
      </x:c>
      <x:c r="J94" s="142" t="str">
        <x:v>Exact details, if needed, are collected after account creation in packet completion.</x:v>
      </x:c>
      <x:c r="K94" s="142" t="str">
        <x:v>state_specific_eligibility</x:v>
      </x:c>
      <x:c r="L94" s="142" t="str">
        <x:v>derived_from_state_rule_fields</x:v>
      </x:c>
      <x:c r="M94" s="56" t="str">
        <x:v>https://github.com/Roger-LegalEase/legalease-partner-dashboard-clean/blob/2f0ef0403f16e57544ad0bc86b2d1b1cd08861b3/src/lib/rcap-engine/compiled/profiles/FL-florida.json</x:v>
      </x:c>
    </x:row>
    <x:row r="95">
      <x:c r="A95" s="55" t="str">
        <x:v>Florida</x:v>
      </x:c>
      <x:c r="B95" s="142" t="str">
        <x:v>FL</x:v>
      </x:c>
      <x:c r="C95" s="142" t="n">
        <x:v>8</x:v>
      </x:c>
      <x:c r="D95" s="142" t="str">
        <x:v>Special pathway</x:v>
      </x:c>
      <x:c r="E95" s="142" t="str">
        <x:v>Was this offense connected to your status as a human-trafficking or sex-trafficking survivor?</x:v>
      </x:c>
      <x:c r="F95" s="142" t="str">
        <x:v>yes_no_prefer_not_to_say</x:v>
      </x:c>
      <x:c r="G95" s="142" t="str">
        <x:v>Ask only while trafficking-survivor relief remains viable; allow “prefer not to say.”</x:v>
      </x:c>
      <x:c r="H95" s="142" t="str">
        <x:v>May open vacatur/expungement or review treatment.</x:v>
      </x:c>
      <x:c r="I95" s="142" t="str">
        <x:v>Trafficking-survivor routes</x:v>
      </x:c>
      <x:c r="J95" s="142" t="str">
        <x:v>Exact details, if needed, are collected after account creation in packet completion.</x:v>
      </x:c>
      <x:c r="K95" s="142" t="str">
        <x:v>special_pathways</x:v>
      </x:c>
      <x:c r="L95" s="142" t="str">
        <x:v>derived_from_state_rule_fields</x:v>
      </x:c>
      <x:c r="M95" s="56" t="str">
        <x:v>https://github.com/Roger-LegalEase/legalease-partner-dashboard-clean/blob/2f0ef0403f16e57544ad0bc86b2d1b1cd08861b3/src/lib/rcap-engine/compiled/profiles/FL-florida.json</x:v>
      </x:c>
    </x:row>
    <x:row r="96">
      <x:c r="A96" s="55" t="str">
        <x:v>Florida</x:v>
      </x:c>
      <x:c r="B96" s="142" t="str">
        <x:v>FL</x:v>
      </x:c>
      <x:c r="C96" s="142" t="n">
        <x:v>9</x:v>
      </x:c>
      <x:c r="D96" s="142" t="str">
        <x:v>Special pathway</x:v>
      </x:c>
      <x:c r="E96" s="142" t="str">
        <x:v>Was the arrest or record caused by mistaken identity, identity theft, or law-enforcement error?</x:v>
      </x:c>
      <x:c r="F96" s="142" t="str">
        <x:v>yes_no_unsure</x:v>
      </x:c>
      <x:c r="G96" s="142" t="str">
        <x:v>Ask only while an identity-correction route remains viable.</x:v>
      </x:c>
      <x:c r="H96" s="142" t="str">
        <x:v>Yes routes to correction/sealing logic distinct from ordinary conviction relief.</x:v>
      </x:c>
      <x:c r="I96" s="142" t="str">
        <x:v>Mistaken-identity / correction routes</x:v>
      </x:c>
      <x:c r="J96" s="142" t="str">
        <x:v>Exact details, if needed, are collected after account creation in packet completion.</x:v>
      </x:c>
      <x:c r="K96" s="142" t="str">
        <x:v>special_pathways</x:v>
      </x:c>
      <x:c r="L96" s="142" t="str">
        <x:v>derived_from_state_rule_fields</x:v>
      </x:c>
      <x:c r="M96" s="56" t="str">
        <x:v>https://github.com/Roger-LegalEase/legalease-partner-dashboard-clean/blob/2f0ef0403f16e57544ad0bc86b2d1b1cd08861b3/src/lib/rcap-engine/compiled/profiles/FL-florida.json</x:v>
      </x:c>
    </x:row>
    <x:row r="97">
      <x:c r="A97" s="55" t="str">
        <x:v>Florida</x:v>
      </x:c>
      <x:c r="B97" s="142" t="str">
        <x:v>FL</x:v>
      </x:c>
      <x:c r="C97" s="142" t="n">
        <x:v>10</x:v>
      </x:c>
      <x:c r="D97" s="142" t="str">
        <x:v>Timing / completion</x:v>
      </x:c>
      <x:c r="E97" s="142" t="str">
        <x:v>Have you completed everything the court ordered in this case?</x:v>
      </x:c>
      <x:c r="F97" s="142" t="str">
        <x:v>single_choice</x:v>
      </x:c>
      <x:c r="G97" s="142" t="str">
        <x:v>Ask only when a viable route depends on sentence, supervision, program, restitution, or financial completion.</x:v>
      </x:c>
      <x:c r="H97" s="142" t="str">
        <x:v>No → usually not yet or needs more information; Yes → continue; Not sure → defer exact proof.</x:v>
      </x:c>
      <x:c r="I97" s="142" t="str">
        <x:v>Completion-dependent routes</x:v>
      </x:c>
      <x:c r="J97" s="142" t="str">
        <x:v>Exact details, if needed, are collected after account creation in packet completion.</x:v>
      </x:c>
      <x:c r="K97" s="142" t="str">
        <x:v>timing_and_completion</x:v>
      </x:c>
      <x:c r="L97" s="142" t="str">
        <x:v>normalized_free_check</x:v>
      </x:c>
      <x:c r="M97" s="56" t="str">
        <x:v>https://github.com/Roger-LegalEase/legalease-partner-dashboard-clean/blob/2f0ef0403f16e57544ad0bc86b2d1b1cd08861b3/src/lib/rcap-engine/compiled/profiles/FL-florida.json</x:v>
      </x:c>
    </x:row>
    <x:row r="98">
      <x:c r="A98" s="55" t="str">
        <x:v>Florida</x:v>
      </x:c>
      <x:c r="B98" s="142" t="str">
        <x:v>FL</x:v>
      </x:c>
      <x:c r="C98" s="142" t="n">
        <x:v>11</x:v>
      </x:c>
      <x:c r="D98" s="142" t="str">
        <x:v>Timing / completion</x:v>
      </x:c>
      <x:c r="E98" s="142" t="str">
        <x:v>About how long ago did this case end or get resolved?</x:v>
      </x:c>
      <x:c r="F98" s="142" t="str">
        <x:v>single_choice</x:v>
      </x:c>
      <x:c r="G98" s="142" t="str">
        <x:v>Ask only when at least one viable route has a waiting period.</x:v>
      </x:c>
      <x:c r="H98" s="142" t="str">
        <x:v>Uses an approximate band for a preliminary result; exact dates are collected later.</x:v>
      </x:c>
      <x:c r="I98" s="142" t="str">
        <x:v>Timing-dependent routes</x:v>
      </x:c>
      <x:c r="J98" s="142" t="str">
        <x:v>Exact details, if needed, are collected after account creation in packet completion.</x:v>
      </x:c>
      <x:c r="K98" s="142" t="str">
        <x:v>timing_and_completion</x:v>
      </x:c>
      <x:c r="L98" s="142" t="str">
        <x:v>normalized_free_check</x:v>
      </x:c>
      <x:c r="M98" s="56" t="str">
        <x:v>https://github.com/Roger-LegalEase/legalease-partner-dashboard-clean/blob/2f0ef0403f16e57544ad0bc86b2d1b1cd08861b3/src/lib/rcap-engine/compiled/profiles/FL-florida.json</x:v>
      </x:c>
    </x:row>
    <x:row r="99">
      <x:c r="A99" s="55" t="str">
        <x:v>Florida</x:v>
      </x:c>
      <x:c r="B99" s="142" t="str">
        <x:v>FL</x:v>
      </x:c>
      <x:c r="C99" s="142" t="n">
        <x:v>12</x:v>
      </x:c>
      <x:c r="D99" s="142" t="str">
        <x:v>Exclusions / review</x:v>
      </x:c>
      <x:c r="E99" s="142" t="str">
        <x:v>Does the record involve any Florida category that the source identifies as excluded or review-required?</x:v>
      </x:c>
      <x:c r="F99" s="142" t="str">
        <x:v>multi_select</x:v>
      </x:c>
      <x:c r="G99" s="142" t="str">
        <x:v>Ask after the route is narrowed; show only categories relevant to the remaining route.</x:v>
      </x:c>
      <x:c r="H99" s="142" t="str">
        <x:v>Matching category → hard stop or review; none → continue.</x:v>
      </x:c>
      <x:c r="I99" s="142" t="str">
        <x:v>Route-specific exclusions</x:v>
      </x:c>
      <x:c r="J99" s="142" t="str">
        <x:v>Exact details, if needed, are collected after account creation in packet completion.</x:v>
      </x:c>
      <x:c r="K99" s="142" t="str">
        <x:v>exclusion_screen</x:v>
      </x:c>
      <x:c r="L99" s="142" t="str">
        <x:v>state_exclusion_section</x:v>
      </x:c>
      <x:c r="M99" s="56" t="str">
        <x:v>https://github.com/Roger-LegalEase/legalease-partner-dashboard-clean/blob/2f0ef0403f16e57544ad0bc86b2d1b1cd08861b3/src/lib/rcap-engine/compiled/profiles/FL-florida.json</x:v>
      </x:c>
    </x:row>
    <x:row r="100">
      <x:c r="A100" s="55" t="str">
        <x:v>Georgia</x:v>
      </x:c>
      <x:c r="B100" s="142" t="str">
        <x:v>GA</x:v>
      </x:c>
      <x:c r="C100" s="142" t="n">
        <x:v>1</x:v>
      </x:c>
      <x:c r="D100" s="142" t="str">
        <x:v>Scope</x:v>
      </x:c>
      <x:c r="E100" s="142" t="str">
        <x:v>Are you asking about your own record?</x:v>
      </x:c>
      <x:c r="F100" s="142" t="str">
        <x:v>single_choice</x:v>
      </x:c>
      <x:c r="G100" s="142" t="str">
        <x:v>Ask in every free check</x:v>
      </x:c>
      <x:c r="H100" s="142" t="str">
        <x:v>No → stop or redirect; Yes → continue.</x:v>
      </x:c>
      <x:c r="I100" s="142" t="str">
        <x:v>All routes</x:v>
      </x:c>
      <x:c r="J100" s="142" t="str">
        <x:v>Exact details, if needed, are collected after account creation in packet completion.</x:v>
      </x:c>
      <x:c r="K100" s="142" t="str">
        <x:v>scope</x:v>
      </x:c>
      <x:c r="L100" s="142" t="str">
        <x:v>shared_scope_boundary</x:v>
      </x:c>
      <x:c r="M100" s="56" t="str">
        <x:v>https://github.com/Roger-LegalEase/legalease-partner-dashboard-clean/blob/2f0ef0403f16e57544ad0bc86b2d1b1cd08861b3/src/lib/rcap-engine/compiled/profiles/GA-georgia.json</x:v>
      </x:c>
    </x:row>
    <x:row r="101">
      <x:c r="A101" s="55" t="str">
        <x:v>Georgia</x:v>
      </x:c>
      <x:c r="B101" s="142" t="str">
        <x:v>GA</x:v>
      </x:c>
      <x:c r="C101" s="142" t="n">
        <x:v>2</x:v>
      </x:c>
      <x:c r="D101" s="142" t="str">
        <x:v>Scope</x:v>
      </x:c>
      <x:c r="E101" s="142" t="str">
        <x:v>Is this a state or local matter from Georgia, rather than a federal matter?</x:v>
      </x:c>
      <x:c r="F101" s="142" t="str">
        <x:v>single_choice</x:v>
      </x:c>
      <x:c r="G101" s="142" t="str">
        <x:v>Ask in every free check</x:v>
      </x:c>
      <x:c r="H101" s="142" t="str">
        <x:v>Federal or wrong-state matter → outside this state flow; state/local matter → continue.</x:v>
      </x:c>
      <x:c r="I101" s="142" t="str">
        <x:v>All routes</x:v>
      </x:c>
      <x:c r="J101" s="142" t="str">
        <x:v>Exact details, if needed, are collected after account creation in packet completion.</x:v>
      </x:c>
      <x:c r="K101" s="142" t="str">
        <x:v>scope</x:v>
      </x:c>
      <x:c r="L101" s="142" t="str">
        <x:v>shared_scope_boundary</x:v>
      </x:c>
      <x:c r="M101" s="56" t="str">
        <x:v>https://github.com/Roger-LegalEase/legalease-partner-dashboard-clean/blob/2f0ef0403f16e57544ad0bc86b2d1b1cd08861b3/src/lib/rcap-engine/compiled/profiles/GA-georgia.json</x:v>
      </x:c>
    </x:row>
    <x:row r="102">
      <x:c r="A102" s="55" t="str">
        <x:v>Georgia</x:v>
      </x:c>
      <x:c r="B102" s="142" t="str">
        <x:v>GA</x:v>
      </x:c>
      <x:c r="C102" s="142" t="n">
        <x:v>3</x:v>
      </x:c>
      <x:c r="D102" s="142" t="str">
        <x:v>Route identification</x:v>
      </x:c>
      <x:c r="E102" s="142" t="str">
        <x:v>How did the Georgia case or record end?</x:v>
      </x:c>
      <x:c r="F102" s="142" t="str">
        <x:v>single_choice</x:v>
      </x:c>
      <x:c r="G102" s="142" t="str">
        <x:v>Ask after scope, before route-specific questions</x:v>
      </x:c>
      <x:c r="H102" s="142" t="str">
        <x:v>Splits nonconviction, conviction, diversion/deferred, juvenile, automatic, pardon, correction, and other route families.</x:v>
      </x:c>
      <x:c r="I102" s="142" t="str">
        <x:v>All routes</x:v>
      </x:c>
      <x:c r="J102" s="142" t="str">
        <x:v>Exact details, if needed, are collected after account creation in packet completion.</x:v>
      </x:c>
      <x:c r="K102" s="142" t="str">
        <x:v>pathway_routing</x:v>
      </x:c>
      <x:c r="L102" s="142" t="str">
        <x:v>state_case_outcome_rules</x:v>
      </x:c>
      <x:c r="M102" s="56" t="str">
        <x:v>https://github.com/Roger-LegalEase/legalease-partner-dashboard-clean/blob/2f0ef0403f16e57544ad0bc86b2d1b1cd08861b3/src/lib/rcap-engine/compiled/profiles/GA-georgia.json</x:v>
      </x:c>
    </x:row>
    <x:row r="103">
      <x:c r="A103" s="55" t="str">
        <x:v>Georgia</x:v>
      </x:c>
      <x:c r="B103" s="142" t="str">
        <x:v>GA</x:v>
      </x:c>
      <x:c r="C103" s="142" t="n">
        <x:v>4</x:v>
      </x:c>
      <x:c r="D103" s="142" t="str">
        <x:v>Route identification</x:v>
      </x:c>
      <x:c r="E103" s="142" t="str">
        <x:v>What level or type was the charge?</x:v>
      </x:c>
      <x:c r="F103" s="142" t="str">
        <x:v>single_choice</x:v>
      </x:c>
      <x:c r="G103" s="142" t="str">
        <x:v>Ask after scope, before route-specific questions</x:v>
      </x:c>
      <x:c r="H103" s="142" t="str">
        <x:v>Narrows offense-level routes, waiting-period bands, and obvious exclusions.</x:v>
      </x:c>
      <x:c r="I103" s="142" t="str">
        <x:v>All routes</x:v>
      </x:c>
      <x:c r="J103" s="142" t="str">
        <x:v>Exact details, if needed, are collected after account creation in packet completion.</x:v>
      </x:c>
      <x:c r="K103" s="142" t="str">
        <x:v>pathway_routing</x:v>
      </x:c>
      <x:c r="L103" s="142" t="str">
        <x:v>state_pathway_and_exclusion_rules</x:v>
      </x:c>
      <x:c r="M103" s="56" t="str">
        <x:v>https://github.com/Roger-LegalEase/legalease-partner-dashboard-clean/blob/2f0ef0403f16e57544ad0bc86b2d1b1cd08861b3/src/lib/rcap-engine/compiled/profiles/GA-georgia.json</x:v>
      </x:c>
    </x:row>
    <x:row r="104">
      <x:c r="A104" s="55" t="str">
        <x:v>Georgia</x:v>
      </x:c>
      <x:c r="B104" s="142" t="str">
        <x:v>GA</x:v>
      </x:c>
      <x:c r="C104" s="142" t="n">
        <x:v>5</x:v>
      </x:c>
      <x:c r="D104" s="142" t="str">
        <x:v>Route identification</x:v>
      </x:c>
      <x:c r="E104" s="142" t="str">
        <x:v>Do any of these Georgia descriptions sound close to your situation?</x:v>
      </x:c>
      <x:c r="F104" s="142" t="str">
        <x:v>single_choice</x:v>
      </x:c>
      <x:c r="G104" s="142" t="str">
        <x:v>Ask after scope, before route-specific questions</x:v>
      </x:c>
      <x:c r="H104" s="142" t="str">
        <x:v>Lets the participant select a likely remedy or “not sure”; selection prunes unrelated route-specific questions.</x:v>
      </x:c>
      <x:c r="I104" s="142" t="str">
        <x:v>All routes</x:v>
      </x:c>
      <x:c r="J104" s="142" t="str">
        <x:v>Exact details, if needed, are collected after account creation in packet completion.</x:v>
      </x:c>
      <x:c r="K104" s="142" t="str">
        <x:v>pathway_routing</x:v>
      </x:c>
      <x:c r="L104" s="142" t="str">
        <x:v>curated_state_pathway_catalog_from_reference</x:v>
      </x:c>
      <x:c r="M104" s="56" t="str">
        <x:v>https://github.com/Roger-LegalEase/legalease-partner-dashboard-clean/blob/2f0ef0403f16e57544ad0bc86b2d1b1cd08861b3/src/lib/rcap-engine/compiled/profiles/GA-georgia.json</x:v>
      </x:c>
    </x:row>
    <x:row r="105">
      <x:c r="A105" s="55" t="str">
        <x:v>Georgia</x:v>
      </x:c>
      <x:c r="B105" s="142" t="str">
        <x:v>GA</x:v>
      </x:c>
      <x:c r="C105" s="142" t="n">
        <x:v>6</x:v>
      </x:c>
      <x:c r="D105" s="142" t="str">
        <x:v>State-specific eligibility</x:v>
      </x:c>
      <x:c r="E105" s="142" t="str">
        <x:v>Have you previously received record-clearing relief in Georgia or elsewhere?</x:v>
      </x:c>
      <x:c r="F105" s="142" t="str">
        <x:v>yes_no_unsure</x:v>
      </x:c>
      <x:c r="G105" s="142" t="str">
        <x:v>Ask only when prior use of relief affects the candidate route.</x:v>
      </x:c>
      <x:c r="H105" s="142" t="str">
        <x:v>Prior relief may limit the route, change the packet, or require review.</x:v>
      </x:c>
      <x:c r="I105" s="142" t="str">
        <x:v>Prior-relief-limited routes</x:v>
      </x:c>
      <x:c r="J105" s="142" t="str">
        <x:v>Exact details, if needed, are collected after account creation in packet completion.</x:v>
      </x:c>
      <x:c r="K105" s="142" t="str">
        <x:v>state_specific_eligibility</x:v>
      </x:c>
      <x:c r="L105" s="142" t="str">
        <x:v>derived_from_state_rule_fields</x:v>
      </x:c>
      <x:c r="M105" s="56" t="str">
        <x:v>https://github.com/Roger-LegalEase/legalease-partner-dashboard-clean/blob/2f0ef0403f16e57544ad0bc86b2d1b1cd08861b3/src/lib/rcap-engine/compiled/profiles/GA-georgia.json</x:v>
      </x:c>
    </x:row>
    <x:row r="106">
      <x:c r="A106" s="55" t="str">
        <x:v>Georgia</x:v>
      </x:c>
      <x:c r="B106" s="142" t="str">
        <x:v>GA</x:v>
      </x:c>
      <x:c r="C106" s="142" t="n">
        <x:v>7</x:v>
      </x:c>
      <x:c r="D106" s="142" t="str">
        <x:v>Special pathway</x:v>
      </x:c>
      <x:c r="E106" s="142" t="str">
        <x:v>Have you received a pardon, certificate of rehabilitation, or similar executive relief for this conviction?</x:v>
      </x:c>
      <x:c r="F106" s="142" t="str">
        <x:v>yes_no_unsure</x:v>
      </x:c>
      <x:c r="G106" s="142" t="str">
        <x:v>Ask only while a pardon or executive-relief route remains viable.</x:v>
      </x:c>
      <x:c r="H106" s="142" t="str">
        <x:v>Yes may open a pardon-based route; No preserves ordinary routes; Not sure defers proof.</x:v>
      </x:c>
      <x:c r="I106" s="142" t="str">
        <x:v>Pardon / executive-relief routes</x:v>
      </x:c>
      <x:c r="J106" s="142" t="str">
        <x:v>Exact details, if needed, are collected after account creation in packet completion.</x:v>
      </x:c>
      <x:c r="K106" s="142" t="str">
        <x:v>special_pathways</x:v>
      </x:c>
      <x:c r="L106" s="142" t="str">
        <x:v>derived_from_state_rule_fields</x:v>
      </x:c>
      <x:c r="M106" s="56" t="str">
        <x:v>https://github.com/Roger-LegalEase/legalease-partner-dashboard-clean/blob/2f0ef0403f16e57544ad0bc86b2d1b1cd08861b3/src/lib/rcap-engine/compiled/profiles/GA-georgia.json</x:v>
      </x:c>
    </x:row>
    <x:row r="107">
      <x:c r="A107" s="55" t="str">
        <x:v>Georgia</x:v>
      </x:c>
      <x:c r="B107" s="142" t="str">
        <x:v>GA</x:v>
      </x:c>
      <x:c r="C107" s="142" t="n">
        <x:v>8</x:v>
      </x:c>
      <x:c r="D107" s="142" t="str">
        <x:v>Timing / completion</x:v>
      </x:c>
      <x:c r="E107" s="142" t="str">
        <x:v>Do you currently have any pending criminal charge, open case, probation, parole, or other supervision?</x:v>
      </x:c>
      <x:c r="F107" s="142" t="str">
        <x:v>yes_no_unsure</x:v>
      </x:c>
      <x:c r="G107" s="142" t="str">
        <x:v>Ask only when pending cases or active supervision can block the candidate route.</x:v>
      </x:c>
      <x:c r="H107" s="142" t="str">
        <x:v>Pending/open matter may produce not-yet, review, or a different route.</x:v>
      </x:c>
      <x:c r="I107" s="142" t="str">
        <x:v>Pending-case-sensitive routes</x:v>
      </x:c>
      <x:c r="J107" s="142" t="str">
        <x:v>Exact details, if needed, are collected after account creation in packet completion.</x:v>
      </x:c>
      <x:c r="K107" s="142" t="str">
        <x:v>timing_and_completion</x:v>
      </x:c>
      <x:c r="L107" s="142" t="str">
        <x:v>derived_from_state_rule_fields</x:v>
      </x:c>
      <x:c r="M107" s="56" t="str">
        <x:v>https://github.com/Roger-LegalEase/legalease-partner-dashboard-clean/blob/2f0ef0403f16e57544ad0bc86b2d1b1cd08861b3/src/lib/rcap-engine/compiled/profiles/GA-georgia.json</x:v>
      </x:c>
    </x:row>
    <x:row r="108">
      <x:c r="A108" s="55" t="str">
        <x:v>Georgia</x:v>
      </x:c>
      <x:c r="B108" s="142" t="str">
        <x:v>GA</x:v>
      </x:c>
      <x:c r="C108" s="142" t="n">
        <x:v>9</x:v>
      </x:c>
      <x:c r="D108" s="142" t="str">
        <x:v>Timing / completion</x:v>
      </x:c>
      <x:c r="E108" s="142" t="str">
        <x:v>Have you completed everything the court ordered in this case?</x:v>
      </x:c>
      <x:c r="F108" s="142" t="str">
        <x:v>single_choice</x:v>
      </x:c>
      <x:c r="G108" s="142" t="str">
        <x:v>Ask only when a viable route depends on sentence, supervision, program, restitution, or financial completion.</x:v>
      </x:c>
      <x:c r="H108" s="142" t="str">
        <x:v>No → usually not yet or needs more information; Yes → continue; Not sure → defer exact proof.</x:v>
      </x:c>
      <x:c r="I108" s="142" t="str">
        <x:v>Completion-dependent routes</x:v>
      </x:c>
      <x:c r="J108" s="142" t="str">
        <x:v>Exact details, if needed, are collected after account creation in packet completion.</x:v>
      </x:c>
      <x:c r="K108" s="142" t="str">
        <x:v>timing_and_completion</x:v>
      </x:c>
      <x:c r="L108" s="142" t="str">
        <x:v>normalized_free_check</x:v>
      </x:c>
      <x:c r="M108" s="56" t="str">
        <x:v>https://github.com/Roger-LegalEase/legalease-partner-dashboard-clean/blob/2f0ef0403f16e57544ad0bc86b2d1b1cd08861b3/src/lib/rcap-engine/compiled/profiles/GA-georgia.json</x:v>
      </x:c>
    </x:row>
    <x:row r="109">
      <x:c r="A109" s="55" t="str">
        <x:v>Georgia</x:v>
      </x:c>
      <x:c r="B109" s="142" t="str">
        <x:v>GA</x:v>
      </x:c>
      <x:c r="C109" s="142" t="n">
        <x:v>10</x:v>
      </x:c>
      <x:c r="D109" s="142" t="str">
        <x:v>Timing / completion</x:v>
      </x:c>
      <x:c r="E109" s="142" t="str">
        <x:v>About how long ago did this case end or get resolved?</x:v>
      </x:c>
      <x:c r="F109" s="142" t="str">
        <x:v>single_choice</x:v>
      </x:c>
      <x:c r="G109" s="142" t="str">
        <x:v>Ask only when at least one viable route has a waiting period.</x:v>
      </x:c>
      <x:c r="H109" s="142" t="str">
        <x:v>Uses an approximate band for a preliminary result; exact dates are collected later.</x:v>
      </x:c>
      <x:c r="I109" s="142" t="str">
        <x:v>Timing-dependent routes</x:v>
      </x:c>
      <x:c r="J109" s="142" t="str">
        <x:v>Exact details, if needed, are collected after account creation in packet completion.</x:v>
      </x:c>
      <x:c r="K109" s="142" t="str">
        <x:v>timing_and_completion</x:v>
      </x:c>
      <x:c r="L109" s="142" t="str">
        <x:v>normalized_free_check</x:v>
      </x:c>
      <x:c r="M109" s="56" t="str">
        <x:v>https://github.com/Roger-LegalEase/legalease-partner-dashboard-clean/blob/2f0ef0403f16e57544ad0bc86b2d1b1cd08861b3/src/lib/rcap-engine/compiled/profiles/GA-georgia.json</x:v>
      </x:c>
    </x:row>
    <x:row r="110">
      <x:c r="A110" s="55" t="str">
        <x:v>Georgia</x:v>
      </x:c>
      <x:c r="B110" s="142" t="str">
        <x:v>GA</x:v>
      </x:c>
      <x:c r="C110" s="142" t="n">
        <x:v>11</x:v>
      </x:c>
      <x:c r="D110" s="142" t="str">
        <x:v>Exclusions / review</x:v>
      </x:c>
      <x:c r="E110" s="142" t="str">
        <x:v>Does the record involve any Georgia category that the source identifies as excluded or review-required?</x:v>
      </x:c>
      <x:c r="F110" s="142" t="str">
        <x:v>multi_select</x:v>
      </x:c>
      <x:c r="G110" s="142" t="str">
        <x:v>Ask after the route is narrowed; show only categories relevant to the remaining route.</x:v>
      </x:c>
      <x:c r="H110" s="142" t="str">
        <x:v>Matching category → hard stop or review; none → continue.</x:v>
      </x:c>
      <x:c r="I110" s="142" t="str">
        <x:v>Route-specific exclusions</x:v>
      </x:c>
      <x:c r="J110" s="142" t="str">
        <x:v>Exact details, if needed, are collected after account creation in packet completion.</x:v>
      </x:c>
      <x:c r="K110" s="142" t="str">
        <x:v>exclusion_screen</x:v>
      </x:c>
      <x:c r="L110" s="142" t="str">
        <x:v>state_exclusion_section</x:v>
      </x:c>
      <x:c r="M110" s="56" t="str">
        <x:v>https://github.com/Roger-LegalEase/legalease-partner-dashboard-clean/blob/2f0ef0403f16e57544ad0bc86b2d1b1cd08861b3/src/lib/rcap-engine/compiled/profiles/GA-georgia.json</x:v>
      </x:c>
    </x:row>
    <x:row r="111">
      <x:c r="A111" s="55" t="str">
        <x:v>Hawaii</x:v>
      </x:c>
      <x:c r="B111" s="142" t="str">
        <x:v>HI</x:v>
      </x:c>
      <x:c r="C111" s="142" t="n">
        <x:v>1</x:v>
      </x:c>
      <x:c r="D111" s="142" t="str">
        <x:v>Scope</x:v>
      </x:c>
      <x:c r="E111" s="142" t="str">
        <x:v>Are you asking about your own record?</x:v>
      </x:c>
      <x:c r="F111" s="142" t="str">
        <x:v>single_choice</x:v>
      </x:c>
      <x:c r="G111" s="142" t="str">
        <x:v>Ask in every free check</x:v>
      </x:c>
      <x:c r="H111" s="142" t="str">
        <x:v>No → stop or redirect; Yes → continue.</x:v>
      </x:c>
      <x:c r="I111" s="142" t="str">
        <x:v>All routes</x:v>
      </x:c>
      <x:c r="J111" s="142" t="str">
        <x:v>Exact details, if needed, are collected after account creation in packet completion.</x:v>
      </x:c>
      <x:c r="K111" s="142" t="str">
        <x:v>scope</x:v>
      </x:c>
      <x:c r="L111" s="142" t="str">
        <x:v>shared_scope_boundary</x:v>
      </x:c>
      <x:c r="M111" s="56" t="str">
        <x:v>https://github.com/Roger-LegalEase/legalease-partner-dashboard-clean/blob/2f0ef0403f16e57544ad0bc86b2d1b1cd08861b3/src/lib/rcap-engine/compiled/profiles/HI-hawaii.json</x:v>
      </x:c>
    </x:row>
    <x:row r="112">
      <x:c r="A112" s="55" t="str">
        <x:v>Hawaii</x:v>
      </x:c>
      <x:c r="B112" s="142" t="str">
        <x:v>HI</x:v>
      </x:c>
      <x:c r="C112" s="142" t="n">
        <x:v>2</x:v>
      </x:c>
      <x:c r="D112" s="142" t="str">
        <x:v>Scope</x:v>
      </x:c>
      <x:c r="E112" s="142" t="str">
        <x:v>Is this a state or local matter from Hawaii, rather than a federal matter?</x:v>
      </x:c>
      <x:c r="F112" s="142" t="str">
        <x:v>single_choice</x:v>
      </x:c>
      <x:c r="G112" s="142" t="str">
        <x:v>Ask in every free check</x:v>
      </x:c>
      <x:c r="H112" s="142" t="str">
        <x:v>Federal or wrong-state matter → outside this state flow; state/local matter → continue.</x:v>
      </x:c>
      <x:c r="I112" s="142" t="str">
        <x:v>All routes</x:v>
      </x:c>
      <x:c r="J112" s="142" t="str">
        <x:v>Exact details, if needed, are collected after account creation in packet completion.</x:v>
      </x:c>
      <x:c r="K112" s="142" t="str">
        <x:v>scope</x:v>
      </x:c>
      <x:c r="L112" s="142" t="str">
        <x:v>shared_scope_boundary</x:v>
      </x:c>
      <x:c r="M112" s="56" t="str">
        <x:v>https://github.com/Roger-LegalEase/legalease-partner-dashboard-clean/blob/2f0ef0403f16e57544ad0bc86b2d1b1cd08861b3/src/lib/rcap-engine/compiled/profiles/HI-hawaii.json</x:v>
      </x:c>
    </x:row>
    <x:row r="113">
      <x:c r="A113" s="55" t="str">
        <x:v>Hawaii</x:v>
      </x:c>
      <x:c r="B113" s="142" t="str">
        <x:v>HI</x:v>
      </x:c>
      <x:c r="C113" s="142" t="n">
        <x:v>3</x:v>
      </x:c>
      <x:c r="D113" s="142" t="str">
        <x:v>Route identification</x:v>
      </x:c>
      <x:c r="E113" s="142" t="str">
        <x:v>How did the Hawaii case or record end?</x:v>
      </x:c>
      <x:c r="F113" s="142" t="str">
        <x:v>single_choice</x:v>
      </x:c>
      <x:c r="G113" s="142" t="str">
        <x:v>Ask after scope, before route-specific questions</x:v>
      </x:c>
      <x:c r="H113" s="142" t="str">
        <x:v>Splits nonconviction, conviction, diversion/deferred, juvenile, automatic, pardon, correction, and other route families.</x:v>
      </x:c>
      <x:c r="I113" s="142" t="str">
        <x:v>All routes</x:v>
      </x:c>
      <x:c r="J113" s="142" t="str">
        <x:v>Exact details, if needed, are collected after account creation in packet completion.</x:v>
      </x:c>
      <x:c r="K113" s="142" t="str">
        <x:v>pathway_routing</x:v>
      </x:c>
      <x:c r="L113" s="142" t="str">
        <x:v>state_case_outcome_rules</x:v>
      </x:c>
      <x:c r="M113" s="56" t="str">
        <x:v>https://github.com/Roger-LegalEase/legalease-partner-dashboard-clean/blob/2f0ef0403f16e57544ad0bc86b2d1b1cd08861b3/src/lib/rcap-engine/compiled/profiles/HI-hawaii.json</x:v>
      </x:c>
    </x:row>
    <x:row r="114">
      <x:c r="A114" s="55" t="str">
        <x:v>Hawaii</x:v>
      </x:c>
      <x:c r="B114" s="142" t="str">
        <x:v>HI</x:v>
      </x:c>
      <x:c r="C114" s="142" t="n">
        <x:v>4</x:v>
      </x:c>
      <x:c r="D114" s="142" t="str">
        <x:v>Route identification</x:v>
      </x:c>
      <x:c r="E114" s="142" t="str">
        <x:v>What level or type was the charge?</x:v>
      </x:c>
      <x:c r="F114" s="142" t="str">
        <x:v>single_choice</x:v>
      </x:c>
      <x:c r="G114" s="142" t="str">
        <x:v>Ask after scope, before route-specific questions</x:v>
      </x:c>
      <x:c r="H114" s="142" t="str">
        <x:v>Narrows offense-level routes, waiting-period bands, and obvious exclusions.</x:v>
      </x:c>
      <x:c r="I114" s="142" t="str">
        <x:v>All routes</x:v>
      </x:c>
      <x:c r="J114" s="142" t="str">
        <x:v>Exact details, if needed, are collected after account creation in packet completion.</x:v>
      </x:c>
      <x:c r="K114" s="142" t="str">
        <x:v>pathway_routing</x:v>
      </x:c>
      <x:c r="L114" s="142" t="str">
        <x:v>state_pathway_and_exclusion_rules</x:v>
      </x:c>
      <x:c r="M114" s="56" t="str">
        <x:v>https://github.com/Roger-LegalEase/legalease-partner-dashboard-clean/blob/2f0ef0403f16e57544ad0bc86b2d1b1cd08861b3/src/lib/rcap-engine/compiled/profiles/HI-hawaii.json</x:v>
      </x:c>
    </x:row>
    <x:row r="115">
      <x:c r="A115" s="55" t="str">
        <x:v>Hawaii</x:v>
      </x:c>
      <x:c r="B115" s="142" t="str">
        <x:v>HI</x:v>
      </x:c>
      <x:c r="C115" s="142" t="n">
        <x:v>5</x:v>
      </x:c>
      <x:c r="D115" s="142" t="str">
        <x:v>Route identification</x:v>
      </x:c>
      <x:c r="E115" s="142" t="str">
        <x:v>Do any of these Hawaii descriptions sound close to your situation?</x:v>
      </x:c>
      <x:c r="F115" s="142" t="str">
        <x:v>single_choice</x:v>
      </x:c>
      <x:c r="G115" s="142" t="str">
        <x:v>Ask after scope, before route-specific questions</x:v>
      </x:c>
      <x:c r="H115" s="142" t="str">
        <x:v>Lets the participant select a likely remedy or “not sure”; selection prunes unrelated route-specific questions.</x:v>
      </x:c>
      <x:c r="I115" s="142" t="str">
        <x:v>All routes</x:v>
      </x:c>
      <x:c r="J115" s="142" t="str">
        <x:v>Exact details, if needed, are collected after account creation in packet completion.</x:v>
      </x:c>
      <x:c r="K115" s="142" t="str">
        <x:v>pathway_routing</x:v>
      </x:c>
      <x:c r="L115" s="142" t="str">
        <x:v>curated_state_pathway_catalog_from_reference</x:v>
      </x:c>
      <x:c r="M115" s="56" t="str">
        <x:v>https://github.com/Roger-LegalEase/legalease-partner-dashboard-clean/blob/2f0ef0403f16e57544ad0bc86b2d1b1cd08861b3/src/lib/rcap-engine/compiled/profiles/HI-hawaii.json</x:v>
      </x:c>
    </x:row>
    <x:row r="116">
      <x:c r="A116" s="55" t="str">
        <x:v>Hawaii</x:v>
      </x:c>
      <x:c r="B116" s="142" t="str">
        <x:v>HI</x:v>
      </x:c>
      <x:c r="C116" s="142" t="n">
        <x:v>6</x:v>
      </x:c>
      <x:c r="D116" s="142" t="str">
        <x:v>Route identification</x:v>
      </x:c>
      <x:c r="E116" s="142" t="str">
        <x:v>How old were you when the offense or case began?</x:v>
      </x:c>
      <x:c r="F116" s="142" t="str">
        <x:v>number_or_range</x:v>
      </x:c>
      <x:c r="G116" s="142" t="str">
        <x:v>Ask only when adult-versus-juvenile or youthful-offender treatment may change the route.</x:v>
      </x:c>
      <x:c r="H116" s="142" t="str">
        <x:v>Routes to juvenile/youthful-offender logic or keeps the adult route.</x:v>
      </x:c>
      <x:c r="I116" s="142" t="str">
        <x:v>Age-sensitive routes</x:v>
      </x:c>
      <x:c r="J116" s="142" t="str">
        <x:v>Exact details, if needed, are collected after account creation in packet completion.</x:v>
      </x:c>
      <x:c r="K116" s="142" t="str">
        <x:v>pathway_routing</x:v>
      </x:c>
      <x:c r="L116" s="142" t="str">
        <x:v>derived_from_state_rule_fields</x:v>
      </x:c>
      <x:c r="M116" s="56" t="str">
        <x:v>https://github.com/Roger-LegalEase/legalease-partner-dashboard-clean/blob/2f0ef0403f16e57544ad0bc86b2d1b1cd08861b3/src/lib/rcap-engine/compiled/profiles/HI-hawaii.json</x:v>
      </x:c>
    </x:row>
    <x:row r="117">
      <x:c r="A117" s="55" t="str">
        <x:v>Hawaii</x:v>
      </x:c>
      <x:c r="B117" s="142" t="str">
        <x:v>HI</x:v>
      </x:c>
      <x:c r="C117" s="142" t="n">
        <x:v>7</x:v>
      </x:c>
      <x:c r="D117" s="142" t="str">
        <x:v>Timing / completion</x:v>
      </x:c>
      <x:c r="E117" s="142" t="str">
        <x:v>About how long ago did this case end or get resolved?</x:v>
      </x:c>
      <x:c r="F117" s="142" t="str">
        <x:v>single_choice</x:v>
      </x:c>
      <x:c r="G117" s="142" t="str">
        <x:v>Ask only when at least one viable route has a waiting period.</x:v>
      </x:c>
      <x:c r="H117" s="142" t="str">
        <x:v>Uses an approximate band for a preliminary result; exact dates are collected later.</x:v>
      </x:c>
      <x:c r="I117" s="142" t="str">
        <x:v>Timing-dependent routes</x:v>
      </x:c>
      <x:c r="J117" s="142" t="str">
        <x:v>Exact details, if needed, are collected after account creation in packet completion.</x:v>
      </x:c>
      <x:c r="K117" s="142" t="str">
        <x:v>timing_and_completion</x:v>
      </x:c>
      <x:c r="L117" s="142" t="str">
        <x:v>normalized_free_check</x:v>
      </x:c>
      <x:c r="M117" s="56" t="str">
        <x:v>https://github.com/Roger-LegalEase/legalease-partner-dashboard-clean/blob/2f0ef0403f16e57544ad0bc86b2d1b1cd08861b3/src/lib/rcap-engine/compiled/profiles/HI-hawaii.json</x:v>
      </x:c>
    </x:row>
    <x:row r="118">
      <x:c r="A118" s="55" t="str">
        <x:v>Iowa</x:v>
      </x:c>
      <x:c r="B118" s="142" t="str">
        <x:v>IA</x:v>
      </x:c>
      <x:c r="C118" s="142" t="n">
        <x:v>1</x:v>
      </x:c>
      <x:c r="D118" s="142" t="str">
        <x:v>Scope</x:v>
      </x:c>
      <x:c r="E118" s="142" t="str">
        <x:v>Are you asking about your own record?</x:v>
      </x:c>
      <x:c r="F118" s="142" t="str">
        <x:v>single_choice</x:v>
      </x:c>
      <x:c r="G118" s="142" t="str">
        <x:v>Ask in every free check</x:v>
      </x:c>
      <x:c r="H118" s="142" t="str">
        <x:v>No → stop or redirect; Yes → continue.</x:v>
      </x:c>
      <x:c r="I118" s="142" t="str">
        <x:v>All routes</x:v>
      </x:c>
      <x:c r="J118" s="142" t="str">
        <x:v>Exact details, if needed, are collected after account creation in packet completion.</x:v>
      </x:c>
      <x:c r="K118" s="142" t="str">
        <x:v>scope</x:v>
      </x:c>
      <x:c r="L118" s="142" t="str">
        <x:v>shared_scope_boundary</x:v>
      </x:c>
      <x:c r="M118" s="56" t="str">
        <x:v>https://github.com/Roger-LegalEase/legalease-partner-dashboard-clean/blob/2f0ef0403f16e57544ad0bc86b2d1b1cd08861b3/src/lib/rcap-engine/compiled/profiles/IA-iowa.json</x:v>
      </x:c>
    </x:row>
    <x:row r="119">
      <x:c r="A119" s="55" t="str">
        <x:v>Iowa</x:v>
      </x:c>
      <x:c r="B119" s="142" t="str">
        <x:v>IA</x:v>
      </x:c>
      <x:c r="C119" s="142" t="n">
        <x:v>2</x:v>
      </x:c>
      <x:c r="D119" s="142" t="str">
        <x:v>Scope</x:v>
      </x:c>
      <x:c r="E119" s="142" t="str">
        <x:v>Is this a state or local matter from Iowa, rather than a federal matter?</x:v>
      </x:c>
      <x:c r="F119" s="142" t="str">
        <x:v>single_choice</x:v>
      </x:c>
      <x:c r="G119" s="142" t="str">
        <x:v>Ask in every free check</x:v>
      </x:c>
      <x:c r="H119" s="142" t="str">
        <x:v>Federal or wrong-state matter → outside this state flow; state/local matter → continue.</x:v>
      </x:c>
      <x:c r="I119" s="142" t="str">
        <x:v>All routes</x:v>
      </x:c>
      <x:c r="J119" s="142" t="str">
        <x:v>Exact details, if needed, are collected after account creation in packet completion.</x:v>
      </x:c>
      <x:c r="K119" s="142" t="str">
        <x:v>scope</x:v>
      </x:c>
      <x:c r="L119" s="142" t="str">
        <x:v>shared_scope_boundary</x:v>
      </x:c>
      <x:c r="M119" s="56" t="str">
        <x:v>https://github.com/Roger-LegalEase/legalease-partner-dashboard-clean/blob/2f0ef0403f16e57544ad0bc86b2d1b1cd08861b3/src/lib/rcap-engine/compiled/profiles/IA-iowa.json</x:v>
      </x:c>
    </x:row>
    <x:row r="120">
      <x:c r="A120" s="55" t="str">
        <x:v>Iowa</x:v>
      </x:c>
      <x:c r="B120" s="142" t="str">
        <x:v>IA</x:v>
      </x:c>
      <x:c r="C120" s="142" t="n">
        <x:v>3</x:v>
      </x:c>
      <x:c r="D120" s="142" t="str">
        <x:v>Route identification</x:v>
      </x:c>
      <x:c r="E120" s="142" t="str">
        <x:v>How did the Iowa case or record end?</x:v>
      </x:c>
      <x:c r="F120" s="142" t="str">
        <x:v>single_choice</x:v>
      </x:c>
      <x:c r="G120" s="142" t="str">
        <x:v>Ask after scope, before route-specific questions</x:v>
      </x:c>
      <x:c r="H120" s="142" t="str">
        <x:v>Splits nonconviction, conviction, diversion/deferred, juvenile, automatic, pardon, correction, and other route families.</x:v>
      </x:c>
      <x:c r="I120" s="142" t="str">
        <x:v>All routes</x:v>
      </x:c>
      <x:c r="J120" s="142" t="str">
        <x:v>Exact details, if needed, are collected after account creation in packet completion.</x:v>
      </x:c>
      <x:c r="K120" s="142" t="str">
        <x:v>pathway_routing</x:v>
      </x:c>
      <x:c r="L120" s="142" t="str">
        <x:v>state_case_outcome_rules</x:v>
      </x:c>
      <x:c r="M120" s="56" t="str">
        <x:v>https://github.com/Roger-LegalEase/legalease-partner-dashboard-clean/blob/2f0ef0403f16e57544ad0bc86b2d1b1cd08861b3/src/lib/rcap-engine/compiled/profiles/IA-iowa.json</x:v>
      </x:c>
    </x:row>
    <x:row r="121">
      <x:c r="A121" s="55" t="str">
        <x:v>Iowa</x:v>
      </x:c>
      <x:c r="B121" s="142" t="str">
        <x:v>IA</x:v>
      </x:c>
      <x:c r="C121" s="142" t="n">
        <x:v>4</x:v>
      </x:c>
      <x:c r="D121" s="142" t="str">
        <x:v>Route identification</x:v>
      </x:c>
      <x:c r="E121" s="142" t="str">
        <x:v>What level or type was the charge?</x:v>
      </x:c>
      <x:c r="F121" s="142" t="str">
        <x:v>single_choice</x:v>
      </x:c>
      <x:c r="G121" s="142" t="str">
        <x:v>Ask after scope, before route-specific questions</x:v>
      </x:c>
      <x:c r="H121" s="142" t="str">
        <x:v>Narrows offense-level routes, waiting-period bands, and obvious exclusions.</x:v>
      </x:c>
      <x:c r="I121" s="142" t="str">
        <x:v>All routes</x:v>
      </x:c>
      <x:c r="J121" s="142" t="str">
        <x:v>Exact details, if needed, are collected after account creation in packet completion.</x:v>
      </x:c>
      <x:c r="K121" s="142" t="str">
        <x:v>pathway_routing</x:v>
      </x:c>
      <x:c r="L121" s="142" t="str">
        <x:v>state_pathway_and_exclusion_rules</x:v>
      </x:c>
      <x:c r="M121" s="56" t="str">
        <x:v>https://github.com/Roger-LegalEase/legalease-partner-dashboard-clean/blob/2f0ef0403f16e57544ad0bc86b2d1b1cd08861b3/src/lib/rcap-engine/compiled/profiles/IA-iowa.json</x:v>
      </x:c>
    </x:row>
    <x:row r="122">
      <x:c r="A122" s="55" t="str">
        <x:v>Iowa</x:v>
      </x:c>
      <x:c r="B122" s="142" t="str">
        <x:v>IA</x:v>
      </x:c>
      <x:c r="C122" s="142" t="n">
        <x:v>5</x:v>
      </x:c>
      <x:c r="D122" s="142" t="str">
        <x:v>Route identification</x:v>
      </x:c>
      <x:c r="E122" s="142" t="str">
        <x:v>Do any of these Iowa descriptions sound close to your situation?</x:v>
      </x:c>
      <x:c r="F122" s="142" t="str">
        <x:v>single_choice</x:v>
      </x:c>
      <x:c r="G122" s="142" t="str">
        <x:v>Ask after scope, before route-specific questions</x:v>
      </x:c>
      <x:c r="H122" s="142" t="str">
        <x:v>Lets the participant select a likely remedy or “not sure”; selection prunes unrelated route-specific questions.</x:v>
      </x:c>
      <x:c r="I122" s="142" t="str">
        <x:v>All routes</x:v>
      </x:c>
      <x:c r="J122" s="142" t="str">
        <x:v>Exact details, if needed, are collected after account creation in packet completion.</x:v>
      </x:c>
      <x:c r="K122" s="142" t="str">
        <x:v>pathway_routing</x:v>
      </x:c>
      <x:c r="L122" s="142" t="str">
        <x:v>curated_state_pathway_catalog_from_reference</x:v>
      </x:c>
      <x:c r="M122" s="56" t="str">
        <x:v>https://github.com/Roger-LegalEase/legalease-partner-dashboard-clean/blob/2f0ef0403f16e57544ad0bc86b2d1b1cd08861b3/src/lib/rcap-engine/compiled/profiles/IA-iowa.json</x:v>
      </x:c>
    </x:row>
    <x:row r="123">
      <x:c r="A123" s="55" t="str">
        <x:v>Iowa</x:v>
      </x:c>
      <x:c r="B123" s="142" t="str">
        <x:v>IA</x:v>
      </x:c>
      <x:c r="C123" s="142" t="n">
        <x:v>6</x:v>
      </x:c>
      <x:c r="D123" s="142" t="str">
        <x:v>Route identification</x:v>
      </x:c>
      <x:c r="E123" s="142" t="str">
        <x:v>How old were you when the offense or case began?</x:v>
      </x:c>
      <x:c r="F123" s="142" t="str">
        <x:v>number_or_range</x:v>
      </x:c>
      <x:c r="G123" s="142" t="str">
        <x:v>Ask only when adult-versus-juvenile or youthful-offender treatment may change the route.</x:v>
      </x:c>
      <x:c r="H123" s="142" t="str">
        <x:v>Routes to juvenile/youthful-offender logic or keeps the adult route.</x:v>
      </x:c>
      <x:c r="I123" s="142" t="str">
        <x:v>Age-sensitive routes</x:v>
      </x:c>
      <x:c r="J123" s="142" t="str">
        <x:v>Exact details, if needed, are collected after account creation in packet completion.</x:v>
      </x:c>
      <x:c r="K123" s="142" t="str">
        <x:v>pathway_routing</x:v>
      </x:c>
      <x:c r="L123" s="142" t="str">
        <x:v>derived_from_state_rule_fields</x:v>
      </x:c>
      <x:c r="M123" s="56" t="str">
        <x:v>https://github.com/Roger-LegalEase/legalease-partner-dashboard-clean/blob/2f0ef0403f16e57544ad0bc86b2d1b1cd08861b3/src/lib/rcap-engine/compiled/profiles/IA-iowa.json</x:v>
      </x:c>
    </x:row>
    <x:row r="124">
      <x:c r="A124" s="55" t="str">
        <x:v>Iowa</x:v>
      </x:c>
      <x:c r="B124" s="142" t="str">
        <x:v>IA</x:v>
      </x:c>
      <x:c r="C124" s="142" t="n">
        <x:v>7</x:v>
      </x:c>
      <x:c r="D124" s="142" t="str">
        <x:v>State-specific eligibility</x:v>
      </x:c>
      <x:c r="E124" s="142" t="str">
        <x:v>Have you previously received record-clearing relief in Iowa or elsewhere?</x:v>
      </x:c>
      <x:c r="F124" s="142" t="str">
        <x:v>yes_no_unsure</x:v>
      </x:c>
      <x:c r="G124" s="142" t="str">
        <x:v>Ask only when prior use of relief affects the candidate route.</x:v>
      </x:c>
      <x:c r="H124" s="142" t="str">
        <x:v>Prior relief may limit the route, change the packet, or require review.</x:v>
      </x:c>
      <x:c r="I124" s="142" t="str">
        <x:v>Prior-relief-limited routes</x:v>
      </x:c>
      <x:c r="J124" s="142" t="str">
        <x:v>Exact details, if needed, are collected after account creation in packet completion.</x:v>
      </x:c>
      <x:c r="K124" s="142" t="str">
        <x:v>state_specific_eligibility</x:v>
      </x:c>
      <x:c r="L124" s="142" t="str">
        <x:v>derived_from_state_rule_fields</x:v>
      </x:c>
      <x:c r="M124" s="56" t="str">
        <x:v>https://github.com/Roger-LegalEase/legalease-partner-dashboard-clean/blob/2f0ef0403f16e57544ad0bc86b2d1b1cd08861b3/src/lib/rcap-engine/compiled/profiles/IA-iowa.json</x:v>
      </x:c>
    </x:row>
    <x:row r="125">
      <x:c r="A125" s="55" t="str">
        <x:v>Iowa</x:v>
      </x:c>
      <x:c r="B125" s="142" t="str">
        <x:v>IA</x:v>
      </x:c>
      <x:c r="C125" s="142" t="n">
        <x:v>8</x:v>
      </x:c>
      <x:c r="D125" s="142" t="str">
        <x:v>Timing / completion</x:v>
      </x:c>
      <x:c r="E125" s="142" t="str">
        <x:v>Have you completed everything the court ordered in this case?</x:v>
      </x:c>
      <x:c r="F125" s="142" t="str">
        <x:v>single_choice</x:v>
      </x:c>
      <x:c r="G125" s="142" t="str">
        <x:v>Ask only when a viable route depends on sentence, supervision, program, restitution, or financial completion.</x:v>
      </x:c>
      <x:c r="H125" s="142" t="str">
        <x:v>No → usually not yet or needs more information; Yes → continue; Not sure → defer exact proof.</x:v>
      </x:c>
      <x:c r="I125" s="142" t="str">
        <x:v>Completion-dependent routes</x:v>
      </x:c>
      <x:c r="J125" s="142" t="str">
        <x:v>Exact details, if needed, are collected after account creation in packet completion.</x:v>
      </x:c>
      <x:c r="K125" s="142" t="str">
        <x:v>timing_and_completion</x:v>
      </x:c>
      <x:c r="L125" s="142" t="str">
        <x:v>normalized_free_check</x:v>
      </x:c>
      <x:c r="M125" s="56" t="str">
        <x:v>https://github.com/Roger-LegalEase/legalease-partner-dashboard-clean/blob/2f0ef0403f16e57544ad0bc86b2d1b1cd08861b3/src/lib/rcap-engine/compiled/profiles/IA-iowa.json</x:v>
      </x:c>
    </x:row>
    <x:row r="126">
      <x:c r="A126" s="55" t="str">
        <x:v>Iowa</x:v>
      </x:c>
      <x:c r="B126" s="142" t="str">
        <x:v>IA</x:v>
      </x:c>
      <x:c r="C126" s="142" t="n">
        <x:v>9</x:v>
      </x:c>
      <x:c r="D126" s="142" t="str">
        <x:v>Timing / completion</x:v>
      </x:c>
      <x:c r="E126" s="142" t="str">
        <x:v>About how long ago did this case end or get resolved?</x:v>
      </x:c>
      <x:c r="F126" s="142" t="str">
        <x:v>single_choice</x:v>
      </x:c>
      <x:c r="G126" s="142" t="str">
        <x:v>Ask only when at least one viable route has a waiting period.</x:v>
      </x:c>
      <x:c r="H126" s="142" t="str">
        <x:v>Uses an approximate band for a preliminary result; exact dates are collected later.</x:v>
      </x:c>
      <x:c r="I126" s="142" t="str">
        <x:v>Timing-dependent routes</x:v>
      </x:c>
      <x:c r="J126" s="142" t="str">
        <x:v>Exact details, if needed, are collected after account creation in packet completion.</x:v>
      </x:c>
      <x:c r="K126" s="142" t="str">
        <x:v>timing_and_completion</x:v>
      </x:c>
      <x:c r="L126" s="142" t="str">
        <x:v>normalized_free_check</x:v>
      </x:c>
      <x:c r="M126" s="56" t="str">
        <x:v>https://github.com/Roger-LegalEase/legalease-partner-dashboard-clean/blob/2f0ef0403f16e57544ad0bc86b2d1b1cd08861b3/src/lib/rcap-engine/compiled/profiles/IA-iowa.json</x:v>
      </x:c>
    </x:row>
    <x:row r="127">
      <x:c r="A127" s="55" t="str">
        <x:v>Idaho</x:v>
      </x:c>
      <x:c r="B127" s="142" t="str">
        <x:v>ID</x:v>
      </x:c>
      <x:c r="C127" s="142" t="n">
        <x:v>1</x:v>
      </x:c>
      <x:c r="D127" s="142" t="str">
        <x:v>Scope</x:v>
      </x:c>
      <x:c r="E127" s="142" t="str">
        <x:v>Are you asking about your own record?</x:v>
      </x:c>
      <x:c r="F127" s="142" t="str">
        <x:v>single_choice</x:v>
      </x:c>
      <x:c r="G127" s="142" t="str">
        <x:v>Ask in every free check</x:v>
      </x:c>
      <x:c r="H127" s="142" t="str">
        <x:v>No → stop or redirect; Yes → continue.</x:v>
      </x:c>
      <x:c r="I127" s="142" t="str">
        <x:v>All routes</x:v>
      </x:c>
      <x:c r="J127" s="142" t="str">
        <x:v>Exact details, if needed, are collected after account creation in packet completion.</x:v>
      </x:c>
      <x:c r="K127" s="142" t="str">
        <x:v>scope</x:v>
      </x:c>
      <x:c r="L127" s="142" t="str">
        <x:v>shared_scope_boundary</x:v>
      </x:c>
      <x:c r="M127" s="56" t="str">
        <x:v>https://github.com/Roger-LegalEase/legalease-partner-dashboard-clean/blob/2f0ef0403f16e57544ad0bc86b2d1b1cd08861b3/src/lib/rcap-engine/compiled/profiles/ID-idaho.json</x:v>
      </x:c>
    </x:row>
    <x:row r="128">
      <x:c r="A128" s="55" t="str">
        <x:v>Idaho</x:v>
      </x:c>
      <x:c r="B128" s="142" t="str">
        <x:v>ID</x:v>
      </x:c>
      <x:c r="C128" s="142" t="n">
        <x:v>2</x:v>
      </x:c>
      <x:c r="D128" s="142" t="str">
        <x:v>Scope</x:v>
      </x:c>
      <x:c r="E128" s="142" t="str">
        <x:v>Is this a state or local matter from Idaho, rather than a federal matter?</x:v>
      </x:c>
      <x:c r="F128" s="142" t="str">
        <x:v>single_choice</x:v>
      </x:c>
      <x:c r="G128" s="142" t="str">
        <x:v>Ask in every free check</x:v>
      </x:c>
      <x:c r="H128" s="142" t="str">
        <x:v>Federal or wrong-state matter → outside this state flow; state/local matter → continue.</x:v>
      </x:c>
      <x:c r="I128" s="142" t="str">
        <x:v>All routes</x:v>
      </x:c>
      <x:c r="J128" s="142" t="str">
        <x:v>Exact details, if needed, are collected after account creation in packet completion.</x:v>
      </x:c>
      <x:c r="K128" s="142" t="str">
        <x:v>scope</x:v>
      </x:c>
      <x:c r="L128" s="142" t="str">
        <x:v>shared_scope_boundary</x:v>
      </x:c>
      <x:c r="M128" s="56" t="str">
        <x:v>https://github.com/Roger-LegalEase/legalease-partner-dashboard-clean/blob/2f0ef0403f16e57544ad0bc86b2d1b1cd08861b3/src/lib/rcap-engine/compiled/profiles/ID-idaho.json</x:v>
      </x:c>
    </x:row>
    <x:row r="129">
      <x:c r="A129" s="55" t="str">
        <x:v>Idaho</x:v>
      </x:c>
      <x:c r="B129" s="142" t="str">
        <x:v>ID</x:v>
      </x:c>
      <x:c r="C129" s="142" t="n">
        <x:v>3</x:v>
      </x:c>
      <x:c r="D129" s="142" t="str">
        <x:v>Route identification</x:v>
      </x:c>
      <x:c r="E129" s="142" t="str">
        <x:v>How did the Idaho case or record end?</x:v>
      </x:c>
      <x:c r="F129" s="142" t="str">
        <x:v>single_choice</x:v>
      </x:c>
      <x:c r="G129" s="142" t="str">
        <x:v>Ask after scope, before route-specific questions</x:v>
      </x:c>
      <x:c r="H129" s="142" t="str">
        <x:v>Splits nonconviction, conviction, diversion/deferred, juvenile, automatic, pardon, correction, and other route families.</x:v>
      </x:c>
      <x:c r="I129" s="142" t="str">
        <x:v>All routes</x:v>
      </x:c>
      <x:c r="J129" s="142" t="str">
        <x:v>Exact details, if needed, are collected after account creation in packet completion.</x:v>
      </x:c>
      <x:c r="K129" s="142" t="str">
        <x:v>pathway_routing</x:v>
      </x:c>
      <x:c r="L129" s="142" t="str">
        <x:v>state_case_outcome_rules</x:v>
      </x:c>
      <x:c r="M129" s="56" t="str">
        <x:v>https://github.com/Roger-LegalEase/legalease-partner-dashboard-clean/blob/2f0ef0403f16e57544ad0bc86b2d1b1cd08861b3/src/lib/rcap-engine/compiled/profiles/ID-idaho.json</x:v>
      </x:c>
    </x:row>
    <x:row r="130">
      <x:c r="A130" s="55" t="str">
        <x:v>Idaho</x:v>
      </x:c>
      <x:c r="B130" s="142" t="str">
        <x:v>ID</x:v>
      </x:c>
      <x:c r="C130" s="142" t="n">
        <x:v>4</x:v>
      </x:c>
      <x:c r="D130" s="142" t="str">
        <x:v>Route identification</x:v>
      </x:c>
      <x:c r="E130" s="142" t="str">
        <x:v>What level or type was the charge?</x:v>
      </x:c>
      <x:c r="F130" s="142" t="str">
        <x:v>single_choice</x:v>
      </x:c>
      <x:c r="G130" s="142" t="str">
        <x:v>Ask after scope, before route-specific questions</x:v>
      </x:c>
      <x:c r="H130" s="142" t="str">
        <x:v>Narrows offense-level routes, waiting-period bands, and obvious exclusions.</x:v>
      </x:c>
      <x:c r="I130" s="142" t="str">
        <x:v>All routes</x:v>
      </x:c>
      <x:c r="J130" s="142" t="str">
        <x:v>Exact details, if needed, are collected after account creation in packet completion.</x:v>
      </x:c>
      <x:c r="K130" s="142" t="str">
        <x:v>pathway_routing</x:v>
      </x:c>
      <x:c r="L130" s="142" t="str">
        <x:v>state_pathway_and_exclusion_rules</x:v>
      </x:c>
      <x:c r="M130" s="56" t="str">
        <x:v>https://github.com/Roger-LegalEase/legalease-partner-dashboard-clean/blob/2f0ef0403f16e57544ad0bc86b2d1b1cd08861b3/src/lib/rcap-engine/compiled/profiles/ID-idaho.json</x:v>
      </x:c>
    </x:row>
    <x:row r="131">
      <x:c r="A131" s="55" t="str">
        <x:v>Idaho</x:v>
      </x:c>
      <x:c r="B131" s="142" t="str">
        <x:v>ID</x:v>
      </x:c>
      <x:c r="C131" s="142" t="n">
        <x:v>5</x:v>
      </x:c>
      <x:c r="D131" s="142" t="str">
        <x:v>Route identification</x:v>
      </x:c>
      <x:c r="E131" s="142" t="str">
        <x:v>Do any of these Idaho descriptions sound close to your situation?</x:v>
      </x:c>
      <x:c r="F131" s="142" t="str">
        <x:v>single_choice</x:v>
      </x:c>
      <x:c r="G131" s="142" t="str">
        <x:v>Ask after scope, before route-specific questions</x:v>
      </x:c>
      <x:c r="H131" s="142" t="str">
        <x:v>Lets the participant select a likely remedy or “not sure”; selection prunes unrelated route-specific questions.</x:v>
      </x:c>
      <x:c r="I131" s="142" t="str">
        <x:v>All routes</x:v>
      </x:c>
      <x:c r="J131" s="142" t="str">
        <x:v>Exact details, if needed, are collected after account creation in packet completion.</x:v>
      </x:c>
      <x:c r="K131" s="142" t="str">
        <x:v>pathway_routing</x:v>
      </x:c>
      <x:c r="L131" s="142" t="str">
        <x:v>curated_state_pathway_catalog_from_reference</x:v>
      </x:c>
      <x:c r="M131" s="56" t="str">
        <x:v>https://github.com/Roger-LegalEase/legalease-partner-dashboard-clean/blob/2f0ef0403f16e57544ad0bc86b2d1b1cd08861b3/src/lib/rcap-engine/compiled/profiles/ID-idaho.json</x:v>
      </x:c>
    </x:row>
    <x:row r="132">
      <x:c r="A132" s="55" t="str">
        <x:v>Idaho</x:v>
      </x:c>
      <x:c r="B132" s="142" t="str">
        <x:v>ID</x:v>
      </x:c>
      <x:c r="C132" s="142" t="n">
        <x:v>6</x:v>
      </x:c>
      <x:c r="D132" s="142" t="str">
        <x:v>State-specific eligibility</x:v>
      </x:c>
      <x:c r="E132" s="142" t="str">
        <x:v>Have you previously received record-clearing relief in Idaho or elsewhere?</x:v>
      </x:c>
      <x:c r="F132" s="142" t="str">
        <x:v>yes_no_unsure</x:v>
      </x:c>
      <x:c r="G132" s="142" t="str">
        <x:v>Ask only when prior use of relief affects the candidate route.</x:v>
      </x:c>
      <x:c r="H132" s="142" t="str">
        <x:v>Prior relief may limit the route, change the packet, or require review.</x:v>
      </x:c>
      <x:c r="I132" s="142" t="str">
        <x:v>Prior-relief-limited routes</x:v>
      </x:c>
      <x:c r="J132" s="142" t="str">
        <x:v>Exact details, if needed, are collected after account creation in packet completion.</x:v>
      </x:c>
      <x:c r="K132" s="142" t="str">
        <x:v>state_specific_eligibility</x:v>
      </x:c>
      <x:c r="L132" s="142" t="str">
        <x:v>derived_from_state_rule_fields</x:v>
      </x:c>
      <x:c r="M132" s="56" t="str">
        <x:v>https://github.com/Roger-LegalEase/legalease-partner-dashboard-clean/blob/2f0ef0403f16e57544ad0bc86b2d1b1cd08861b3/src/lib/rcap-engine/compiled/profiles/ID-idaho.json</x:v>
      </x:c>
    </x:row>
    <x:row r="133">
      <x:c r="A133" s="55" t="str">
        <x:v>Idaho</x:v>
      </x:c>
      <x:c r="B133" s="142" t="str">
        <x:v>ID</x:v>
      </x:c>
      <x:c r="C133" s="142" t="n">
        <x:v>7</x:v>
      </x:c>
      <x:c r="D133" s="142" t="str">
        <x:v>Timing / completion</x:v>
      </x:c>
      <x:c r="E133" s="142" t="str">
        <x:v>Have you completed everything the court ordered in this case?</x:v>
      </x:c>
      <x:c r="F133" s="142" t="str">
        <x:v>single_choice</x:v>
      </x:c>
      <x:c r="G133" s="142" t="str">
        <x:v>Ask only when a viable route depends on sentence, supervision, program, restitution, or financial completion.</x:v>
      </x:c>
      <x:c r="H133" s="142" t="str">
        <x:v>No → usually not yet or needs more information; Yes → continue; Not sure → defer exact proof.</x:v>
      </x:c>
      <x:c r="I133" s="142" t="str">
        <x:v>Completion-dependent routes</x:v>
      </x:c>
      <x:c r="J133" s="142" t="str">
        <x:v>Exact details, if needed, are collected after account creation in packet completion.</x:v>
      </x:c>
      <x:c r="K133" s="142" t="str">
        <x:v>timing_and_completion</x:v>
      </x:c>
      <x:c r="L133" s="142" t="str">
        <x:v>normalized_free_check</x:v>
      </x:c>
      <x:c r="M133" s="56" t="str">
        <x:v>https://github.com/Roger-LegalEase/legalease-partner-dashboard-clean/blob/2f0ef0403f16e57544ad0bc86b2d1b1cd08861b3/src/lib/rcap-engine/compiled/profiles/ID-idaho.json</x:v>
      </x:c>
    </x:row>
    <x:row r="134">
      <x:c r="A134" s="55" t="str">
        <x:v>Idaho</x:v>
      </x:c>
      <x:c r="B134" s="142" t="str">
        <x:v>ID</x:v>
      </x:c>
      <x:c r="C134" s="142" t="n">
        <x:v>8</x:v>
      </x:c>
      <x:c r="D134" s="142" t="str">
        <x:v>Timing / completion</x:v>
      </x:c>
      <x:c r="E134" s="142" t="str">
        <x:v>About how long ago did this case end or get resolved?</x:v>
      </x:c>
      <x:c r="F134" s="142" t="str">
        <x:v>single_choice</x:v>
      </x:c>
      <x:c r="G134" s="142" t="str">
        <x:v>Ask only when at least one viable route has a waiting period.</x:v>
      </x:c>
      <x:c r="H134" s="142" t="str">
        <x:v>Uses an approximate band for a preliminary result; exact dates are collected later.</x:v>
      </x:c>
      <x:c r="I134" s="142" t="str">
        <x:v>Timing-dependent routes</x:v>
      </x:c>
      <x:c r="J134" s="142" t="str">
        <x:v>Exact details, if needed, are collected after account creation in packet completion.</x:v>
      </x:c>
      <x:c r="K134" s="142" t="str">
        <x:v>timing_and_completion</x:v>
      </x:c>
      <x:c r="L134" s="142" t="str">
        <x:v>normalized_free_check</x:v>
      </x:c>
      <x:c r="M134" s="56" t="str">
        <x:v>https://github.com/Roger-LegalEase/legalease-partner-dashboard-clean/blob/2f0ef0403f16e57544ad0bc86b2d1b1cd08861b3/src/lib/rcap-engine/compiled/profiles/ID-idaho.json</x:v>
      </x:c>
    </x:row>
    <x:row r="135">
      <x:c r="A135" s="55" t="str">
        <x:v>Illinois</x:v>
      </x:c>
      <x:c r="B135" s="142" t="str">
        <x:v>IL</x:v>
      </x:c>
      <x:c r="C135" s="142" t="n">
        <x:v>1</x:v>
      </x:c>
      <x:c r="D135" s="142" t="str">
        <x:v>Scope</x:v>
      </x:c>
      <x:c r="E135" s="142" t="str">
        <x:v>Are you asking about your own record?</x:v>
      </x:c>
      <x:c r="F135" s="142" t="str">
        <x:v>single_choice</x:v>
      </x:c>
      <x:c r="G135" s="142" t="str">
        <x:v>Ask in every free check</x:v>
      </x:c>
      <x:c r="H135" s="142" t="str">
        <x:v>No → stop or redirect; Yes → continue.</x:v>
      </x:c>
      <x:c r="I135" s="142" t="str">
        <x:v>All routes</x:v>
      </x:c>
      <x:c r="J135" s="142" t="str">
        <x:v>Exact details, if needed, are collected after account creation in packet completion.</x:v>
      </x:c>
      <x:c r="K135" s="142" t="str">
        <x:v>scope</x:v>
      </x:c>
      <x:c r="L135" s="142" t="str">
        <x:v>shared_scope_boundary</x:v>
      </x:c>
      <x:c r="M135" s="56" t="str">
        <x:v>https://github.com/Roger-LegalEase/legalease-partner-dashboard-clean/blob/2f0ef0403f16e57544ad0bc86b2d1b1cd08861b3/src/lib/rcap-engine/compiled/profiles/IL-illinois.json</x:v>
      </x:c>
    </x:row>
    <x:row r="136">
      <x:c r="A136" s="55" t="str">
        <x:v>Illinois</x:v>
      </x:c>
      <x:c r="B136" s="142" t="str">
        <x:v>IL</x:v>
      </x:c>
      <x:c r="C136" s="142" t="n">
        <x:v>2</x:v>
      </x:c>
      <x:c r="D136" s="142" t="str">
        <x:v>Scope</x:v>
      </x:c>
      <x:c r="E136" s="142" t="str">
        <x:v>Is this a state or local matter from Illinois, rather than a federal matter?</x:v>
      </x:c>
      <x:c r="F136" s="142" t="str">
        <x:v>single_choice</x:v>
      </x:c>
      <x:c r="G136" s="142" t="str">
        <x:v>Ask in every free check</x:v>
      </x:c>
      <x:c r="H136" s="142" t="str">
        <x:v>Federal or wrong-state matter → outside this state flow; state/local matter → continue.</x:v>
      </x:c>
      <x:c r="I136" s="142" t="str">
        <x:v>All routes</x:v>
      </x:c>
      <x:c r="J136" s="142" t="str">
        <x:v>Exact details, if needed, are collected after account creation in packet completion.</x:v>
      </x:c>
      <x:c r="K136" s="142" t="str">
        <x:v>scope</x:v>
      </x:c>
      <x:c r="L136" s="142" t="str">
        <x:v>shared_scope_boundary</x:v>
      </x:c>
      <x:c r="M136" s="56" t="str">
        <x:v>https://github.com/Roger-LegalEase/legalease-partner-dashboard-clean/blob/2f0ef0403f16e57544ad0bc86b2d1b1cd08861b3/src/lib/rcap-engine/compiled/profiles/IL-illinois.json</x:v>
      </x:c>
    </x:row>
    <x:row r="137">
      <x:c r="A137" s="55" t="str">
        <x:v>Illinois</x:v>
      </x:c>
      <x:c r="B137" s="142" t="str">
        <x:v>IL</x:v>
      </x:c>
      <x:c r="C137" s="142" t="n">
        <x:v>3</x:v>
      </x:c>
      <x:c r="D137" s="142" t="str">
        <x:v>Route identification</x:v>
      </x:c>
      <x:c r="E137" s="142" t="str">
        <x:v>How did the Illinois case or record end?</x:v>
      </x:c>
      <x:c r="F137" s="142" t="str">
        <x:v>single_choice</x:v>
      </x:c>
      <x:c r="G137" s="142" t="str">
        <x:v>Ask after scope, before route-specific questions</x:v>
      </x:c>
      <x:c r="H137" s="142" t="str">
        <x:v>Splits nonconviction, conviction, diversion/deferred, juvenile, automatic, pardon, correction, and other route families.</x:v>
      </x:c>
      <x:c r="I137" s="142" t="str">
        <x:v>All routes</x:v>
      </x:c>
      <x:c r="J137" s="142" t="str">
        <x:v>Exact details, if needed, are collected after account creation in packet completion.</x:v>
      </x:c>
      <x:c r="K137" s="142" t="str">
        <x:v>pathway_routing</x:v>
      </x:c>
      <x:c r="L137" s="142" t="str">
        <x:v>state_case_outcome_rules</x:v>
      </x:c>
      <x:c r="M137" s="56" t="str">
        <x:v>https://github.com/Roger-LegalEase/legalease-partner-dashboard-clean/blob/2f0ef0403f16e57544ad0bc86b2d1b1cd08861b3/src/lib/rcap-engine/compiled/profiles/IL-illinois.json</x:v>
      </x:c>
    </x:row>
    <x:row r="138">
      <x:c r="A138" s="55" t="str">
        <x:v>Illinois</x:v>
      </x:c>
      <x:c r="B138" s="142" t="str">
        <x:v>IL</x:v>
      </x:c>
      <x:c r="C138" s="142" t="n">
        <x:v>4</x:v>
      </x:c>
      <x:c r="D138" s="142" t="str">
        <x:v>Route identification</x:v>
      </x:c>
      <x:c r="E138" s="142" t="str">
        <x:v>What level or type was the charge?</x:v>
      </x:c>
      <x:c r="F138" s="142" t="str">
        <x:v>single_choice</x:v>
      </x:c>
      <x:c r="G138" s="142" t="str">
        <x:v>Ask after scope, before route-specific questions</x:v>
      </x:c>
      <x:c r="H138" s="142" t="str">
        <x:v>Narrows offense-level routes, waiting-period bands, and obvious exclusions.</x:v>
      </x:c>
      <x:c r="I138" s="142" t="str">
        <x:v>All routes</x:v>
      </x:c>
      <x:c r="J138" s="142" t="str">
        <x:v>Exact details, if needed, are collected after account creation in packet completion.</x:v>
      </x:c>
      <x:c r="K138" s="142" t="str">
        <x:v>pathway_routing</x:v>
      </x:c>
      <x:c r="L138" s="142" t="str">
        <x:v>state_pathway_and_exclusion_rules</x:v>
      </x:c>
      <x:c r="M138" s="56" t="str">
        <x:v>https://github.com/Roger-LegalEase/legalease-partner-dashboard-clean/blob/2f0ef0403f16e57544ad0bc86b2d1b1cd08861b3/src/lib/rcap-engine/compiled/profiles/IL-illinois.json</x:v>
      </x:c>
    </x:row>
    <x:row r="139">
      <x:c r="A139" s="55" t="str">
        <x:v>Illinois</x:v>
      </x:c>
      <x:c r="B139" s="142" t="str">
        <x:v>IL</x:v>
      </x:c>
      <x:c r="C139" s="142" t="n">
        <x:v>5</x:v>
      </x:c>
      <x:c r="D139" s="142" t="str">
        <x:v>Route identification</x:v>
      </x:c>
      <x:c r="E139" s="142" t="str">
        <x:v>Do any of these Illinois descriptions sound close to your situation?</x:v>
      </x:c>
      <x:c r="F139" s="142" t="str">
        <x:v>single_choice</x:v>
      </x:c>
      <x:c r="G139" s="142" t="str">
        <x:v>Ask after scope, before route-specific questions</x:v>
      </x:c>
      <x:c r="H139" s="142" t="str">
        <x:v>Lets the participant select a likely remedy or “not sure”; selection prunes unrelated route-specific questions.</x:v>
      </x:c>
      <x:c r="I139" s="142" t="str">
        <x:v>All routes</x:v>
      </x:c>
      <x:c r="J139" s="142" t="str">
        <x:v>Exact details, if needed, are collected after account creation in packet completion.</x:v>
      </x:c>
      <x:c r="K139" s="142" t="str">
        <x:v>pathway_routing</x:v>
      </x:c>
      <x:c r="L139" s="142" t="str">
        <x:v>curated_state_pathway_catalog_from_reference</x:v>
      </x:c>
      <x:c r="M139" s="56" t="str">
        <x:v>https://github.com/Roger-LegalEase/legalease-partner-dashboard-clean/blob/2f0ef0403f16e57544ad0bc86b2d1b1cd08861b3/src/lib/rcap-engine/compiled/profiles/IL-illinois.json</x:v>
      </x:c>
    </x:row>
    <x:row r="140">
      <x:c r="A140" s="55" t="str">
        <x:v>Illinois</x:v>
      </x:c>
      <x:c r="B140" s="142" t="str">
        <x:v>IL</x:v>
      </x:c>
      <x:c r="C140" s="142" t="n">
        <x:v>6</x:v>
      </x:c>
      <x:c r="D140" s="142" t="str">
        <x:v>Route identification</x:v>
      </x:c>
      <x:c r="E140" s="142" t="str">
        <x:v>How old were you when the offense or case began?</x:v>
      </x:c>
      <x:c r="F140" s="142" t="str">
        <x:v>number_or_range</x:v>
      </x:c>
      <x:c r="G140" s="142" t="str">
        <x:v>Ask only when adult-versus-juvenile or youthful-offender treatment may change the route.</x:v>
      </x:c>
      <x:c r="H140" s="142" t="str">
        <x:v>Routes to juvenile/youthful-offender logic or keeps the adult route.</x:v>
      </x:c>
      <x:c r="I140" s="142" t="str">
        <x:v>Age-sensitive routes</x:v>
      </x:c>
      <x:c r="J140" s="142" t="str">
        <x:v>Exact details, if needed, are collected after account creation in packet completion.</x:v>
      </x:c>
      <x:c r="K140" s="142" t="str">
        <x:v>pathway_routing</x:v>
      </x:c>
      <x:c r="L140" s="142" t="str">
        <x:v>derived_from_state_rule_fields</x:v>
      </x:c>
      <x:c r="M140" s="56" t="str">
        <x:v>https://github.com/Roger-LegalEase/legalease-partner-dashboard-clean/blob/2f0ef0403f16e57544ad0bc86b2d1b1cd08861b3/src/lib/rcap-engine/compiled/profiles/IL-illinois.json</x:v>
      </x:c>
    </x:row>
    <x:row r="141">
      <x:c r="A141" s="55" t="str">
        <x:v>Illinois</x:v>
      </x:c>
      <x:c r="B141" s="142" t="str">
        <x:v>IL</x:v>
      </x:c>
      <x:c r="C141" s="142" t="n">
        <x:v>7</x:v>
      </x:c>
      <x:c r="D141" s="142" t="str">
        <x:v>Special pathway</x:v>
      </x:c>
      <x:c r="E141" s="142" t="str">
        <x:v>Was this offense connected to your status as a human-trafficking or sex-trafficking survivor?</x:v>
      </x:c>
      <x:c r="F141" s="142" t="str">
        <x:v>yes_no_prefer_not_to_say</x:v>
      </x:c>
      <x:c r="G141" s="142" t="str">
        <x:v>Ask only while trafficking-survivor relief remains viable; allow “prefer not to say.”</x:v>
      </x:c>
      <x:c r="H141" s="142" t="str">
        <x:v>May open vacatur/expungement or review treatment.</x:v>
      </x:c>
      <x:c r="I141" s="142" t="str">
        <x:v>Trafficking-survivor routes</x:v>
      </x:c>
      <x:c r="J141" s="142" t="str">
        <x:v>Exact details, if needed, are collected after account creation in packet completion.</x:v>
      </x:c>
      <x:c r="K141" s="142" t="str">
        <x:v>special_pathways</x:v>
      </x:c>
      <x:c r="L141" s="142" t="str">
        <x:v>derived_from_state_rule_fields</x:v>
      </x:c>
      <x:c r="M141" s="56" t="str">
        <x:v>https://github.com/Roger-LegalEase/legalease-partner-dashboard-clean/blob/2f0ef0403f16e57544ad0bc86b2d1b1cd08861b3/src/lib/rcap-engine/compiled/profiles/IL-illinois.json</x:v>
      </x:c>
    </x:row>
    <x:row r="142">
      <x:c r="A142" s="55" t="str">
        <x:v>Illinois</x:v>
      </x:c>
      <x:c r="B142" s="142" t="str">
        <x:v>IL</x:v>
      </x:c>
      <x:c r="C142" s="142" t="n">
        <x:v>8</x:v>
      </x:c>
      <x:c r="D142" s="142" t="str">
        <x:v>Special pathway</x:v>
      </x:c>
      <x:c r="E142" s="142" t="str">
        <x:v>Have you received a pardon, certificate of rehabilitation, or similar executive relief for this conviction?</x:v>
      </x:c>
      <x:c r="F142" s="142" t="str">
        <x:v>yes_no_unsure</x:v>
      </x:c>
      <x:c r="G142" s="142" t="str">
        <x:v>Ask only while a pardon or executive-relief route remains viable.</x:v>
      </x:c>
      <x:c r="H142" s="142" t="str">
        <x:v>Yes may open a pardon-based route; No preserves ordinary routes; Not sure defers proof.</x:v>
      </x:c>
      <x:c r="I142" s="142" t="str">
        <x:v>Pardon / executive-relief routes</x:v>
      </x:c>
      <x:c r="J142" s="142" t="str">
        <x:v>Exact details, if needed, are collected after account creation in packet completion.</x:v>
      </x:c>
      <x:c r="K142" s="142" t="str">
        <x:v>special_pathways</x:v>
      </x:c>
      <x:c r="L142" s="142" t="str">
        <x:v>derived_from_state_rule_fields</x:v>
      </x:c>
      <x:c r="M142" s="56" t="str">
        <x:v>https://github.com/Roger-LegalEase/legalease-partner-dashboard-clean/blob/2f0ef0403f16e57544ad0bc86b2d1b1cd08861b3/src/lib/rcap-engine/compiled/profiles/IL-illinois.json</x:v>
      </x:c>
    </x:row>
    <x:row r="143">
      <x:c r="A143" s="55" t="str">
        <x:v>Illinois</x:v>
      </x:c>
      <x:c r="B143" s="142" t="str">
        <x:v>IL</x:v>
      </x:c>
      <x:c r="C143" s="142" t="n">
        <x:v>9</x:v>
      </x:c>
      <x:c r="D143" s="142" t="str">
        <x:v>Timing / completion</x:v>
      </x:c>
      <x:c r="E143" s="142" t="str">
        <x:v>Have you completed everything the court ordered in this case?</x:v>
      </x:c>
      <x:c r="F143" s="142" t="str">
        <x:v>single_choice</x:v>
      </x:c>
      <x:c r="G143" s="142" t="str">
        <x:v>Ask only when a viable route depends on sentence, supervision, program, restitution, or financial completion.</x:v>
      </x:c>
      <x:c r="H143" s="142" t="str">
        <x:v>No → usually not yet or needs more information; Yes → continue; Not sure → defer exact proof.</x:v>
      </x:c>
      <x:c r="I143" s="142" t="str">
        <x:v>Completion-dependent routes</x:v>
      </x:c>
      <x:c r="J143" s="142" t="str">
        <x:v>Exact details, if needed, are collected after account creation in packet completion.</x:v>
      </x:c>
      <x:c r="K143" s="142" t="str">
        <x:v>timing_and_completion</x:v>
      </x:c>
      <x:c r="L143" s="142" t="str">
        <x:v>normalized_free_check</x:v>
      </x:c>
      <x:c r="M143" s="56" t="str">
        <x:v>https://github.com/Roger-LegalEase/legalease-partner-dashboard-clean/blob/2f0ef0403f16e57544ad0bc86b2d1b1cd08861b3/src/lib/rcap-engine/compiled/profiles/IL-illinois.json</x:v>
      </x:c>
    </x:row>
    <x:row r="144">
      <x:c r="A144" s="55" t="str">
        <x:v>Illinois</x:v>
      </x:c>
      <x:c r="B144" s="142" t="str">
        <x:v>IL</x:v>
      </x:c>
      <x:c r="C144" s="142" t="n">
        <x:v>10</x:v>
      </x:c>
      <x:c r="D144" s="142" t="str">
        <x:v>Timing / completion</x:v>
      </x:c>
      <x:c r="E144" s="142" t="str">
        <x:v>About how long ago did this case end or get resolved?</x:v>
      </x:c>
      <x:c r="F144" s="142" t="str">
        <x:v>single_choice</x:v>
      </x:c>
      <x:c r="G144" s="142" t="str">
        <x:v>Ask only when at least one viable route has a waiting period.</x:v>
      </x:c>
      <x:c r="H144" s="142" t="str">
        <x:v>Uses an approximate band for a preliminary result; exact dates are collected later.</x:v>
      </x:c>
      <x:c r="I144" s="142" t="str">
        <x:v>Timing-dependent routes</x:v>
      </x:c>
      <x:c r="J144" s="142" t="str">
        <x:v>Exact details, if needed, are collected after account creation in packet completion.</x:v>
      </x:c>
      <x:c r="K144" s="142" t="str">
        <x:v>timing_and_completion</x:v>
      </x:c>
      <x:c r="L144" s="142" t="str">
        <x:v>normalized_free_check</x:v>
      </x:c>
      <x:c r="M144" s="56" t="str">
        <x:v>https://github.com/Roger-LegalEase/legalease-partner-dashboard-clean/blob/2f0ef0403f16e57544ad0bc86b2d1b1cd08861b3/src/lib/rcap-engine/compiled/profiles/IL-illinois.json</x:v>
      </x:c>
    </x:row>
    <x:row r="145">
      <x:c r="A145" s="55" t="str">
        <x:v>Illinois</x:v>
      </x:c>
      <x:c r="B145" s="142" t="str">
        <x:v>IL</x:v>
      </x:c>
      <x:c r="C145" s="142" t="n">
        <x:v>11</x:v>
      </x:c>
      <x:c r="D145" s="142" t="str">
        <x:v>Exclusions / review</x:v>
      </x:c>
      <x:c r="E145" s="142" t="str">
        <x:v>Does the record involve any Illinois category that the source identifies as excluded or review-required?</x:v>
      </x:c>
      <x:c r="F145" s="142" t="str">
        <x:v>multi_select</x:v>
      </x:c>
      <x:c r="G145" s="142" t="str">
        <x:v>Ask after the route is narrowed; show only categories relevant to the remaining route.</x:v>
      </x:c>
      <x:c r="H145" s="142" t="str">
        <x:v>Matching category → hard stop or review; none → continue.</x:v>
      </x:c>
      <x:c r="I145" s="142" t="str">
        <x:v>Route-specific exclusions</x:v>
      </x:c>
      <x:c r="J145" s="142" t="str">
        <x:v>Exact details, if needed, are collected after account creation in packet completion.</x:v>
      </x:c>
      <x:c r="K145" s="142" t="str">
        <x:v>exclusion_screen</x:v>
      </x:c>
      <x:c r="L145" s="142" t="str">
        <x:v>state_exclusion_section</x:v>
      </x:c>
      <x:c r="M145" s="56" t="str">
        <x:v>https://github.com/Roger-LegalEase/legalease-partner-dashboard-clean/blob/2f0ef0403f16e57544ad0bc86b2d1b1cd08861b3/src/lib/rcap-engine/compiled/profiles/IL-illinois.json</x:v>
      </x:c>
    </x:row>
    <x:row r="146">
      <x:c r="A146" s="55" t="str">
        <x:v>Indiana</x:v>
      </x:c>
      <x:c r="B146" s="142" t="str">
        <x:v>IN</x:v>
      </x:c>
      <x:c r="C146" s="142" t="n">
        <x:v>1</x:v>
      </x:c>
      <x:c r="D146" s="142" t="str">
        <x:v>Scope</x:v>
      </x:c>
      <x:c r="E146" s="142" t="str">
        <x:v>Are you asking about your own record?</x:v>
      </x:c>
      <x:c r="F146" s="142" t="str">
        <x:v>single_choice</x:v>
      </x:c>
      <x:c r="G146" s="142" t="str">
        <x:v>Ask in every free check</x:v>
      </x:c>
      <x:c r="H146" s="142" t="str">
        <x:v>No → stop or redirect; Yes → continue.</x:v>
      </x:c>
      <x:c r="I146" s="142" t="str">
        <x:v>All routes</x:v>
      </x:c>
      <x:c r="J146" s="142" t="str">
        <x:v>Exact details, if needed, are collected after account creation in packet completion.</x:v>
      </x:c>
      <x:c r="K146" s="142" t="str">
        <x:v>scope</x:v>
      </x:c>
      <x:c r="L146" s="142" t="str">
        <x:v>shared_scope_boundary</x:v>
      </x:c>
      <x:c r="M146" s="56" t="str">
        <x:v>https://github.com/Roger-LegalEase/legalease-partner-dashboard-clean/blob/2f0ef0403f16e57544ad0bc86b2d1b1cd08861b3/src/lib/rcap-engine/compiled/profiles/IN-indiana.json</x:v>
      </x:c>
    </x:row>
    <x:row r="147">
      <x:c r="A147" s="55" t="str">
        <x:v>Indiana</x:v>
      </x:c>
      <x:c r="B147" s="142" t="str">
        <x:v>IN</x:v>
      </x:c>
      <x:c r="C147" s="142" t="n">
        <x:v>2</x:v>
      </x:c>
      <x:c r="D147" s="142" t="str">
        <x:v>Scope</x:v>
      </x:c>
      <x:c r="E147" s="142" t="str">
        <x:v>Is this a state or local matter from Indiana, rather than a federal matter?</x:v>
      </x:c>
      <x:c r="F147" s="142" t="str">
        <x:v>single_choice</x:v>
      </x:c>
      <x:c r="G147" s="142" t="str">
        <x:v>Ask in every free check</x:v>
      </x:c>
      <x:c r="H147" s="142" t="str">
        <x:v>Federal or wrong-state matter → outside this state flow; state/local matter → continue.</x:v>
      </x:c>
      <x:c r="I147" s="142" t="str">
        <x:v>All routes</x:v>
      </x:c>
      <x:c r="J147" s="142" t="str">
        <x:v>Exact details, if needed, are collected after account creation in packet completion.</x:v>
      </x:c>
      <x:c r="K147" s="142" t="str">
        <x:v>scope</x:v>
      </x:c>
      <x:c r="L147" s="142" t="str">
        <x:v>shared_scope_boundary</x:v>
      </x:c>
      <x:c r="M147" s="56" t="str">
        <x:v>https://github.com/Roger-LegalEase/legalease-partner-dashboard-clean/blob/2f0ef0403f16e57544ad0bc86b2d1b1cd08861b3/src/lib/rcap-engine/compiled/profiles/IN-indiana.json</x:v>
      </x:c>
    </x:row>
    <x:row r="148">
      <x:c r="A148" s="55" t="str">
        <x:v>Indiana</x:v>
      </x:c>
      <x:c r="B148" s="142" t="str">
        <x:v>IN</x:v>
      </x:c>
      <x:c r="C148" s="142" t="n">
        <x:v>3</x:v>
      </x:c>
      <x:c r="D148" s="142" t="str">
        <x:v>Route identification</x:v>
      </x:c>
      <x:c r="E148" s="142" t="str">
        <x:v>How did the Indiana case or record end?</x:v>
      </x:c>
      <x:c r="F148" s="142" t="str">
        <x:v>single_choice</x:v>
      </x:c>
      <x:c r="G148" s="142" t="str">
        <x:v>Ask after scope, before route-specific questions</x:v>
      </x:c>
      <x:c r="H148" s="142" t="str">
        <x:v>Splits nonconviction, conviction, diversion/deferred, juvenile, automatic, pardon, correction, and other route families.</x:v>
      </x:c>
      <x:c r="I148" s="142" t="str">
        <x:v>All routes</x:v>
      </x:c>
      <x:c r="J148" s="142" t="str">
        <x:v>Exact details, if needed, are collected after account creation in packet completion.</x:v>
      </x:c>
      <x:c r="K148" s="142" t="str">
        <x:v>pathway_routing</x:v>
      </x:c>
      <x:c r="L148" s="142" t="str">
        <x:v>state_case_outcome_rules</x:v>
      </x:c>
      <x:c r="M148" s="56" t="str">
        <x:v>https://github.com/Roger-LegalEase/legalease-partner-dashboard-clean/blob/2f0ef0403f16e57544ad0bc86b2d1b1cd08861b3/src/lib/rcap-engine/compiled/profiles/IN-indiana.json</x:v>
      </x:c>
    </x:row>
    <x:row r="149">
      <x:c r="A149" s="55" t="str">
        <x:v>Indiana</x:v>
      </x:c>
      <x:c r="B149" s="142" t="str">
        <x:v>IN</x:v>
      </x:c>
      <x:c r="C149" s="142" t="n">
        <x:v>4</x:v>
      </x:c>
      <x:c r="D149" s="142" t="str">
        <x:v>Route identification</x:v>
      </x:c>
      <x:c r="E149" s="142" t="str">
        <x:v>Do any of these Indiana descriptions sound close to your situation?</x:v>
      </x:c>
      <x:c r="F149" s="142" t="str">
        <x:v>single_choice</x:v>
      </x:c>
      <x:c r="G149" s="142" t="str">
        <x:v>Ask after scope, before route-specific questions</x:v>
      </x:c>
      <x:c r="H149" s="142" t="str">
        <x:v>Lets the participant select a likely remedy or “not sure”; selection prunes unrelated route-specific questions.</x:v>
      </x:c>
      <x:c r="I149" s="142" t="str">
        <x:v>All routes</x:v>
      </x:c>
      <x:c r="J149" s="142" t="str">
        <x:v>Exact details, if needed, are collected after account creation in packet completion.</x:v>
      </x:c>
      <x:c r="K149" s="142" t="str">
        <x:v>pathway_routing</x:v>
      </x:c>
      <x:c r="L149" s="142" t="str">
        <x:v>curated_state_pathway_catalog_from_reference</x:v>
      </x:c>
      <x:c r="M149" s="56" t="str">
        <x:v>https://github.com/Roger-LegalEase/legalease-partner-dashboard-clean/blob/2f0ef0403f16e57544ad0bc86b2d1b1cd08861b3/src/lib/rcap-engine/compiled/profiles/IN-indiana.json</x:v>
      </x:c>
    </x:row>
    <x:row r="150">
      <x:c r="A150" s="55" t="str">
        <x:v>Indiana</x:v>
      </x:c>
      <x:c r="B150" s="142" t="str">
        <x:v>IN</x:v>
      </x:c>
      <x:c r="C150" s="142" t="n">
        <x:v>5</x:v>
      </x:c>
      <x:c r="D150" s="142" t="str">
        <x:v>Route identification</x:v>
      </x:c>
      <x:c r="E150" s="142" t="str">
        <x:v>How old were you when the offense or case began?</x:v>
      </x:c>
      <x:c r="F150" s="142" t="str">
        <x:v>number_or_range</x:v>
      </x:c>
      <x:c r="G150" s="142" t="str">
        <x:v>Ask only when adult-versus-juvenile or youthful-offender treatment may change the route.</x:v>
      </x:c>
      <x:c r="H150" s="142" t="str">
        <x:v>Routes to juvenile/youthful-offender logic or keeps the adult route.</x:v>
      </x:c>
      <x:c r="I150" s="142" t="str">
        <x:v>Age-sensitive routes</x:v>
      </x:c>
      <x:c r="J150" s="142" t="str">
        <x:v>Exact details, if needed, are collected after account creation in packet completion.</x:v>
      </x:c>
      <x:c r="K150" s="142" t="str">
        <x:v>pathway_routing</x:v>
      </x:c>
      <x:c r="L150" s="142" t="str">
        <x:v>derived_from_state_rule_fields</x:v>
      </x:c>
      <x:c r="M150" s="56" t="str">
        <x:v>https://github.com/Roger-LegalEase/legalease-partner-dashboard-clean/blob/2f0ef0403f16e57544ad0bc86b2d1b1cd08861b3/src/lib/rcap-engine/compiled/profiles/IN-indiana.json</x:v>
      </x:c>
    </x:row>
    <x:row r="151">
      <x:c r="A151" s="55" t="str">
        <x:v>Indiana</x:v>
      </x:c>
      <x:c r="B151" s="142" t="str">
        <x:v>IN</x:v>
      </x:c>
      <x:c r="C151" s="142" t="n">
        <x:v>6</x:v>
      </x:c>
      <x:c r="D151" s="142" t="str">
        <x:v>Timing / completion</x:v>
      </x:c>
      <x:c r="E151" s="142" t="str">
        <x:v>Do you currently have any pending criminal charge, open case, probation, parole, or other supervision?</x:v>
      </x:c>
      <x:c r="F151" s="142" t="str">
        <x:v>yes_no_unsure</x:v>
      </x:c>
      <x:c r="G151" s="142" t="str">
        <x:v>Ask only when pending cases or active supervision can block the candidate route.</x:v>
      </x:c>
      <x:c r="H151" s="142" t="str">
        <x:v>Pending/open matter may produce not-yet, review, or a different route.</x:v>
      </x:c>
      <x:c r="I151" s="142" t="str">
        <x:v>Pending-case-sensitive routes</x:v>
      </x:c>
      <x:c r="J151" s="142" t="str">
        <x:v>Exact details, if needed, are collected after account creation in packet completion.</x:v>
      </x:c>
      <x:c r="K151" s="142" t="str">
        <x:v>timing_and_completion</x:v>
      </x:c>
      <x:c r="L151" s="142" t="str">
        <x:v>derived_from_state_rule_fields</x:v>
      </x:c>
      <x:c r="M151" s="56" t="str">
        <x:v>https://github.com/Roger-LegalEase/legalease-partner-dashboard-clean/blob/2f0ef0403f16e57544ad0bc86b2d1b1cd08861b3/src/lib/rcap-engine/compiled/profiles/IN-indiana.json</x:v>
      </x:c>
    </x:row>
    <x:row r="152">
      <x:c r="A152" s="55" t="str">
        <x:v>Indiana</x:v>
      </x:c>
      <x:c r="B152" s="142" t="str">
        <x:v>IN</x:v>
      </x:c>
      <x:c r="C152" s="142" t="n">
        <x:v>7</x:v>
      </x:c>
      <x:c r="D152" s="142" t="str">
        <x:v>Timing / completion</x:v>
      </x:c>
      <x:c r="E152" s="142" t="str">
        <x:v>Have you completed everything the court ordered in this case?</x:v>
      </x:c>
      <x:c r="F152" s="142" t="str">
        <x:v>single_choice</x:v>
      </x:c>
      <x:c r="G152" s="142" t="str">
        <x:v>Ask only when a viable route depends on sentence, supervision, program, restitution, or financial completion.</x:v>
      </x:c>
      <x:c r="H152" s="142" t="str">
        <x:v>No → usually not yet or needs more information; Yes → continue; Not sure → defer exact proof.</x:v>
      </x:c>
      <x:c r="I152" s="142" t="str">
        <x:v>Completion-dependent routes</x:v>
      </x:c>
      <x:c r="J152" s="142" t="str">
        <x:v>Exact details, if needed, are collected after account creation in packet completion.</x:v>
      </x:c>
      <x:c r="K152" s="142" t="str">
        <x:v>timing_and_completion</x:v>
      </x:c>
      <x:c r="L152" s="142" t="str">
        <x:v>normalized_free_check</x:v>
      </x:c>
      <x:c r="M152" s="56" t="str">
        <x:v>https://github.com/Roger-LegalEase/legalease-partner-dashboard-clean/blob/2f0ef0403f16e57544ad0bc86b2d1b1cd08861b3/src/lib/rcap-engine/compiled/profiles/IN-indiana.json</x:v>
      </x:c>
    </x:row>
    <x:row r="153">
      <x:c r="A153" s="55" t="str">
        <x:v>Indiana</x:v>
      </x:c>
      <x:c r="B153" s="142" t="str">
        <x:v>IN</x:v>
      </x:c>
      <x:c r="C153" s="142" t="n">
        <x:v>8</x:v>
      </x:c>
      <x:c r="D153" s="142" t="str">
        <x:v>Timing / completion</x:v>
      </x:c>
      <x:c r="E153" s="142" t="str">
        <x:v>About how long ago did this case end or get resolved?</x:v>
      </x:c>
      <x:c r="F153" s="142" t="str">
        <x:v>single_choice</x:v>
      </x:c>
      <x:c r="G153" s="142" t="str">
        <x:v>Ask only when at least one viable route has a waiting period.</x:v>
      </x:c>
      <x:c r="H153" s="142" t="str">
        <x:v>Uses an approximate band for a preliminary result; exact dates are collected later.</x:v>
      </x:c>
      <x:c r="I153" s="142" t="str">
        <x:v>Timing-dependent routes</x:v>
      </x:c>
      <x:c r="J153" s="142" t="str">
        <x:v>Exact details, if needed, are collected after account creation in packet completion.</x:v>
      </x:c>
      <x:c r="K153" s="142" t="str">
        <x:v>timing_and_completion</x:v>
      </x:c>
      <x:c r="L153" s="142" t="str">
        <x:v>normalized_free_check</x:v>
      </x:c>
      <x:c r="M153" s="56" t="str">
        <x:v>https://github.com/Roger-LegalEase/legalease-partner-dashboard-clean/blob/2f0ef0403f16e57544ad0bc86b2d1b1cd08861b3/src/lib/rcap-engine/compiled/profiles/IN-indiana.json</x:v>
      </x:c>
    </x:row>
    <x:row r="154">
      <x:c r="A154" s="55" t="str">
        <x:v>Kansas</x:v>
      </x:c>
      <x:c r="B154" s="142" t="str">
        <x:v>KS</x:v>
      </x:c>
      <x:c r="C154" s="142" t="n">
        <x:v>1</x:v>
      </x:c>
      <x:c r="D154" s="142" t="str">
        <x:v>Scope</x:v>
      </x:c>
      <x:c r="E154" s="142" t="str">
        <x:v>Are you asking about your own record?</x:v>
      </x:c>
      <x:c r="F154" s="142" t="str">
        <x:v>single_choice</x:v>
      </x:c>
      <x:c r="G154" s="142" t="str">
        <x:v>Ask in every free check</x:v>
      </x:c>
      <x:c r="H154" s="142" t="str">
        <x:v>No → stop or redirect; Yes → continue.</x:v>
      </x:c>
      <x:c r="I154" s="142" t="str">
        <x:v>All routes</x:v>
      </x:c>
      <x:c r="J154" s="142" t="str">
        <x:v>Exact details, if needed, are collected after account creation in packet completion.</x:v>
      </x:c>
      <x:c r="K154" s="142" t="str">
        <x:v>scope</x:v>
      </x:c>
      <x:c r="L154" s="142" t="str">
        <x:v>shared_scope_boundary</x:v>
      </x:c>
      <x:c r="M154" s="56" t="str">
        <x:v>https://github.com/Roger-LegalEase/legalease-partner-dashboard-clean/blob/2f0ef0403f16e57544ad0bc86b2d1b1cd08861b3/src/lib/rcap-engine/compiled/profiles/KS-kansas.json</x:v>
      </x:c>
    </x:row>
    <x:row r="155">
      <x:c r="A155" s="55" t="str">
        <x:v>Kansas</x:v>
      </x:c>
      <x:c r="B155" s="142" t="str">
        <x:v>KS</x:v>
      </x:c>
      <x:c r="C155" s="142" t="n">
        <x:v>2</x:v>
      </x:c>
      <x:c r="D155" s="142" t="str">
        <x:v>Scope</x:v>
      </x:c>
      <x:c r="E155" s="142" t="str">
        <x:v>Is this a state or local matter from Kansas, rather than a federal matter?</x:v>
      </x:c>
      <x:c r="F155" s="142" t="str">
        <x:v>single_choice</x:v>
      </x:c>
      <x:c r="G155" s="142" t="str">
        <x:v>Ask in every free check</x:v>
      </x:c>
      <x:c r="H155" s="142" t="str">
        <x:v>Federal or wrong-state matter → outside this state flow; state/local matter → continue.</x:v>
      </x:c>
      <x:c r="I155" s="142" t="str">
        <x:v>All routes</x:v>
      </x:c>
      <x:c r="J155" s="142" t="str">
        <x:v>Exact details, if needed, are collected after account creation in packet completion.</x:v>
      </x:c>
      <x:c r="K155" s="142" t="str">
        <x:v>scope</x:v>
      </x:c>
      <x:c r="L155" s="142" t="str">
        <x:v>shared_scope_boundary</x:v>
      </x:c>
      <x:c r="M155" s="56" t="str">
        <x:v>https://github.com/Roger-LegalEase/legalease-partner-dashboard-clean/blob/2f0ef0403f16e57544ad0bc86b2d1b1cd08861b3/src/lib/rcap-engine/compiled/profiles/KS-kansas.json</x:v>
      </x:c>
    </x:row>
    <x:row r="156">
      <x:c r="A156" s="55" t="str">
        <x:v>Kansas</x:v>
      </x:c>
      <x:c r="B156" s="142" t="str">
        <x:v>KS</x:v>
      </x:c>
      <x:c r="C156" s="142" t="n">
        <x:v>3</x:v>
      </x:c>
      <x:c r="D156" s="142" t="str">
        <x:v>Route identification</x:v>
      </x:c>
      <x:c r="E156" s="142" t="str">
        <x:v>How did the Kansas case or record end?</x:v>
      </x:c>
      <x:c r="F156" s="142" t="str">
        <x:v>single_choice</x:v>
      </x:c>
      <x:c r="G156" s="142" t="str">
        <x:v>Ask after scope, before route-specific questions</x:v>
      </x:c>
      <x:c r="H156" s="142" t="str">
        <x:v>Splits nonconviction, conviction, diversion/deferred, juvenile, automatic, pardon, correction, and other route families.</x:v>
      </x:c>
      <x:c r="I156" s="142" t="str">
        <x:v>All routes</x:v>
      </x:c>
      <x:c r="J156" s="142" t="str">
        <x:v>Exact details, if needed, are collected after account creation in packet completion.</x:v>
      </x:c>
      <x:c r="K156" s="142" t="str">
        <x:v>pathway_routing</x:v>
      </x:c>
      <x:c r="L156" s="142" t="str">
        <x:v>state_case_outcome_rules</x:v>
      </x:c>
      <x:c r="M156" s="56" t="str">
        <x:v>https://github.com/Roger-LegalEase/legalease-partner-dashboard-clean/blob/2f0ef0403f16e57544ad0bc86b2d1b1cd08861b3/src/lib/rcap-engine/compiled/profiles/KS-kansas.json</x:v>
      </x:c>
    </x:row>
    <x:row r="157">
      <x:c r="A157" s="55" t="str">
        <x:v>Kansas</x:v>
      </x:c>
      <x:c r="B157" s="142" t="str">
        <x:v>KS</x:v>
      </x:c>
      <x:c r="C157" s="142" t="n">
        <x:v>4</x:v>
      </x:c>
      <x:c r="D157" s="142" t="str">
        <x:v>Route identification</x:v>
      </x:c>
      <x:c r="E157" s="142" t="str">
        <x:v>What level or type was the charge?</x:v>
      </x:c>
      <x:c r="F157" s="142" t="str">
        <x:v>single_choice</x:v>
      </x:c>
      <x:c r="G157" s="142" t="str">
        <x:v>Ask after scope, before route-specific questions</x:v>
      </x:c>
      <x:c r="H157" s="142" t="str">
        <x:v>Narrows offense-level routes, waiting-period bands, and obvious exclusions.</x:v>
      </x:c>
      <x:c r="I157" s="142" t="str">
        <x:v>All routes</x:v>
      </x:c>
      <x:c r="J157" s="142" t="str">
        <x:v>Exact details, if needed, are collected after account creation in packet completion.</x:v>
      </x:c>
      <x:c r="K157" s="142" t="str">
        <x:v>pathway_routing</x:v>
      </x:c>
      <x:c r="L157" s="142" t="str">
        <x:v>state_pathway_and_exclusion_rules</x:v>
      </x:c>
      <x:c r="M157" s="56" t="str">
        <x:v>https://github.com/Roger-LegalEase/legalease-partner-dashboard-clean/blob/2f0ef0403f16e57544ad0bc86b2d1b1cd08861b3/src/lib/rcap-engine/compiled/profiles/KS-kansas.json</x:v>
      </x:c>
    </x:row>
    <x:row r="158">
      <x:c r="A158" s="55" t="str">
        <x:v>Kansas</x:v>
      </x:c>
      <x:c r="B158" s="142" t="str">
        <x:v>KS</x:v>
      </x:c>
      <x:c r="C158" s="142" t="n">
        <x:v>5</x:v>
      </x:c>
      <x:c r="D158" s="142" t="str">
        <x:v>Route identification</x:v>
      </x:c>
      <x:c r="E158" s="142" t="str">
        <x:v>Do any of these Kansas descriptions sound close to your situation?</x:v>
      </x:c>
      <x:c r="F158" s="142" t="str">
        <x:v>single_choice</x:v>
      </x:c>
      <x:c r="G158" s="142" t="str">
        <x:v>Ask after scope, before route-specific questions</x:v>
      </x:c>
      <x:c r="H158" s="142" t="str">
        <x:v>Lets the participant select a likely remedy or “not sure”; selection prunes unrelated route-specific questions.</x:v>
      </x:c>
      <x:c r="I158" s="142" t="str">
        <x:v>All routes</x:v>
      </x:c>
      <x:c r="J158" s="142" t="str">
        <x:v>Exact details, if needed, are collected after account creation in packet completion.</x:v>
      </x:c>
      <x:c r="K158" s="142" t="str">
        <x:v>pathway_routing</x:v>
      </x:c>
      <x:c r="L158" s="142" t="str">
        <x:v>curated_state_pathway_catalog_from_reference</x:v>
      </x:c>
      <x:c r="M158" s="56" t="str">
        <x:v>https://github.com/Roger-LegalEase/legalease-partner-dashboard-clean/blob/2f0ef0403f16e57544ad0bc86b2d1b1cd08861b3/src/lib/rcap-engine/compiled/profiles/KS-kansas.json</x:v>
      </x:c>
    </x:row>
    <x:row r="159">
      <x:c r="A159" s="55" t="str">
        <x:v>Kansas</x:v>
      </x:c>
      <x:c r="B159" s="142" t="str">
        <x:v>KS</x:v>
      </x:c>
      <x:c r="C159" s="142" t="n">
        <x:v>6</x:v>
      </x:c>
      <x:c r="D159" s="142" t="str">
        <x:v>Timing / completion</x:v>
      </x:c>
      <x:c r="E159" s="142" t="str">
        <x:v>Have you completed everything the court ordered in this case?</x:v>
      </x:c>
      <x:c r="F159" s="142" t="str">
        <x:v>single_choice</x:v>
      </x:c>
      <x:c r="G159" s="142" t="str">
        <x:v>Ask only when a viable route depends on sentence, supervision, program, restitution, or financial completion.</x:v>
      </x:c>
      <x:c r="H159" s="142" t="str">
        <x:v>No → usually not yet or needs more information; Yes → continue; Not sure → defer exact proof.</x:v>
      </x:c>
      <x:c r="I159" s="142" t="str">
        <x:v>Completion-dependent routes</x:v>
      </x:c>
      <x:c r="J159" s="142" t="str">
        <x:v>Exact details, if needed, are collected after account creation in packet completion.</x:v>
      </x:c>
      <x:c r="K159" s="142" t="str">
        <x:v>timing_and_completion</x:v>
      </x:c>
      <x:c r="L159" s="142" t="str">
        <x:v>normalized_free_check</x:v>
      </x:c>
      <x:c r="M159" s="56" t="str">
        <x:v>https://github.com/Roger-LegalEase/legalease-partner-dashboard-clean/blob/2f0ef0403f16e57544ad0bc86b2d1b1cd08861b3/src/lib/rcap-engine/compiled/profiles/KS-kansas.json</x:v>
      </x:c>
    </x:row>
    <x:row r="160">
      <x:c r="A160" s="55" t="str">
        <x:v>Kansas</x:v>
      </x:c>
      <x:c r="B160" s="142" t="str">
        <x:v>KS</x:v>
      </x:c>
      <x:c r="C160" s="142" t="n">
        <x:v>7</x:v>
      </x:c>
      <x:c r="D160" s="142" t="str">
        <x:v>Timing / completion</x:v>
      </x:c>
      <x:c r="E160" s="142" t="str">
        <x:v>About how long ago did this case end or get resolved?</x:v>
      </x:c>
      <x:c r="F160" s="142" t="str">
        <x:v>single_choice</x:v>
      </x:c>
      <x:c r="G160" s="142" t="str">
        <x:v>Ask only when at least one viable route has a waiting period.</x:v>
      </x:c>
      <x:c r="H160" s="142" t="str">
        <x:v>Uses an approximate band for a preliminary result; exact dates are collected later.</x:v>
      </x:c>
      <x:c r="I160" s="142" t="str">
        <x:v>Timing-dependent routes</x:v>
      </x:c>
      <x:c r="J160" s="142" t="str">
        <x:v>Exact details, if needed, are collected after account creation in packet completion.</x:v>
      </x:c>
      <x:c r="K160" s="142" t="str">
        <x:v>timing_and_completion</x:v>
      </x:c>
      <x:c r="L160" s="142" t="str">
        <x:v>normalized_free_check</x:v>
      </x:c>
      <x:c r="M160" s="56" t="str">
        <x:v>https://github.com/Roger-LegalEase/legalease-partner-dashboard-clean/blob/2f0ef0403f16e57544ad0bc86b2d1b1cd08861b3/src/lib/rcap-engine/compiled/profiles/KS-kansas.json</x:v>
      </x:c>
    </x:row>
    <x:row r="161">
      <x:c r="A161" s="55" t="str">
        <x:v>Kentucky</x:v>
      </x:c>
      <x:c r="B161" s="142" t="str">
        <x:v>KY</x:v>
      </x:c>
      <x:c r="C161" s="142" t="n">
        <x:v>1</x:v>
      </x:c>
      <x:c r="D161" s="142" t="str">
        <x:v>Scope</x:v>
      </x:c>
      <x:c r="E161" s="142" t="str">
        <x:v>Are you asking about your own record?</x:v>
      </x:c>
      <x:c r="F161" s="142" t="str">
        <x:v>single_choice</x:v>
      </x:c>
      <x:c r="G161" s="142" t="str">
        <x:v>Ask in every free check</x:v>
      </x:c>
      <x:c r="H161" s="142" t="str">
        <x:v>No → stop or redirect; Yes → continue.</x:v>
      </x:c>
      <x:c r="I161" s="142" t="str">
        <x:v>All routes</x:v>
      </x:c>
      <x:c r="J161" s="142" t="str">
        <x:v>Exact details, if needed, are collected after account creation in packet completion.</x:v>
      </x:c>
      <x:c r="K161" s="142" t="str">
        <x:v>scope</x:v>
      </x:c>
      <x:c r="L161" s="142" t="str">
        <x:v>shared_scope_boundary</x:v>
      </x:c>
      <x:c r="M161" s="56" t="str">
        <x:v>https://github.com/Roger-LegalEase/legalease-partner-dashboard-clean/blob/2f0ef0403f16e57544ad0bc86b2d1b1cd08861b3/src/lib/rcap-engine/compiled/profiles/KY-kentucky.json</x:v>
      </x:c>
    </x:row>
    <x:row r="162">
      <x:c r="A162" s="55" t="str">
        <x:v>Kentucky</x:v>
      </x:c>
      <x:c r="B162" s="142" t="str">
        <x:v>KY</x:v>
      </x:c>
      <x:c r="C162" s="142" t="n">
        <x:v>2</x:v>
      </x:c>
      <x:c r="D162" s="142" t="str">
        <x:v>Scope</x:v>
      </x:c>
      <x:c r="E162" s="142" t="str">
        <x:v>Is this a state or local matter from Kentucky, rather than a federal matter?</x:v>
      </x:c>
      <x:c r="F162" s="142" t="str">
        <x:v>single_choice</x:v>
      </x:c>
      <x:c r="G162" s="142" t="str">
        <x:v>Ask in every free check</x:v>
      </x:c>
      <x:c r="H162" s="142" t="str">
        <x:v>Federal or wrong-state matter → outside this state flow; state/local matter → continue.</x:v>
      </x:c>
      <x:c r="I162" s="142" t="str">
        <x:v>All routes</x:v>
      </x:c>
      <x:c r="J162" s="142" t="str">
        <x:v>Exact details, if needed, are collected after account creation in packet completion.</x:v>
      </x:c>
      <x:c r="K162" s="142" t="str">
        <x:v>scope</x:v>
      </x:c>
      <x:c r="L162" s="142" t="str">
        <x:v>shared_scope_boundary</x:v>
      </x:c>
      <x:c r="M162" s="56" t="str">
        <x:v>https://github.com/Roger-LegalEase/legalease-partner-dashboard-clean/blob/2f0ef0403f16e57544ad0bc86b2d1b1cd08861b3/src/lib/rcap-engine/compiled/profiles/KY-kentucky.json</x:v>
      </x:c>
    </x:row>
    <x:row r="163">
      <x:c r="A163" s="55" t="str">
        <x:v>Kentucky</x:v>
      </x:c>
      <x:c r="B163" s="142" t="str">
        <x:v>KY</x:v>
      </x:c>
      <x:c r="C163" s="142" t="n">
        <x:v>3</x:v>
      </x:c>
      <x:c r="D163" s="142" t="str">
        <x:v>Route identification</x:v>
      </x:c>
      <x:c r="E163" s="142" t="str">
        <x:v>How did the Kentucky case or record end?</x:v>
      </x:c>
      <x:c r="F163" s="142" t="str">
        <x:v>single_choice</x:v>
      </x:c>
      <x:c r="G163" s="142" t="str">
        <x:v>Ask after scope, before route-specific questions</x:v>
      </x:c>
      <x:c r="H163" s="142" t="str">
        <x:v>Splits nonconviction, conviction, diversion/deferred, juvenile, automatic, pardon, correction, and other route families.</x:v>
      </x:c>
      <x:c r="I163" s="142" t="str">
        <x:v>All routes</x:v>
      </x:c>
      <x:c r="J163" s="142" t="str">
        <x:v>Exact details, if needed, are collected after account creation in packet completion.</x:v>
      </x:c>
      <x:c r="K163" s="142" t="str">
        <x:v>pathway_routing</x:v>
      </x:c>
      <x:c r="L163" s="142" t="str">
        <x:v>state_case_outcome_rules</x:v>
      </x:c>
      <x:c r="M163" s="56" t="str">
        <x:v>https://github.com/Roger-LegalEase/legalease-partner-dashboard-clean/blob/2f0ef0403f16e57544ad0bc86b2d1b1cd08861b3/src/lib/rcap-engine/compiled/profiles/KY-kentucky.json</x:v>
      </x:c>
    </x:row>
    <x:row r="164">
      <x:c r="A164" s="55" t="str">
        <x:v>Kentucky</x:v>
      </x:c>
      <x:c r="B164" s="142" t="str">
        <x:v>KY</x:v>
      </x:c>
      <x:c r="C164" s="142" t="n">
        <x:v>4</x:v>
      </x:c>
      <x:c r="D164" s="142" t="str">
        <x:v>Route identification</x:v>
      </x:c>
      <x:c r="E164" s="142" t="str">
        <x:v>What level or type was the charge?</x:v>
      </x:c>
      <x:c r="F164" s="142" t="str">
        <x:v>single_choice</x:v>
      </x:c>
      <x:c r="G164" s="142" t="str">
        <x:v>Ask after scope, before route-specific questions</x:v>
      </x:c>
      <x:c r="H164" s="142" t="str">
        <x:v>Narrows offense-level routes, waiting-period bands, and obvious exclusions.</x:v>
      </x:c>
      <x:c r="I164" s="142" t="str">
        <x:v>All routes</x:v>
      </x:c>
      <x:c r="J164" s="142" t="str">
        <x:v>Exact details, if needed, are collected after account creation in packet completion.</x:v>
      </x:c>
      <x:c r="K164" s="142" t="str">
        <x:v>pathway_routing</x:v>
      </x:c>
      <x:c r="L164" s="142" t="str">
        <x:v>state_pathway_and_exclusion_rules</x:v>
      </x:c>
      <x:c r="M164" s="56" t="str">
        <x:v>https://github.com/Roger-LegalEase/legalease-partner-dashboard-clean/blob/2f0ef0403f16e57544ad0bc86b2d1b1cd08861b3/src/lib/rcap-engine/compiled/profiles/KY-kentucky.json</x:v>
      </x:c>
    </x:row>
    <x:row r="165">
      <x:c r="A165" s="55" t="str">
        <x:v>Kentucky</x:v>
      </x:c>
      <x:c r="B165" s="142" t="str">
        <x:v>KY</x:v>
      </x:c>
      <x:c r="C165" s="142" t="n">
        <x:v>5</x:v>
      </x:c>
      <x:c r="D165" s="142" t="str">
        <x:v>Route identification</x:v>
      </x:c>
      <x:c r="E165" s="142" t="str">
        <x:v>Do any of these Kentucky descriptions sound close to your situation?</x:v>
      </x:c>
      <x:c r="F165" s="142" t="str">
        <x:v>single_choice</x:v>
      </x:c>
      <x:c r="G165" s="142" t="str">
        <x:v>Ask after scope, before route-specific questions</x:v>
      </x:c>
      <x:c r="H165" s="142" t="str">
        <x:v>Lets the participant select a likely remedy or “not sure”; selection prunes unrelated route-specific questions.</x:v>
      </x:c>
      <x:c r="I165" s="142" t="str">
        <x:v>All routes</x:v>
      </x:c>
      <x:c r="J165" s="142" t="str">
        <x:v>Exact details, if needed, are collected after account creation in packet completion.</x:v>
      </x:c>
      <x:c r="K165" s="142" t="str">
        <x:v>pathway_routing</x:v>
      </x:c>
      <x:c r="L165" s="142" t="str">
        <x:v>curated_state_pathway_catalog_from_reference</x:v>
      </x:c>
      <x:c r="M165" s="56" t="str">
        <x:v>https://github.com/Roger-LegalEase/legalease-partner-dashboard-clean/blob/2f0ef0403f16e57544ad0bc86b2d1b1cd08861b3/src/lib/rcap-engine/compiled/profiles/KY-kentucky.json</x:v>
      </x:c>
    </x:row>
    <x:row r="166">
      <x:c r="A166" s="55" t="str">
        <x:v>Kentucky</x:v>
      </x:c>
      <x:c r="B166" s="142" t="str">
        <x:v>KY</x:v>
      </x:c>
      <x:c r="C166" s="142" t="n">
        <x:v>6</x:v>
      </x:c>
      <x:c r="D166" s="142" t="str">
        <x:v>Route identification</x:v>
      </x:c>
      <x:c r="E166" s="142" t="str">
        <x:v>How old were you when the offense or case began?</x:v>
      </x:c>
      <x:c r="F166" s="142" t="str">
        <x:v>number_or_range</x:v>
      </x:c>
      <x:c r="G166" s="142" t="str">
        <x:v>Ask only when adult-versus-juvenile or youthful-offender treatment may change the route.</x:v>
      </x:c>
      <x:c r="H166" s="142" t="str">
        <x:v>Routes to juvenile/youthful-offender logic or keeps the adult route.</x:v>
      </x:c>
      <x:c r="I166" s="142" t="str">
        <x:v>Age-sensitive routes</x:v>
      </x:c>
      <x:c r="J166" s="142" t="str">
        <x:v>Exact details, if needed, are collected after account creation in packet completion.</x:v>
      </x:c>
      <x:c r="K166" s="142" t="str">
        <x:v>pathway_routing</x:v>
      </x:c>
      <x:c r="L166" s="142" t="str">
        <x:v>derived_from_state_rule_fields</x:v>
      </x:c>
      <x:c r="M166" s="56" t="str">
        <x:v>https://github.com/Roger-LegalEase/legalease-partner-dashboard-clean/blob/2f0ef0403f16e57544ad0bc86b2d1b1cd08861b3/src/lib/rcap-engine/compiled/profiles/KY-kentucky.json</x:v>
      </x:c>
    </x:row>
    <x:row r="167">
      <x:c r="A167" s="55" t="str">
        <x:v>Kentucky</x:v>
      </x:c>
      <x:c r="B167" s="142" t="str">
        <x:v>KY</x:v>
      </x:c>
      <x:c r="C167" s="142" t="n">
        <x:v>7</x:v>
      </x:c>
      <x:c r="D167" s="142" t="str">
        <x:v>Special pathway</x:v>
      </x:c>
      <x:c r="E167" s="142" t="str">
        <x:v>Have you received a pardon, certificate of rehabilitation, or similar executive relief for this conviction?</x:v>
      </x:c>
      <x:c r="F167" s="142" t="str">
        <x:v>yes_no_unsure</x:v>
      </x:c>
      <x:c r="G167" s="142" t="str">
        <x:v>Ask only while a pardon or executive-relief route remains viable.</x:v>
      </x:c>
      <x:c r="H167" s="142" t="str">
        <x:v>Yes may open a pardon-based route; No preserves ordinary routes; Not sure defers proof.</x:v>
      </x:c>
      <x:c r="I167" s="142" t="str">
        <x:v>Pardon / executive-relief routes</x:v>
      </x:c>
      <x:c r="J167" s="142" t="str">
        <x:v>Exact details, if needed, are collected after account creation in packet completion.</x:v>
      </x:c>
      <x:c r="K167" s="142" t="str">
        <x:v>special_pathways</x:v>
      </x:c>
      <x:c r="L167" s="142" t="str">
        <x:v>derived_from_state_rule_fields</x:v>
      </x:c>
      <x:c r="M167" s="56" t="str">
        <x:v>https://github.com/Roger-LegalEase/legalease-partner-dashboard-clean/blob/2f0ef0403f16e57544ad0bc86b2d1b1cd08861b3/src/lib/rcap-engine/compiled/profiles/KY-kentucky.json</x:v>
      </x:c>
    </x:row>
    <x:row r="168">
      <x:c r="A168" s="55" t="str">
        <x:v>Kentucky</x:v>
      </x:c>
      <x:c r="B168" s="142" t="str">
        <x:v>KY</x:v>
      </x:c>
      <x:c r="C168" s="142" t="n">
        <x:v>8</x:v>
      </x:c>
      <x:c r="D168" s="142" t="str">
        <x:v>Timing / completion</x:v>
      </x:c>
      <x:c r="E168" s="142" t="str">
        <x:v>Have you completed everything the court ordered in this case?</x:v>
      </x:c>
      <x:c r="F168" s="142" t="str">
        <x:v>single_choice</x:v>
      </x:c>
      <x:c r="G168" s="142" t="str">
        <x:v>Ask only when a viable route depends on sentence, supervision, program, restitution, or financial completion.</x:v>
      </x:c>
      <x:c r="H168" s="142" t="str">
        <x:v>No → usually not yet or needs more information; Yes → continue; Not sure → defer exact proof.</x:v>
      </x:c>
      <x:c r="I168" s="142" t="str">
        <x:v>Completion-dependent routes</x:v>
      </x:c>
      <x:c r="J168" s="142" t="str">
        <x:v>Exact details, if needed, are collected after account creation in packet completion.</x:v>
      </x:c>
      <x:c r="K168" s="142" t="str">
        <x:v>timing_and_completion</x:v>
      </x:c>
      <x:c r="L168" s="142" t="str">
        <x:v>normalized_free_check</x:v>
      </x:c>
      <x:c r="M168" s="56" t="str">
        <x:v>https://github.com/Roger-LegalEase/legalease-partner-dashboard-clean/blob/2f0ef0403f16e57544ad0bc86b2d1b1cd08861b3/src/lib/rcap-engine/compiled/profiles/KY-kentucky.json</x:v>
      </x:c>
    </x:row>
    <x:row r="169">
      <x:c r="A169" s="55" t="str">
        <x:v>Kentucky</x:v>
      </x:c>
      <x:c r="B169" s="142" t="str">
        <x:v>KY</x:v>
      </x:c>
      <x:c r="C169" s="142" t="n">
        <x:v>9</x:v>
      </x:c>
      <x:c r="D169" s="142" t="str">
        <x:v>Timing / completion</x:v>
      </x:c>
      <x:c r="E169" s="142" t="str">
        <x:v>About how long ago did this case end or get resolved?</x:v>
      </x:c>
      <x:c r="F169" s="142" t="str">
        <x:v>single_choice</x:v>
      </x:c>
      <x:c r="G169" s="142" t="str">
        <x:v>Ask only when at least one viable route has a waiting period.</x:v>
      </x:c>
      <x:c r="H169" s="142" t="str">
        <x:v>Uses an approximate band for a preliminary result; exact dates are collected later.</x:v>
      </x:c>
      <x:c r="I169" s="142" t="str">
        <x:v>Timing-dependent routes</x:v>
      </x:c>
      <x:c r="J169" s="142" t="str">
        <x:v>Exact details, if needed, are collected after account creation in packet completion.</x:v>
      </x:c>
      <x:c r="K169" s="142" t="str">
        <x:v>timing_and_completion</x:v>
      </x:c>
      <x:c r="L169" s="142" t="str">
        <x:v>normalized_free_check</x:v>
      </x:c>
      <x:c r="M169" s="56" t="str">
        <x:v>https://github.com/Roger-LegalEase/legalease-partner-dashboard-clean/blob/2f0ef0403f16e57544ad0bc86b2d1b1cd08861b3/src/lib/rcap-engine/compiled/profiles/KY-kentucky.json</x:v>
      </x:c>
    </x:row>
    <x:row r="170">
      <x:c r="A170" s="55" t="str">
        <x:v>Louisiana</x:v>
      </x:c>
      <x:c r="B170" s="142" t="str">
        <x:v>LA</x:v>
      </x:c>
      <x:c r="C170" s="142" t="n">
        <x:v>1</x:v>
      </x:c>
      <x:c r="D170" s="142" t="str">
        <x:v>Scope</x:v>
      </x:c>
      <x:c r="E170" s="142" t="str">
        <x:v>Are you asking about your own record?</x:v>
      </x:c>
      <x:c r="F170" s="142" t="str">
        <x:v>single_choice</x:v>
      </x:c>
      <x:c r="G170" s="142" t="str">
        <x:v>Ask in every free check</x:v>
      </x:c>
      <x:c r="H170" s="142" t="str">
        <x:v>No → stop or redirect; Yes → continue.</x:v>
      </x:c>
      <x:c r="I170" s="142" t="str">
        <x:v>All routes</x:v>
      </x:c>
      <x:c r="J170" s="142" t="str">
        <x:v>Exact details, if needed, are collected after account creation in packet completion.</x:v>
      </x:c>
      <x:c r="K170" s="142" t="str">
        <x:v>scope</x:v>
      </x:c>
      <x:c r="L170" s="142" t="str">
        <x:v>shared_scope_boundary</x:v>
      </x:c>
      <x:c r="M170" s="56" t="str">
        <x:v>https://github.com/Roger-LegalEase/legalease-partner-dashboard-clean/blob/2f0ef0403f16e57544ad0bc86b2d1b1cd08861b3/src/lib/rcap-engine/compiled/profiles/LA-louisiana.json</x:v>
      </x:c>
    </x:row>
    <x:row r="171">
      <x:c r="A171" s="55" t="str">
        <x:v>Louisiana</x:v>
      </x:c>
      <x:c r="B171" s="142" t="str">
        <x:v>LA</x:v>
      </x:c>
      <x:c r="C171" s="142" t="n">
        <x:v>2</x:v>
      </x:c>
      <x:c r="D171" s="142" t="str">
        <x:v>Scope</x:v>
      </x:c>
      <x:c r="E171" s="142" t="str">
        <x:v>Is this a state or local matter from Louisiana, rather than a federal matter?</x:v>
      </x:c>
      <x:c r="F171" s="142" t="str">
        <x:v>single_choice</x:v>
      </x:c>
      <x:c r="G171" s="142" t="str">
        <x:v>Ask in every free check</x:v>
      </x:c>
      <x:c r="H171" s="142" t="str">
        <x:v>Federal or wrong-state matter → outside this state flow; state/local matter → continue.</x:v>
      </x:c>
      <x:c r="I171" s="142" t="str">
        <x:v>All routes</x:v>
      </x:c>
      <x:c r="J171" s="142" t="str">
        <x:v>Exact details, if needed, are collected after account creation in packet completion.</x:v>
      </x:c>
      <x:c r="K171" s="142" t="str">
        <x:v>scope</x:v>
      </x:c>
      <x:c r="L171" s="142" t="str">
        <x:v>shared_scope_boundary</x:v>
      </x:c>
      <x:c r="M171" s="56" t="str">
        <x:v>https://github.com/Roger-LegalEase/legalease-partner-dashboard-clean/blob/2f0ef0403f16e57544ad0bc86b2d1b1cd08861b3/src/lib/rcap-engine/compiled/profiles/LA-louisiana.json</x:v>
      </x:c>
    </x:row>
    <x:row r="172">
      <x:c r="A172" s="55" t="str">
        <x:v>Louisiana</x:v>
      </x:c>
      <x:c r="B172" s="142" t="str">
        <x:v>LA</x:v>
      </x:c>
      <x:c r="C172" s="142" t="n">
        <x:v>3</x:v>
      </x:c>
      <x:c r="D172" s="142" t="str">
        <x:v>Route identification</x:v>
      </x:c>
      <x:c r="E172" s="142" t="str">
        <x:v>How did the Louisiana case or record end?</x:v>
      </x:c>
      <x:c r="F172" s="142" t="str">
        <x:v>single_choice</x:v>
      </x:c>
      <x:c r="G172" s="142" t="str">
        <x:v>Ask after scope, before route-specific questions</x:v>
      </x:c>
      <x:c r="H172" s="142" t="str">
        <x:v>Splits nonconviction, conviction, diversion/deferred, juvenile, automatic, pardon, correction, and other route families.</x:v>
      </x:c>
      <x:c r="I172" s="142" t="str">
        <x:v>All routes</x:v>
      </x:c>
      <x:c r="J172" s="142" t="str">
        <x:v>Exact details, if needed, are collected after account creation in packet completion.</x:v>
      </x:c>
      <x:c r="K172" s="142" t="str">
        <x:v>pathway_routing</x:v>
      </x:c>
      <x:c r="L172" s="142" t="str">
        <x:v>state_case_outcome_rules</x:v>
      </x:c>
      <x:c r="M172" s="56" t="str">
        <x:v>https://github.com/Roger-LegalEase/legalease-partner-dashboard-clean/blob/2f0ef0403f16e57544ad0bc86b2d1b1cd08861b3/src/lib/rcap-engine/compiled/profiles/LA-louisiana.json</x:v>
      </x:c>
    </x:row>
    <x:row r="173">
      <x:c r="A173" s="55" t="str">
        <x:v>Louisiana</x:v>
      </x:c>
      <x:c r="B173" s="142" t="str">
        <x:v>LA</x:v>
      </x:c>
      <x:c r="C173" s="142" t="n">
        <x:v>4</x:v>
      </x:c>
      <x:c r="D173" s="142" t="str">
        <x:v>Route identification</x:v>
      </x:c>
      <x:c r="E173" s="142" t="str">
        <x:v>What level or type was the charge?</x:v>
      </x:c>
      <x:c r="F173" s="142" t="str">
        <x:v>single_choice</x:v>
      </x:c>
      <x:c r="G173" s="142" t="str">
        <x:v>Ask after scope, before route-specific questions</x:v>
      </x:c>
      <x:c r="H173" s="142" t="str">
        <x:v>Narrows offense-level routes, waiting-period bands, and obvious exclusions.</x:v>
      </x:c>
      <x:c r="I173" s="142" t="str">
        <x:v>All routes</x:v>
      </x:c>
      <x:c r="J173" s="142" t="str">
        <x:v>Exact details, if needed, are collected after account creation in packet completion.</x:v>
      </x:c>
      <x:c r="K173" s="142" t="str">
        <x:v>pathway_routing</x:v>
      </x:c>
      <x:c r="L173" s="142" t="str">
        <x:v>state_pathway_and_exclusion_rules</x:v>
      </x:c>
      <x:c r="M173" s="56" t="str">
        <x:v>https://github.com/Roger-LegalEase/legalease-partner-dashboard-clean/blob/2f0ef0403f16e57544ad0bc86b2d1b1cd08861b3/src/lib/rcap-engine/compiled/profiles/LA-louisiana.json</x:v>
      </x:c>
    </x:row>
    <x:row r="174">
      <x:c r="A174" s="55" t="str">
        <x:v>Louisiana</x:v>
      </x:c>
      <x:c r="B174" s="142" t="str">
        <x:v>LA</x:v>
      </x:c>
      <x:c r="C174" s="142" t="n">
        <x:v>5</x:v>
      </x:c>
      <x:c r="D174" s="142" t="str">
        <x:v>Route identification</x:v>
      </x:c>
      <x:c r="E174" s="142" t="str">
        <x:v>Do any of these Louisiana descriptions sound close to your situation?</x:v>
      </x:c>
      <x:c r="F174" s="142" t="str">
        <x:v>single_choice</x:v>
      </x:c>
      <x:c r="G174" s="142" t="str">
        <x:v>Ask after scope, before route-specific questions</x:v>
      </x:c>
      <x:c r="H174" s="142" t="str">
        <x:v>Lets the participant select a likely remedy or “not sure”; selection prunes unrelated route-specific questions.</x:v>
      </x:c>
      <x:c r="I174" s="142" t="str">
        <x:v>All routes</x:v>
      </x:c>
      <x:c r="J174" s="142" t="str">
        <x:v>Exact details, if needed, are collected after account creation in packet completion.</x:v>
      </x:c>
      <x:c r="K174" s="142" t="str">
        <x:v>pathway_routing</x:v>
      </x:c>
      <x:c r="L174" s="142" t="str">
        <x:v>curated_state_pathway_catalog_from_reference</x:v>
      </x:c>
      <x:c r="M174" s="56" t="str">
        <x:v>https://github.com/Roger-LegalEase/legalease-partner-dashboard-clean/blob/2f0ef0403f16e57544ad0bc86b2d1b1cd08861b3/src/lib/rcap-engine/compiled/profiles/LA-louisiana.json</x:v>
      </x:c>
    </x:row>
    <x:row r="175">
      <x:c r="A175" s="55" t="str">
        <x:v>Louisiana</x:v>
      </x:c>
      <x:c r="B175" s="142" t="str">
        <x:v>LA</x:v>
      </x:c>
      <x:c r="C175" s="142" t="n">
        <x:v>6</x:v>
      </x:c>
      <x:c r="D175" s="142" t="str">
        <x:v>Special pathway</x:v>
      </x:c>
      <x:c r="E175" s="142" t="str">
        <x:v>Have you received a pardon, certificate of rehabilitation, or similar executive relief for this conviction?</x:v>
      </x:c>
      <x:c r="F175" s="142" t="str">
        <x:v>yes_no_unsure</x:v>
      </x:c>
      <x:c r="G175" s="142" t="str">
        <x:v>Ask only while a pardon or executive-relief route remains viable.</x:v>
      </x:c>
      <x:c r="H175" s="142" t="str">
        <x:v>Yes may open a pardon-based route; No preserves ordinary routes; Not sure defers proof.</x:v>
      </x:c>
      <x:c r="I175" s="142" t="str">
        <x:v>Pardon / executive-relief routes</x:v>
      </x:c>
      <x:c r="J175" s="142" t="str">
        <x:v>Exact details, if needed, are collected after account creation in packet completion.</x:v>
      </x:c>
      <x:c r="K175" s="142" t="str">
        <x:v>special_pathways</x:v>
      </x:c>
      <x:c r="L175" s="142" t="str">
        <x:v>derived_from_state_rule_fields</x:v>
      </x:c>
      <x:c r="M175" s="56" t="str">
        <x:v>https://github.com/Roger-LegalEase/legalease-partner-dashboard-clean/blob/2f0ef0403f16e57544ad0bc86b2d1b1cd08861b3/src/lib/rcap-engine/compiled/profiles/LA-louisiana.json</x:v>
      </x:c>
    </x:row>
    <x:row r="176">
      <x:c r="A176" s="55" t="str">
        <x:v>Louisiana</x:v>
      </x:c>
      <x:c r="B176" s="142" t="str">
        <x:v>LA</x:v>
      </x:c>
      <x:c r="C176" s="142" t="n">
        <x:v>7</x:v>
      </x:c>
      <x:c r="D176" s="142" t="str">
        <x:v>Timing / completion</x:v>
      </x:c>
      <x:c r="E176" s="142" t="str">
        <x:v>Do you currently have any pending criminal charge, open case, probation, parole, or other supervision?</x:v>
      </x:c>
      <x:c r="F176" s="142" t="str">
        <x:v>yes_no_unsure</x:v>
      </x:c>
      <x:c r="G176" s="142" t="str">
        <x:v>Ask only when pending cases or active supervision can block the candidate route.</x:v>
      </x:c>
      <x:c r="H176" s="142" t="str">
        <x:v>Pending/open matter may produce not-yet, review, or a different route.</x:v>
      </x:c>
      <x:c r="I176" s="142" t="str">
        <x:v>Pending-case-sensitive routes</x:v>
      </x:c>
      <x:c r="J176" s="142" t="str">
        <x:v>Exact details, if needed, are collected after account creation in packet completion.</x:v>
      </x:c>
      <x:c r="K176" s="142" t="str">
        <x:v>timing_and_completion</x:v>
      </x:c>
      <x:c r="L176" s="142" t="str">
        <x:v>derived_from_state_rule_fields</x:v>
      </x:c>
      <x:c r="M176" s="56" t="str">
        <x:v>https://github.com/Roger-LegalEase/legalease-partner-dashboard-clean/blob/2f0ef0403f16e57544ad0bc86b2d1b1cd08861b3/src/lib/rcap-engine/compiled/profiles/LA-louisiana.json</x:v>
      </x:c>
    </x:row>
    <x:row r="177">
      <x:c r="A177" s="55" t="str">
        <x:v>Louisiana</x:v>
      </x:c>
      <x:c r="B177" s="142" t="str">
        <x:v>LA</x:v>
      </x:c>
      <x:c r="C177" s="142" t="n">
        <x:v>8</x:v>
      </x:c>
      <x:c r="D177" s="142" t="str">
        <x:v>Timing / completion</x:v>
      </x:c>
      <x:c r="E177" s="142" t="str">
        <x:v>Have you completed everything the court ordered in this case?</x:v>
      </x:c>
      <x:c r="F177" s="142" t="str">
        <x:v>single_choice</x:v>
      </x:c>
      <x:c r="G177" s="142" t="str">
        <x:v>Ask only when a viable route depends on sentence, supervision, program, restitution, or financial completion.</x:v>
      </x:c>
      <x:c r="H177" s="142" t="str">
        <x:v>No → usually not yet or needs more information; Yes → continue; Not sure → defer exact proof.</x:v>
      </x:c>
      <x:c r="I177" s="142" t="str">
        <x:v>Completion-dependent routes</x:v>
      </x:c>
      <x:c r="J177" s="142" t="str">
        <x:v>Exact details, if needed, are collected after account creation in packet completion.</x:v>
      </x:c>
      <x:c r="K177" s="142" t="str">
        <x:v>timing_and_completion</x:v>
      </x:c>
      <x:c r="L177" s="142" t="str">
        <x:v>normalized_free_check</x:v>
      </x:c>
      <x:c r="M177" s="56" t="str">
        <x:v>https://github.com/Roger-LegalEase/legalease-partner-dashboard-clean/blob/2f0ef0403f16e57544ad0bc86b2d1b1cd08861b3/src/lib/rcap-engine/compiled/profiles/LA-louisiana.json</x:v>
      </x:c>
    </x:row>
    <x:row r="178">
      <x:c r="A178" s="55" t="str">
        <x:v>Louisiana</x:v>
      </x:c>
      <x:c r="B178" s="142" t="str">
        <x:v>LA</x:v>
      </x:c>
      <x:c r="C178" s="142" t="n">
        <x:v>9</x:v>
      </x:c>
      <x:c r="D178" s="142" t="str">
        <x:v>Timing / completion</x:v>
      </x:c>
      <x:c r="E178" s="142" t="str">
        <x:v>About how long ago did this case end or get resolved?</x:v>
      </x:c>
      <x:c r="F178" s="142" t="str">
        <x:v>single_choice</x:v>
      </x:c>
      <x:c r="G178" s="142" t="str">
        <x:v>Ask only when at least one viable route has a waiting period.</x:v>
      </x:c>
      <x:c r="H178" s="142" t="str">
        <x:v>Uses an approximate band for a preliminary result; exact dates are collected later.</x:v>
      </x:c>
      <x:c r="I178" s="142" t="str">
        <x:v>Timing-dependent routes</x:v>
      </x:c>
      <x:c r="J178" s="142" t="str">
        <x:v>Exact details, if needed, are collected after account creation in packet completion.</x:v>
      </x:c>
      <x:c r="K178" s="142" t="str">
        <x:v>timing_and_completion</x:v>
      </x:c>
      <x:c r="L178" s="142" t="str">
        <x:v>normalized_free_check</x:v>
      </x:c>
      <x:c r="M178" s="56" t="str">
        <x:v>https://github.com/Roger-LegalEase/legalease-partner-dashboard-clean/blob/2f0ef0403f16e57544ad0bc86b2d1b1cd08861b3/src/lib/rcap-engine/compiled/profiles/LA-louisiana.json</x:v>
      </x:c>
    </x:row>
    <x:row r="179">
      <x:c r="A179" s="55" t="str">
        <x:v>Massachusetts</x:v>
      </x:c>
      <x:c r="B179" s="142" t="str">
        <x:v>MA</x:v>
      </x:c>
      <x:c r="C179" s="142" t="n">
        <x:v>1</x:v>
      </x:c>
      <x:c r="D179" s="142" t="str">
        <x:v>Scope</x:v>
      </x:c>
      <x:c r="E179" s="142" t="str">
        <x:v>Are you asking about your own record?</x:v>
      </x:c>
      <x:c r="F179" s="142" t="str">
        <x:v>single_choice</x:v>
      </x:c>
      <x:c r="G179" s="142" t="str">
        <x:v>Ask in every free check</x:v>
      </x:c>
      <x:c r="H179" s="142" t="str">
        <x:v>No → stop or redirect; Yes → continue.</x:v>
      </x:c>
      <x:c r="I179" s="142" t="str">
        <x:v>All routes</x:v>
      </x:c>
      <x:c r="J179" s="142" t="str">
        <x:v>Exact details, if needed, are collected after account creation in packet completion.</x:v>
      </x:c>
      <x:c r="K179" s="142" t="str">
        <x:v>scope</x:v>
      </x:c>
      <x:c r="L179" s="142" t="str">
        <x:v>shared_scope_boundary</x:v>
      </x:c>
      <x:c r="M179" s="56" t="str">
        <x:v>https://github.com/Roger-LegalEase/legalease-partner-dashboard-clean/blob/2f0ef0403f16e57544ad0bc86b2d1b1cd08861b3/src/lib/rcap-engine/compiled/profiles/MA-massachusetts.json</x:v>
      </x:c>
    </x:row>
    <x:row r="180">
      <x:c r="A180" s="55" t="str">
        <x:v>Massachusetts</x:v>
      </x:c>
      <x:c r="B180" s="142" t="str">
        <x:v>MA</x:v>
      </x:c>
      <x:c r="C180" s="142" t="n">
        <x:v>2</x:v>
      </x:c>
      <x:c r="D180" s="142" t="str">
        <x:v>Scope</x:v>
      </x:c>
      <x:c r="E180" s="142" t="str">
        <x:v>Is this a state or local matter from Massachusetts, rather than a federal matter?</x:v>
      </x:c>
      <x:c r="F180" s="142" t="str">
        <x:v>single_choice</x:v>
      </x:c>
      <x:c r="G180" s="142" t="str">
        <x:v>Ask in every free check</x:v>
      </x:c>
      <x:c r="H180" s="142" t="str">
        <x:v>Federal or wrong-state matter → outside this state flow; state/local matter → continue.</x:v>
      </x:c>
      <x:c r="I180" s="142" t="str">
        <x:v>All routes</x:v>
      </x:c>
      <x:c r="J180" s="142" t="str">
        <x:v>Exact details, if needed, are collected after account creation in packet completion.</x:v>
      </x:c>
      <x:c r="K180" s="142" t="str">
        <x:v>scope</x:v>
      </x:c>
      <x:c r="L180" s="142" t="str">
        <x:v>shared_scope_boundary</x:v>
      </x:c>
      <x:c r="M180" s="56" t="str">
        <x:v>https://github.com/Roger-LegalEase/legalease-partner-dashboard-clean/blob/2f0ef0403f16e57544ad0bc86b2d1b1cd08861b3/src/lib/rcap-engine/compiled/profiles/MA-massachusetts.json</x:v>
      </x:c>
    </x:row>
    <x:row r="181">
      <x:c r="A181" s="55" t="str">
        <x:v>Massachusetts</x:v>
      </x:c>
      <x:c r="B181" s="142" t="str">
        <x:v>MA</x:v>
      </x:c>
      <x:c r="C181" s="142" t="n">
        <x:v>3</x:v>
      </x:c>
      <x:c r="D181" s="142" t="str">
        <x:v>Route identification</x:v>
      </x:c>
      <x:c r="E181" s="142" t="str">
        <x:v>How did the Massachusetts case or record end?</x:v>
      </x:c>
      <x:c r="F181" s="142" t="str">
        <x:v>single_choice</x:v>
      </x:c>
      <x:c r="G181" s="142" t="str">
        <x:v>Ask after scope, before route-specific questions</x:v>
      </x:c>
      <x:c r="H181" s="142" t="str">
        <x:v>Splits nonconviction, conviction, diversion/deferred, juvenile, automatic, pardon, correction, and other route families.</x:v>
      </x:c>
      <x:c r="I181" s="142" t="str">
        <x:v>All routes</x:v>
      </x:c>
      <x:c r="J181" s="142" t="str">
        <x:v>Exact details, if needed, are collected after account creation in packet completion.</x:v>
      </x:c>
      <x:c r="K181" s="142" t="str">
        <x:v>pathway_routing</x:v>
      </x:c>
      <x:c r="L181" s="142" t="str">
        <x:v>state_case_outcome_rules</x:v>
      </x:c>
      <x:c r="M181" s="56" t="str">
        <x:v>https://github.com/Roger-LegalEase/legalease-partner-dashboard-clean/blob/2f0ef0403f16e57544ad0bc86b2d1b1cd08861b3/src/lib/rcap-engine/compiled/profiles/MA-massachusetts.json</x:v>
      </x:c>
    </x:row>
    <x:row r="182">
      <x:c r="A182" s="55" t="str">
        <x:v>Massachusetts</x:v>
      </x:c>
      <x:c r="B182" s="142" t="str">
        <x:v>MA</x:v>
      </x:c>
      <x:c r="C182" s="142" t="n">
        <x:v>4</x:v>
      </x:c>
      <x:c r="D182" s="142" t="str">
        <x:v>Route identification</x:v>
      </x:c>
      <x:c r="E182" s="142" t="str">
        <x:v>What level or type was the charge?</x:v>
      </x:c>
      <x:c r="F182" s="142" t="str">
        <x:v>single_choice</x:v>
      </x:c>
      <x:c r="G182" s="142" t="str">
        <x:v>Ask after scope, before route-specific questions</x:v>
      </x:c>
      <x:c r="H182" s="142" t="str">
        <x:v>Narrows offense-level routes, waiting-period bands, and obvious exclusions.</x:v>
      </x:c>
      <x:c r="I182" s="142" t="str">
        <x:v>All routes</x:v>
      </x:c>
      <x:c r="J182" s="142" t="str">
        <x:v>Exact details, if needed, are collected after account creation in packet completion.</x:v>
      </x:c>
      <x:c r="K182" s="142" t="str">
        <x:v>pathway_routing</x:v>
      </x:c>
      <x:c r="L182" s="142" t="str">
        <x:v>state_pathway_and_exclusion_rules</x:v>
      </x:c>
      <x:c r="M182" s="56" t="str">
        <x:v>https://github.com/Roger-LegalEase/legalease-partner-dashboard-clean/blob/2f0ef0403f16e57544ad0bc86b2d1b1cd08861b3/src/lib/rcap-engine/compiled/profiles/MA-massachusetts.json</x:v>
      </x:c>
    </x:row>
    <x:row r="183">
      <x:c r="A183" s="55" t="str">
        <x:v>Massachusetts</x:v>
      </x:c>
      <x:c r="B183" s="142" t="str">
        <x:v>MA</x:v>
      </x:c>
      <x:c r="C183" s="142" t="n">
        <x:v>5</x:v>
      </x:c>
      <x:c r="D183" s="142" t="str">
        <x:v>Route identification</x:v>
      </x:c>
      <x:c r="E183" s="142" t="str">
        <x:v>Do any of these Massachusetts descriptions sound close to your situation?</x:v>
      </x:c>
      <x:c r="F183" s="142" t="str">
        <x:v>single_choice</x:v>
      </x:c>
      <x:c r="G183" s="142" t="str">
        <x:v>Ask after scope, before route-specific questions</x:v>
      </x:c>
      <x:c r="H183" s="142" t="str">
        <x:v>Lets the participant select a likely remedy or “not sure”; selection prunes unrelated route-specific questions.</x:v>
      </x:c>
      <x:c r="I183" s="142" t="str">
        <x:v>All routes</x:v>
      </x:c>
      <x:c r="J183" s="142" t="str">
        <x:v>Exact details, if needed, are collected after account creation in packet completion.</x:v>
      </x:c>
      <x:c r="K183" s="142" t="str">
        <x:v>pathway_routing</x:v>
      </x:c>
      <x:c r="L183" s="142" t="str">
        <x:v>curated_state_pathway_catalog_from_reference</x:v>
      </x:c>
      <x:c r="M183" s="56" t="str">
        <x:v>https://github.com/Roger-LegalEase/legalease-partner-dashboard-clean/blob/2f0ef0403f16e57544ad0bc86b2d1b1cd08861b3/src/lib/rcap-engine/compiled/profiles/MA-massachusetts.json</x:v>
      </x:c>
    </x:row>
    <x:row r="184">
      <x:c r="A184" s="55" t="str">
        <x:v>Massachusetts</x:v>
      </x:c>
      <x:c r="B184" s="142" t="str">
        <x:v>MA</x:v>
      </x:c>
      <x:c r="C184" s="142" t="n">
        <x:v>6</x:v>
      </x:c>
      <x:c r="D184" s="142" t="str">
        <x:v>Route identification</x:v>
      </x:c>
      <x:c r="E184" s="142" t="str">
        <x:v>How old were you when the offense or case began?</x:v>
      </x:c>
      <x:c r="F184" s="142" t="str">
        <x:v>number_or_range</x:v>
      </x:c>
      <x:c r="G184" s="142" t="str">
        <x:v>Ask only when adult-versus-juvenile or youthful-offender treatment may change the route.</x:v>
      </x:c>
      <x:c r="H184" s="142" t="str">
        <x:v>Routes to juvenile/youthful-offender logic or keeps the adult route.</x:v>
      </x:c>
      <x:c r="I184" s="142" t="str">
        <x:v>Age-sensitive routes</x:v>
      </x:c>
      <x:c r="J184" s="142" t="str">
        <x:v>Exact details, if needed, are collected after account creation in packet completion.</x:v>
      </x:c>
      <x:c r="K184" s="142" t="str">
        <x:v>pathway_routing</x:v>
      </x:c>
      <x:c r="L184" s="142" t="str">
        <x:v>derived_from_state_rule_fields</x:v>
      </x:c>
      <x:c r="M184" s="56" t="str">
        <x:v>https://github.com/Roger-LegalEase/legalease-partner-dashboard-clean/blob/2f0ef0403f16e57544ad0bc86b2d1b1cd08861b3/src/lib/rcap-engine/compiled/profiles/MA-massachusetts.json</x:v>
      </x:c>
    </x:row>
    <x:row r="185">
      <x:c r="A185" s="55" t="str">
        <x:v>Massachusetts</x:v>
      </x:c>
      <x:c r="B185" s="142" t="str">
        <x:v>MA</x:v>
      </x:c>
      <x:c r="C185" s="142" t="n">
        <x:v>7</x:v>
      </x:c>
      <x:c r="D185" s="142" t="str">
        <x:v>Special pathway</x:v>
      </x:c>
      <x:c r="E185" s="142" t="str">
        <x:v>Was the arrest or record caused by mistaken identity, identity theft, or law-enforcement error?</x:v>
      </x:c>
      <x:c r="F185" s="142" t="str">
        <x:v>yes_no_unsure</x:v>
      </x:c>
      <x:c r="G185" s="142" t="str">
        <x:v>Ask only while an identity-correction route remains viable.</x:v>
      </x:c>
      <x:c r="H185" s="142" t="str">
        <x:v>Yes routes to correction/sealing logic distinct from ordinary conviction relief.</x:v>
      </x:c>
      <x:c r="I185" s="142" t="str">
        <x:v>Mistaken-identity / correction routes</x:v>
      </x:c>
      <x:c r="J185" s="142" t="str">
        <x:v>Exact details, if needed, are collected after account creation in packet completion.</x:v>
      </x:c>
      <x:c r="K185" s="142" t="str">
        <x:v>special_pathways</x:v>
      </x:c>
      <x:c r="L185" s="142" t="str">
        <x:v>derived_from_state_rule_fields</x:v>
      </x:c>
      <x:c r="M185" s="56" t="str">
        <x:v>https://github.com/Roger-LegalEase/legalease-partner-dashboard-clean/blob/2f0ef0403f16e57544ad0bc86b2d1b1cd08861b3/src/lib/rcap-engine/compiled/profiles/MA-massachusetts.json</x:v>
      </x:c>
    </x:row>
    <x:row r="186">
      <x:c r="A186" s="55" t="str">
        <x:v>Massachusetts</x:v>
      </x:c>
      <x:c r="B186" s="142" t="str">
        <x:v>MA</x:v>
      </x:c>
      <x:c r="C186" s="142" t="n">
        <x:v>8</x:v>
      </x:c>
      <x:c r="D186" s="142" t="str">
        <x:v>Timing / completion</x:v>
      </x:c>
      <x:c r="E186" s="142" t="str">
        <x:v>Have you completed everything the court ordered in this case?</x:v>
      </x:c>
      <x:c r="F186" s="142" t="str">
        <x:v>single_choice</x:v>
      </x:c>
      <x:c r="G186" s="142" t="str">
        <x:v>Ask only when a viable route depends on sentence, supervision, program, restitution, or financial completion.</x:v>
      </x:c>
      <x:c r="H186" s="142" t="str">
        <x:v>No → usually not yet or needs more information; Yes → continue; Not sure → defer exact proof.</x:v>
      </x:c>
      <x:c r="I186" s="142" t="str">
        <x:v>Completion-dependent routes</x:v>
      </x:c>
      <x:c r="J186" s="142" t="str">
        <x:v>Exact details, if needed, are collected after account creation in packet completion.</x:v>
      </x:c>
      <x:c r="K186" s="142" t="str">
        <x:v>timing_and_completion</x:v>
      </x:c>
      <x:c r="L186" s="142" t="str">
        <x:v>normalized_free_check</x:v>
      </x:c>
      <x:c r="M186" s="56" t="str">
        <x:v>https://github.com/Roger-LegalEase/legalease-partner-dashboard-clean/blob/2f0ef0403f16e57544ad0bc86b2d1b1cd08861b3/src/lib/rcap-engine/compiled/profiles/MA-massachusetts.json</x:v>
      </x:c>
    </x:row>
    <x:row r="187">
      <x:c r="A187" s="55" t="str">
        <x:v>Massachusetts</x:v>
      </x:c>
      <x:c r="B187" s="142" t="str">
        <x:v>MA</x:v>
      </x:c>
      <x:c r="C187" s="142" t="n">
        <x:v>9</x:v>
      </x:c>
      <x:c r="D187" s="142" t="str">
        <x:v>Timing / completion</x:v>
      </x:c>
      <x:c r="E187" s="142" t="str">
        <x:v>About how long ago did this case end or get resolved?</x:v>
      </x:c>
      <x:c r="F187" s="142" t="str">
        <x:v>single_choice</x:v>
      </x:c>
      <x:c r="G187" s="142" t="str">
        <x:v>Ask only when at least one viable route has a waiting period.</x:v>
      </x:c>
      <x:c r="H187" s="142" t="str">
        <x:v>Uses an approximate band for a preliminary result; exact dates are collected later.</x:v>
      </x:c>
      <x:c r="I187" s="142" t="str">
        <x:v>Timing-dependent routes</x:v>
      </x:c>
      <x:c r="J187" s="142" t="str">
        <x:v>Exact details, if needed, are collected after account creation in packet completion.</x:v>
      </x:c>
      <x:c r="K187" s="142" t="str">
        <x:v>timing_and_completion</x:v>
      </x:c>
      <x:c r="L187" s="142" t="str">
        <x:v>normalized_free_check</x:v>
      </x:c>
      <x:c r="M187" s="56" t="str">
        <x:v>https://github.com/Roger-LegalEase/legalease-partner-dashboard-clean/blob/2f0ef0403f16e57544ad0bc86b2d1b1cd08861b3/src/lib/rcap-engine/compiled/profiles/MA-massachusetts.json</x:v>
      </x:c>
    </x:row>
    <x:row r="188">
      <x:c r="A188" s="55" t="str">
        <x:v>Maryland</x:v>
      </x:c>
      <x:c r="B188" s="142" t="str">
        <x:v>MD</x:v>
      </x:c>
      <x:c r="C188" s="142" t="n">
        <x:v>1</x:v>
      </x:c>
      <x:c r="D188" s="142" t="str">
        <x:v>Scope</x:v>
      </x:c>
      <x:c r="E188" s="142" t="str">
        <x:v>Are you asking about your own record?</x:v>
      </x:c>
      <x:c r="F188" s="142" t="str">
        <x:v>single_choice</x:v>
      </x:c>
      <x:c r="G188" s="142" t="str">
        <x:v>Ask in every free check</x:v>
      </x:c>
      <x:c r="H188" s="142" t="str">
        <x:v>No → stop or redirect; Yes → continue.</x:v>
      </x:c>
      <x:c r="I188" s="142" t="str">
        <x:v>All routes</x:v>
      </x:c>
      <x:c r="J188" s="142" t="str">
        <x:v>Exact details, if needed, are collected after account creation in packet completion.</x:v>
      </x:c>
      <x:c r="K188" s="142" t="str">
        <x:v>scope</x:v>
      </x:c>
      <x:c r="L188" s="142" t="str">
        <x:v>shared_scope_boundary</x:v>
      </x:c>
      <x:c r="M188" s="56" t="str">
        <x:v>https://github.com/Roger-LegalEase/legalease-partner-dashboard-clean/blob/2f0ef0403f16e57544ad0bc86b2d1b1cd08861b3/src/lib/rcap-engine/compiled/profiles/MD-maryland.json</x:v>
      </x:c>
    </x:row>
    <x:row r="189">
      <x:c r="A189" s="55" t="str">
        <x:v>Maryland</x:v>
      </x:c>
      <x:c r="B189" s="142" t="str">
        <x:v>MD</x:v>
      </x:c>
      <x:c r="C189" s="142" t="n">
        <x:v>2</x:v>
      </x:c>
      <x:c r="D189" s="142" t="str">
        <x:v>Scope</x:v>
      </x:c>
      <x:c r="E189" s="142" t="str">
        <x:v>Is this a state or local matter from Maryland, rather than a federal matter?</x:v>
      </x:c>
      <x:c r="F189" s="142" t="str">
        <x:v>single_choice</x:v>
      </x:c>
      <x:c r="G189" s="142" t="str">
        <x:v>Ask in every free check</x:v>
      </x:c>
      <x:c r="H189" s="142" t="str">
        <x:v>Federal or wrong-state matter → outside this state flow; state/local matter → continue.</x:v>
      </x:c>
      <x:c r="I189" s="142" t="str">
        <x:v>All routes</x:v>
      </x:c>
      <x:c r="J189" s="142" t="str">
        <x:v>Exact details, if needed, are collected after account creation in packet completion.</x:v>
      </x:c>
      <x:c r="K189" s="142" t="str">
        <x:v>scope</x:v>
      </x:c>
      <x:c r="L189" s="142" t="str">
        <x:v>shared_scope_boundary</x:v>
      </x:c>
      <x:c r="M189" s="56" t="str">
        <x:v>https://github.com/Roger-LegalEase/legalease-partner-dashboard-clean/blob/2f0ef0403f16e57544ad0bc86b2d1b1cd08861b3/src/lib/rcap-engine/compiled/profiles/MD-maryland.json</x:v>
      </x:c>
    </x:row>
    <x:row r="190">
      <x:c r="A190" s="55" t="str">
        <x:v>Maryland</x:v>
      </x:c>
      <x:c r="B190" s="142" t="str">
        <x:v>MD</x:v>
      </x:c>
      <x:c r="C190" s="142" t="n">
        <x:v>3</x:v>
      </x:c>
      <x:c r="D190" s="142" t="str">
        <x:v>Route identification</x:v>
      </x:c>
      <x:c r="E190" s="142" t="str">
        <x:v>How did the Maryland case or record end?</x:v>
      </x:c>
      <x:c r="F190" s="142" t="str">
        <x:v>single_choice</x:v>
      </x:c>
      <x:c r="G190" s="142" t="str">
        <x:v>Ask after scope, before route-specific questions</x:v>
      </x:c>
      <x:c r="H190" s="142" t="str">
        <x:v>Splits nonconviction, conviction, diversion/deferred, juvenile, automatic, pardon, correction, and other route families.</x:v>
      </x:c>
      <x:c r="I190" s="142" t="str">
        <x:v>All routes</x:v>
      </x:c>
      <x:c r="J190" s="142" t="str">
        <x:v>Exact details, if needed, are collected after account creation in packet completion.</x:v>
      </x:c>
      <x:c r="K190" s="142" t="str">
        <x:v>pathway_routing</x:v>
      </x:c>
      <x:c r="L190" s="142" t="str">
        <x:v>state_case_outcome_rules</x:v>
      </x:c>
      <x:c r="M190" s="56" t="str">
        <x:v>https://github.com/Roger-LegalEase/legalease-partner-dashboard-clean/blob/2f0ef0403f16e57544ad0bc86b2d1b1cd08861b3/src/lib/rcap-engine/compiled/profiles/MD-maryland.json</x:v>
      </x:c>
    </x:row>
    <x:row r="191">
      <x:c r="A191" s="55" t="str">
        <x:v>Maryland</x:v>
      </x:c>
      <x:c r="B191" s="142" t="str">
        <x:v>MD</x:v>
      </x:c>
      <x:c r="C191" s="142" t="n">
        <x:v>4</x:v>
      </x:c>
      <x:c r="D191" s="142" t="str">
        <x:v>Route identification</x:v>
      </x:c>
      <x:c r="E191" s="142" t="str">
        <x:v>What level or type was the charge?</x:v>
      </x:c>
      <x:c r="F191" s="142" t="str">
        <x:v>single_choice</x:v>
      </x:c>
      <x:c r="G191" s="142" t="str">
        <x:v>Ask after scope, before route-specific questions</x:v>
      </x:c>
      <x:c r="H191" s="142" t="str">
        <x:v>Narrows offense-level routes, waiting-period bands, and obvious exclusions.</x:v>
      </x:c>
      <x:c r="I191" s="142" t="str">
        <x:v>All routes</x:v>
      </x:c>
      <x:c r="J191" s="142" t="str">
        <x:v>Exact details, if needed, are collected after account creation in packet completion.</x:v>
      </x:c>
      <x:c r="K191" s="142" t="str">
        <x:v>pathway_routing</x:v>
      </x:c>
      <x:c r="L191" s="142" t="str">
        <x:v>state_pathway_and_exclusion_rules</x:v>
      </x:c>
      <x:c r="M191" s="56" t="str">
        <x:v>https://github.com/Roger-LegalEase/legalease-partner-dashboard-clean/blob/2f0ef0403f16e57544ad0bc86b2d1b1cd08861b3/src/lib/rcap-engine/compiled/profiles/MD-maryland.json</x:v>
      </x:c>
    </x:row>
    <x:row r="192">
      <x:c r="A192" s="55" t="str">
        <x:v>Maryland</x:v>
      </x:c>
      <x:c r="B192" s="142" t="str">
        <x:v>MD</x:v>
      </x:c>
      <x:c r="C192" s="142" t="n">
        <x:v>5</x:v>
      </x:c>
      <x:c r="D192" s="142" t="str">
        <x:v>Route identification</x:v>
      </x:c>
      <x:c r="E192" s="142" t="str">
        <x:v>Do any of these Maryland descriptions sound close to your situation?</x:v>
      </x:c>
      <x:c r="F192" s="142" t="str">
        <x:v>single_choice</x:v>
      </x:c>
      <x:c r="G192" s="142" t="str">
        <x:v>Ask after scope, before route-specific questions</x:v>
      </x:c>
      <x:c r="H192" s="142" t="str">
        <x:v>Lets the participant select a likely remedy or “not sure”; selection prunes unrelated route-specific questions.</x:v>
      </x:c>
      <x:c r="I192" s="142" t="str">
        <x:v>All routes</x:v>
      </x:c>
      <x:c r="J192" s="142" t="str">
        <x:v>Exact details, if needed, are collected after account creation in packet completion.</x:v>
      </x:c>
      <x:c r="K192" s="142" t="str">
        <x:v>pathway_routing</x:v>
      </x:c>
      <x:c r="L192" s="142" t="str">
        <x:v>curated_state_pathway_catalog_from_reference</x:v>
      </x:c>
      <x:c r="M192" s="56" t="str">
        <x:v>https://github.com/Roger-LegalEase/legalease-partner-dashboard-clean/blob/2f0ef0403f16e57544ad0bc86b2d1b1cd08861b3/src/lib/rcap-engine/compiled/profiles/MD-maryland.json</x:v>
      </x:c>
    </x:row>
    <x:row r="193">
      <x:c r="A193" s="55" t="str">
        <x:v>Maryland</x:v>
      </x:c>
      <x:c r="B193" s="142" t="str">
        <x:v>MD</x:v>
      </x:c>
      <x:c r="C193" s="142" t="n">
        <x:v>6</x:v>
      </x:c>
      <x:c r="D193" s="142" t="str">
        <x:v>Route identification</x:v>
      </x:c>
      <x:c r="E193" s="142" t="str">
        <x:v>How old were you when the offense or case began?</x:v>
      </x:c>
      <x:c r="F193" s="142" t="str">
        <x:v>number_or_range</x:v>
      </x:c>
      <x:c r="G193" s="142" t="str">
        <x:v>Ask only when adult-versus-juvenile or youthful-offender treatment may change the route.</x:v>
      </x:c>
      <x:c r="H193" s="142" t="str">
        <x:v>Routes to juvenile/youthful-offender logic or keeps the adult route.</x:v>
      </x:c>
      <x:c r="I193" s="142" t="str">
        <x:v>Age-sensitive routes</x:v>
      </x:c>
      <x:c r="J193" s="142" t="str">
        <x:v>Exact details, if needed, are collected after account creation in packet completion.</x:v>
      </x:c>
      <x:c r="K193" s="142" t="str">
        <x:v>pathway_routing</x:v>
      </x:c>
      <x:c r="L193" s="142" t="str">
        <x:v>derived_from_state_rule_fields</x:v>
      </x:c>
      <x:c r="M193" s="56" t="str">
        <x:v>https://github.com/Roger-LegalEase/legalease-partner-dashboard-clean/blob/2f0ef0403f16e57544ad0bc86b2d1b1cd08861b3/src/lib/rcap-engine/compiled/profiles/MD-maryland.json</x:v>
      </x:c>
    </x:row>
    <x:row r="194">
      <x:c r="A194" s="55" t="str">
        <x:v>Maryland</x:v>
      </x:c>
      <x:c r="B194" s="142" t="str">
        <x:v>MD</x:v>
      </x:c>
      <x:c r="C194" s="142" t="n">
        <x:v>7</x:v>
      </x:c>
      <x:c r="D194" s="142" t="str">
        <x:v>State-specific eligibility</x:v>
      </x:c>
      <x:c r="E194" s="142" t="str">
        <x:v>Have you previously received record-clearing relief in Maryland or elsewhere?</x:v>
      </x:c>
      <x:c r="F194" s="142" t="str">
        <x:v>yes_no_unsure</x:v>
      </x:c>
      <x:c r="G194" s="142" t="str">
        <x:v>Ask only when prior use of relief affects the candidate route.</x:v>
      </x:c>
      <x:c r="H194" s="142" t="str">
        <x:v>Prior relief may limit the route, change the packet, or require review.</x:v>
      </x:c>
      <x:c r="I194" s="142" t="str">
        <x:v>Prior-relief-limited routes</x:v>
      </x:c>
      <x:c r="J194" s="142" t="str">
        <x:v>Exact details, if needed, are collected after account creation in packet completion.</x:v>
      </x:c>
      <x:c r="K194" s="142" t="str">
        <x:v>state_specific_eligibility</x:v>
      </x:c>
      <x:c r="L194" s="142" t="str">
        <x:v>derived_from_state_rule_fields</x:v>
      </x:c>
      <x:c r="M194" s="56" t="str">
        <x:v>https://github.com/Roger-LegalEase/legalease-partner-dashboard-clean/blob/2f0ef0403f16e57544ad0bc86b2d1b1cd08861b3/src/lib/rcap-engine/compiled/profiles/MD-maryland.json</x:v>
      </x:c>
    </x:row>
    <x:row r="195">
      <x:c r="A195" s="55" t="str">
        <x:v>Maryland</x:v>
      </x:c>
      <x:c r="B195" s="142" t="str">
        <x:v>MD</x:v>
      </x:c>
      <x:c r="C195" s="142" t="n">
        <x:v>8</x:v>
      </x:c>
      <x:c r="D195" s="142" t="str">
        <x:v>Special pathway</x:v>
      </x:c>
      <x:c r="E195" s="142" t="str">
        <x:v>Have you received a pardon, certificate of rehabilitation, or similar executive relief for this conviction?</x:v>
      </x:c>
      <x:c r="F195" s="142" t="str">
        <x:v>yes_no_unsure</x:v>
      </x:c>
      <x:c r="G195" s="142" t="str">
        <x:v>Ask only while a pardon or executive-relief route remains viable.</x:v>
      </x:c>
      <x:c r="H195" s="142" t="str">
        <x:v>Yes may open a pardon-based route; No preserves ordinary routes; Not sure defers proof.</x:v>
      </x:c>
      <x:c r="I195" s="142" t="str">
        <x:v>Pardon / executive-relief routes</x:v>
      </x:c>
      <x:c r="J195" s="142" t="str">
        <x:v>Exact details, if needed, are collected after account creation in packet completion.</x:v>
      </x:c>
      <x:c r="K195" s="142" t="str">
        <x:v>special_pathways</x:v>
      </x:c>
      <x:c r="L195" s="142" t="str">
        <x:v>derived_from_state_rule_fields</x:v>
      </x:c>
      <x:c r="M195" s="56" t="str">
        <x:v>https://github.com/Roger-LegalEase/legalease-partner-dashboard-clean/blob/2f0ef0403f16e57544ad0bc86b2d1b1cd08861b3/src/lib/rcap-engine/compiled/profiles/MD-maryland.json</x:v>
      </x:c>
    </x:row>
    <x:row r="196">
      <x:c r="A196" s="55" t="str">
        <x:v>Maryland</x:v>
      </x:c>
      <x:c r="B196" s="142" t="str">
        <x:v>MD</x:v>
      </x:c>
      <x:c r="C196" s="142" t="n">
        <x:v>9</x:v>
      </x:c>
      <x:c r="D196" s="142" t="str">
        <x:v>Timing / completion</x:v>
      </x:c>
      <x:c r="E196" s="142" t="str">
        <x:v>Do you currently have any pending criminal charge, open case, probation, parole, or other supervision?</x:v>
      </x:c>
      <x:c r="F196" s="142" t="str">
        <x:v>yes_no_unsure</x:v>
      </x:c>
      <x:c r="G196" s="142" t="str">
        <x:v>Ask only when pending cases or active supervision can block the candidate route.</x:v>
      </x:c>
      <x:c r="H196" s="142" t="str">
        <x:v>Pending/open matter may produce not-yet, review, or a different route.</x:v>
      </x:c>
      <x:c r="I196" s="142" t="str">
        <x:v>Pending-case-sensitive routes</x:v>
      </x:c>
      <x:c r="J196" s="142" t="str">
        <x:v>Exact details, if needed, are collected after account creation in packet completion.</x:v>
      </x:c>
      <x:c r="K196" s="142" t="str">
        <x:v>timing_and_completion</x:v>
      </x:c>
      <x:c r="L196" s="142" t="str">
        <x:v>derived_from_state_rule_fields</x:v>
      </x:c>
      <x:c r="M196" s="56" t="str">
        <x:v>https://github.com/Roger-LegalEase/legalease-partner-dashboard-clean/blob/2f0ef0403f16e57544ad0bc86b2d1b1cd08861b3/src/lib/rcap-engine/compiled/profiles/MD-maryland.json</x:v>
      </x:c>
    </x:row>
    <x:row r="197">
      <x:c r="A197" s="55" t="str">
        <x:v>Maryland</x:v>
      </x:c>
      <x:c r="B197" s="142" t="str">
        <x:v>MD</x:v>
      </x:c>
      <x:c r="C197" s="142" t="n">
        <x:v>10</x:v>
      </x:c>
      <x:c r="D197" s="142" t="str">
        <x:v>Timing / completion</x:v>
      </x:c>
      <x:c r="E197" s="142" t="str">
        <x:v>Have you completed everything the court ordered in this case?</x:v>
      </x:c>
      <x:c r="F197" s="142" t="str">
        <x:v>single_choice</x:v>
      </x:c>
      <x:c r="G197" s="142" t="str">
        <x:v>Ask only when a viable route depends on sentence, supervision, program, restitution, or financial completion.</x:v>
      </x:c>
      <x:c r="H197" s="142" t="str">
        <x:v>No → usually not yet or needs more information; Yes → continue; Not sure → defer exact proof.</x:v>
      </x:c>
      <x:c r="I197" s="142" t="str">
        <x:v>Completion-dependent routes</x:v>
      </x:c>
      <x:c r="J197" s="142" t="str">
        <x:v>Exact details, if needed, are collected after account creation in packet completion.</x:v>
      </x:c>
      <x:c r="K197" s="142" t="str">
        <x:v>timing_and_completion</x:v>
      </x:c>
      <x:c r="L197" s="142" t="str">
        <x:v>normalized_free_check</x:v>
      </x:c>
      <x:c r="M197" s="56" t="str">
        <x:v>https://github.com/Roger-LegalEase/legalease-partner-dashboard-clean/blob/2f0ef0403f16e57544ad0bc86b2d1b1cd08861b3/src/lib/rcap-engine/compiled/profiles/MD-maryland.json</x:v>
      </x:c>
    </x:row>
    <x:row r="198">
      <x:c r="A198" s="55" t="str">
        <x:v>Maryland</x:v>
      </x:c>
      <x:c r="B198" s="142" t="str">
        <x:v>MD</x:v>
      </x:c>
      <x:c r="C198" s="142" t="n">
        <x:v>11</x:v>
      </x:c>
      <x:c r="D198" s="142" t="str">
        <x:v>Timing / completion</x:v>
      </x:c>
      <x:c r="E198" s="142" t="str">
        <x:v>About how long ago did this case end or get resolved?</x:v>
      </x:c>
      <x:c r="F198" s="142" t="str">
        <x:v>single_choice</x:v>
      </x:c>
      <x:c r="G198" s="142" t="str">
        <x:v>Ask only when at least one viable route has a waiting period.</x:v>
      </x:c>
      <x:c r="H198" s="142" t="str">
        <x:v>Uses an approximate band for a preliminary result; exact dates are collected later.</x:v>
      </x:c>
      <x:c r="I198" s="142" t="str">
        <x:v>Timing-dependent routes</x:v>
      </x:c>
      <x:c r="J198" s="142" t="str">
        <x:v>Exact details, if needed, are collected after account creation in packet completion.</x:v>
      </x:c>
      <x:c r="K198" s="142" t="str">
        <x:v>timing_and_completion</x:v>
      </x:c>
      <x:c r="L198" s="142" t="str">
        <x:v>normalized_free_check</x:v>
      </x:c>
      <x:c r="M198" s="56" t="str">
        <x:v>https://github.com/Roger-LegalEase/legalease-partner-dashboard-clean/blob/2f0ef0403f16e57544ad0bc86b2d1b1cd08861b3/src/lib/rcap-engine/compiled/profiles/MD-maryland.json</x:v>
      </x:c>
    </x:row>
    <x:row r="199">
      <x:c r="A199" s="55" t="str">
        <x:v>Maryland</x:v>
      </x:c>
      <x:c r="B199" s="142" t="str">
        <x:v>MD</x:v>
      </x:c>
      <x:c r="C199" s="142" t="n">
        <x:v>12</x:v>
      </x:c>
      <x:c r="D199" s="142" t="str">
        <x:v>Exclusions / review</x:v>
      </x:c>
      <x:c r="E199" s="142" t="str">
        <x:v>Does the record involve any Maryland category that the source identifies as excluded or review-required?</x:v>
      </x:c>
      <x:c r="F199" s="142" t="str">
        <x:v>multi_select</x:v>
      </x:c>
      <x:c r="G199" s="142" t="str">
        <x:v>Ask after the route is narrowed; show only categories relevant to the remaining route.</x:v>
      </x:c>
      <x:c r="H199" s="142" t="str">
        <x:v>Matching category → hard stop or review; none → continue.</x:v>
      </x:c>
      <x:c r="I199" s="142" t="str">
        <x:v>Route-specific exclusions</x:v>
      </x:c>
      <x:c r="J199" s="142" t="str">
        <x:v>Exact details, if needed, are collected after account creation in packet completion.</x:v>
      </x:c>
      <x:c r="K199" s="142" t="str">
        <x:v>exclusion_screen</x:v>
      </x:c>
      <x:c r="L199" s="142" t="str">
        <x:v>state_exclusion_section</x:v>
      </x:c>
      <x:c r="M199" s="56" t="str">
        <x:v>https://github.com/Roger-LegalEase/legalease-partner-dashboard-clean/blob/2f0ef0403f16e57544ad0bc86b2d1b1cd08861b3/src/lib/rcap-engine/compiled/profiles/MD-maryland.json</x:v>
      </x:c>
    </x:row>
    <x:row r="200">
      <x:c r="A200" s="55" t="str">
        <x:v>Maine</x:v>
      </x:c>
      <x:c r="B200" s="142" t="str">
        <x:v>ME</x:v>
      </x:c>
      <x:c r="C200" s="142" t="n">
        <x:v>1</x:v>
      </x:c>
      <x:c r="D200" s="142" t="str">
        <x:v>Scope</x:v>
      </x:c>
      <x:c r="E200" s="142" t="str">
        <x:v>Are you asking about your own record?</x:v>
      </x:c>
      <x:c r="F200" s="142" t="str">
        <x:v>single_choice</x:v>
      </x:c>
      <x:c r="G200" s="142" t="str">
        <x:v>Ask in every free check</x:v>
      </x:c>
      <x:c r="H200" s="142" t="str">
        <x:v>No → stop or redirect; Yes → continue.</x:v>
      </x:c>
      <x:c r="I200" s="142" t="str">
        <x:v>All routes</x:v>
      </x:c>
      <x:c r="J200" s="142" t="str">
        <x:v>Exact details, if needed, are collected after account creation in packet completion.</x:v>
      </x:c>
      <x:c r="K200" s="142" t="str">
        <x:v>scope</x:v>
      </x:c>
      <x:c r="L200" s="142" t="str">
        <x:v>shared_scope_boundary</x:v>
      </x:c>
      <x:c r="M200" s="56" t="str">
        <x:v>https://github.com/Roger-LegalEase/legalease-partner-dashboard-clean/blob/2f0ef0403f16e57544ad0bc86b2d1b1cd08861b3/src/lib/rcap-engine/compiled/profiles/ME-maine.json</x:v>
      </x:c>
    </x:row>
    <x:row r="201">
      <x:c r="A201" s="55" t="str">
        <x:v>Maine</x:v>
      </x:c>
      <x:c r="B201" s="142" t="str">
        <x:v>ME</x:v>
      </x:c>
      <x:c r="C201" s="142" t="n">
        <x:v>2</x:v>
      </x:c>
      <x:c r="D201" s="142" t="str">
        <x:v>Scope</x:v>
      </x:c>
      <x:c r="E201" s="142" t="str">
        <x:v>Is this a state or local matter from Maine, rather than a federal matter?</x:v>
      </x:c>
      <x:c r="F201" s="142" t="str">
        <x:v>single_choice</x:v>
      </x:c>
      <x:c r="G201" s="142" t="str">
        <x:v>Ask in every free check</x:v>
      </x:c>
      <x:c r="H201" s="142" t="str">
        <x:v>Federal or wrong-state matter → outside this state flow; state/local matter → continue.</x:v>
      </x:c>
      <x:c r="I201" s="142" t="str">
        <x:v>All routes</x:v>
      </x:c>
      <x:c r="J201" s="142" t="str">
        <x:v>Exact details, if needed, are collected after account creation in packet completion.</x:v>
      </x:c>
      <x:c r="K201" s="142" t="str">
        <x:v>scope</x:v>
      </x:c>
      <x:c r="L201" s="142" t="str">
        <x:v>shared_scope_boundary</x:v>
      </x:c>
      <x:c r="M201" s="56" t="str">
        <x:v>https://github.com/Roger-LegalEase/legalease-partner-dashboard-clean/blob/2f0ef0403f16e57544ad0bc86b2d1b1cd08861b3/src/lib/rcap-engine/compiled/profiles/ME-maine.json</x:v>
      </x:c>
    </x:row>
    <x:row r="202">
      <x:c r="A202" s="55" t="str">
        <x:v>Maine</x:v>
      </x:c>
      <x:c r="B202" s="142" t="str">
        <x:v>ME</x:v>
      </x:c>
      <x:c r="C202" s="142" t="n">
        <x:v>3</x:v>
      </x:c>
      <x:c r="D202" s="142" t="str">
        <x:v>Route identification</x:v>
      </x:c>
      <x:c r="E202" s="142" t="str">
        <x:v>How did the Maine case or record end?</x:v>
      </x:c>
      <x:c r="F202" s="142" t="str">
        <x:v>single_choice</x:v>
      </x:c>
      <x:c r="G202" s="142" t="str">
        <x:v>Ask after scope, before route-specific questions</x:v>
      </x:c>
      <x:c r="H202" s="142" t="str">
        <x:v>Splits nonconviction, conviction, diversion/deferred, juvenile, automatic, pardon, correction, and other route families.</x:v>
      </x:c>
      <x:c r="I202" s="142" t="str">
        <x:v>All routes</x:v>
      </x:c>
      <x:c r="J202" s="142" t="str">
        <x:v>Exact details, if needed, are collected after account creation in packet completion.</x:v>
      </x:c>
      <x:c r="K202" s="142" t="str">
        <x:v>pathway_routing</x:v>
      </x:c>
      <x:c r="L202" s="142" t="str">
        <x:v>state_case_outcome_rules</x:v>
      </x:c>
      <x:c r="M202" s="56" t="str">
        <x:v>https://github.com/Roger-LegalEase/legalease-partner-dashboard-clean/blob/2f0ef0403f16e57544ad0bc86b2d1b1cd08861b3/src/lib/rcap-engine/compiled/profiles/ME-maine.json</x:v>
      </x:c>
    </x:row>
    <x:row r="203">
      <x:c r="A203" s="55" t="str">
        <x:v>Maine</x:v>
      </x:c>
      <x:c r="B203" s="142" t="str">
        <x:v>ME</x:v>
      </x:c>
      <x:c r="C203" s="142" t="n">
        <x:v>4</x:v>
      </x:c>
      <x:c r="D203" s="142" t="str">
        <x:v>Route identification</x:v>
      </x:c>
      <x:c r="E203" s="142" t="str">
        <x:v>What level or type was the charge?</x:v>
      </x:c>
      <x:c r="F203" s="142" t="str">
        <x:v>single_choice</x:v>
      </x:c>
      <x:c r="G203" s="142" t="str">
        <x:v>Ask after scope, before route-specific questions</x:v>
      </x:c>
      <x:c r="H203" s="142" t="str">
        <x:v>Narrows offense-level routes, waiting-period bands, and obvious exclusions.</x:v>
      </x:c>
      <x:c r="I203" s="142" t="str">
        <x:v>All routes</x:v>
      </x:c>
      <x:c r="J203" s="142" t="str">
        <x:v>Exact details, if needed, are collected after account creation in packet completion.</x:v>
      </x:c>
      <x:c r="K203" s="142" t="str">
        <x:v>pathway_routing</x:v>
      </x:c>
      <x:c r="L203" s="142" t="str">
        <x:v>state_pathway_and_exclusion_rules</x:v>
      </x:c>
      <x:c r="M203" s="56" t="str">
        <x:v>https://github.com/Roger-LegalEase/legalease-partner-dashboard-clean/blob/2f0ef0403f16e57544ad0bc86b2d1b1cd08861b3/src/lib/rcap-engine/compiled/profiles/ME-maine.json</x:v>
      </x:c>
    </x:row>
    <x:row r="204">
      <x:c r="A204" s="55" t="str">
        <x:v>Maine</x:v>
      </x:c>
      <x:c r="B204" s="142" t="str">
        <x:v>ME</x:v>
      </x:c>
      <x:c r="C204" s="142" t="n">
        <x:v>5</x:v>
      </x:c>
      <x:c r="D204" s="142" t="str">
        <x:v>Route identification</x:v>
      </x:c>
      <x:c r="E204" s="142" t="str">
        <x:v>Do any of these Maine descriptions sound close to your situation?</x:v>
      </x:c>
      <x:c r="F204" s="142" t="str">
        <x:v>single_choice</x:v>
      </x:c>
      <x:c r="G204" s="142" t="str">
        <x:v>Ask after scope, before route-specific questions</x:v>
      </x:c>
      <x:c r="H204" s="142" t="str">
        <x:v>Lets the participant select a likely remedy or “not sure”; selection prunes unrelated route-specific questions.</x:v>
      </x:c>
      <x:c r="I204" s="142" t="str">
        <x:v>All routes</x:v>
      </x:c>
      <x:c r="J204" s="142" t="str">
        <x:v>Exact details, if needed, are collected after account creation in packet completion.</x:v>
      </x:c>
      <x:c r="K204" s="142" t="str">
        <x:v>pathway_routing</x:v>
      </x:c>
      <x:c r="L204" s="142" t="str">
        <x:v>curated_state_pathway_catalog_from_reference</x:v>
      </x:c>
      <x:c r="M204" s="56" t="str">
        <x:v>https://github.com/Roger-LegalEase/legalease-partner-dashboard-clean/blob/2f0ef0403f16e57544ad0bc86b2d1b1cd08861b3/src/lib/rcap-engine/compiled/profiles/ME-maine.json</x:v>
      </x:c>
    </x:row>
    <x:row r="205">
      <x:c r="A205" s="55" t="str">
        <x:v>Maine</x:v>
      </x:c>
      <x:c r="B205" s="142" t="str">
        <x:v>ME</x:v>
      </x:c>
      <x:c r="C205" s="142" t="n">
        <x:v>6</x:v>
      </x:c>
      <x:c r="D205" s="142" t="str">
        <x:v>Route identification</x:v>
      </x:c>
      <x:c r="E205" s="142" t="str">
        <x:v>How old were you when the offense or case began?</x:v>
      </x:c>
      <x:c r="F205" s="142" t="str">
        <x:v>number_or_range</x:v>
      </x:c>
      <x:c r="G205" s="142" t="str">
        <x:v>Ask only when adult-versus-juvenile or youthful-offender treatment may change the route.</x:v>
      </x:c>
      <x:c r="H205" s="142" t="str">
        <x:v>Routes to juvenile/youthful-offender logic or keeps the adult route.</x:v>
      </x:c>
      <x:c r="I205" s="142" t="str">
        <x:v>Age-sensitive routes</x:v>
      </x:c>
      <x:c r="J205" s="142" t="str">
        <x:v>Exact details, if needed, are collected after account creation in packet completion.</x:v>
      </x:c>
      <x:c r="K205" s="142" t="str">
        <x:v>pathway_routing</x:v>
      </x:c>
      <x:c r="L205" s="142" t="str">
        <x:v>derived_from_state_rule_fields</x:v>
      </x:c>
      <x:c r="M205" s="56" t="str">
        <x:v>https://github.com/Roger-LegalEase/legalease-partner-dashboard-clean/blob/2f0ef0403f16e57544ad0bc86b2d1b1cd08861b3/src/lib/rcap-engine/compiled/profiles/ME-maine.json</x:v>
      </x:c>
    </x:row>
    <x:row r="206">
      <x:c r="A206" s="55" t="str">
        <x:v>Maine</x:v>
      </x:c>
      <x:c r="B206" s="142" t="str">
        <x:v>ME</x:v>
      </x:c>
      <x:c r="C206" s="142" t="n">
        <x:v>7</x:v>
      </x:c>
      <x:c r="D206" s="142" t="str">
        <x:v>Special pathway</x:v>
      </x:c>
      <x:c r="E206" s="142" t="str">
        <x:v>Was this offense connected to your status as a human-trafficking or sex-trafficking survivor?</x:v>
      </x:c>
      <x:c r="F206" s="142" t="str">
        <x:v>yes_no_prefer_not_to_say</x:v>
      </x:c>
      <x:c r="G206" s="142" t="str">
        <x:v>Ask only while trafficking-survivor relief remains viable; allow “prefer not to say.”</x:v>
      </x:c>
      <x:c r="H206" s="142" t="str">
        <x:v>May open vacatur/expungement or review treatment.</x:v>
      </x:c>
      <x:c r="I206" s="142" t="str">
        <x:v>Trafficking-survivor routes</x:v>
      </x:c>
      <x:c r="J206" s="142" t="str">
        <x:v>Exact details, if needed, are collected after account creation in packet completion.</x:v>
      </x:c>
      <x:c r="K206" s="142" t="str">
        <x:v>special_pathways</x:v>
      </x:c>
      <x:c r="L206" s="142" t="str">
        <x:v>derived_from_state_rule_fields</x:v>
      </x:c>
      <x:c r="M206" s="56" t="str">
        <x:v>https://github.com/Roger-LegalEase/legalease-partner-dashboard-clean/blob/2f0ef0403f16e57544ad0bc86b2d1b1cd08861b3/src/lib/rcap-engine/compiled/profiles/ME-maine.json</x:v>
      </x:c>
    </x:row>
    <x:row r="207">
      <x:c r="A207" s="55" t="str">
        <x:v>Maine</x:v>
      </x:c>
      <x:c r="B207" s="142" t="str">
        <x:v>ME</x:v>
      </x:c>
      <x:c r="C207" s="142" t="n">
        <x:v>8</x:v>
      </x:c>
      <x:c r="D207" s="142" t="str">
        <x:v>Special pathway</x:v>
      </x:c>
      <x:c r="E207" s="142" t="str">
        <x:v>Have you received a pardon, certificate of rehabilitation, or similar executive relief for this conviction?</x:v>
      </x:c>
      <x:c r="F207" s="142" t="str">
        <x:v>yes_no_unsure</x:v>
      </x:c>
      <x:c r="G207" s="142" t="str">
        <x:v>Ask only while a pardon or executive-relief route remains viable.</x:v>
      </x:c>
      <x:c r="H207" s="142" t="str">
        <x:v>Yes may open a pardon-based route; No preserves ordinary routes; Not sure defers proof.</x:v>
      </x:c>
      <x:c r="I207" s="142" t="str">
        <x:v>Pardon / executive-relief routes</x:v>
      </x:c>
      <x:c r="J207" s="142" t="str">
        <x:v>Exact details, if needed, are collected after account creation in packet completion.</x:v>
      </x:c>
      <x:c r="K207" s="142" t="str">
        <x:v>special_pathways</x:v>
      </x:c>
      <x:c r="L207" s="142" t="str">
        <x:v>derived_from_state_rule_fields</x:v>
      </x:c>
      <x:c r="M207" s="56" t="str">
        <x:v>https://github.com/Roger-LegalEase/legalease-partner-dashboard-clean/blob/2f0ef0403f16e57544ad0bc86b2d1b1cd08861b3/src/lib/rcap-engine/compiled/profiles/ME-maine.json</x:v>
      </x:c>
    </x:row>
    <x:row r="208">
      <x:c r="A208" s="55" t="str">
        <x:v>Maine</x:v>
      </x:c>
      <x:c r="B208" s="142" t="str">
        <x:v>ME</x:v>
      </x:c>
      <x:c r="C208" s="142" t="n">
        <x:v>9</x:v>
      </x:c>
      <x:c r="D208" s="142" t="str">
        <x:v>Timing / completion</x:v>
      </x:c>
      <x:c r="E208" s="142" t="str">
        <x:v>Do you currently have any pending criminal charge, open case, probation, parole, or other supervision?</x:v>
      </x:c>
      <x:c r="F208" s="142" t="str">
        <x:v>yes_no_unsure</x:v>
      </x:c>
      <x:c r="G208" s="142" t="str">
        <x:v>Ask only when pending cases or active supervision can block the candidate route.</x:v>
      </x:c>
      <x:c r="H208" s="142" t="str">
        <x:v>Pending/open matter may produce not-yet, review, or a different route.</x:v>
      </x:c>
      <x:c r="I208" s="142" t="str">
        <x:v>Pending-case-sensitive routes</x:v>
      </x:c>
      <x:c r="J208" s="142" t="str">
        <x:v>Exact details, if needed, are collected after account creation in packet completion.</x:v>
      </x:c>
      <x:c r="K208" s="142" t="str">
        <x:v>timing_and_completion</x:v>
      </x:c>
      <x:c r="L208" s="142" t="str">
        <x:v>derived_from_state_rule_fields</x:v>
      </x:c>
      <x:c r="M208" s="56" t="str">
        <x:v>https://github.com/Roger-LegalEase/legalease-partner-dashboard-clean/blob/2f0ef0403f16e57544ad0bc86b2d1b1cd08861b3/src/lib/rcap-engine/compiled/profiles/ME-maine.json</x:v>
      </x:c>
    </x:row>
    <x:row r="209">
      <x:c r="A209" s="55" t="str">
        <x:v>Maine</x:v>
      </x:c>
      <x:c r="B209" s="142" t="str">
        <x:v>ME</x:v>
      </x:c>
      <x:c r="C209" s="142" t="n">
        <x:v>10</x:v>
      </x:c>
      <x:c r="D209" s="142" t="str">
        <x:v>Timing / completion</x:v>
      </x:c>
      <x:c r="E209" s="142" t="str">
        <x:v>Have you completed everything the court ordered in this case?</x:v>
      </x:c>
      <x:c r="F209" s="142" t="str">
        <x:v>single_choice</x:v>
      </x:c>
      <x:c r="G209" s="142" t="str">
        <x:v>Ask only when a viable route depends on sentence, supervision, program, restitution, or financial completion.</x:v>
      </x:c>
      <x:c r="H209" s="142" t="str">
        <x:v>No → usually not yet or needs more information; Yes → continue; Not sure → defer exact proof.</x:v>
      </x:c>
      <x:c r="I209" s="142" t="str">
        <x:v>Completion-dependent routes</x:v>
      </x:c>
      <x:c r="J209" s="142" t="str">
        <x:v>Exact details, if needed, are collected after account creation in packet completion.</x:v>
      </x:c>
      <x:c r="K209" s="142" t="str">
        <x:v>timing_and_completion</x:v>
      </x:c>
      <x:c r="L209" s="142" t="str">
        <x:v>normalized_free_check</x:v>
      </x:c>
      <x:c r="M209" s="56" t="str">
        <x:v>https://github.com/Roger-LegalEase/legalease-partner-dashboard-clean/blob/2f0ef0403f16e57544ad0bc86b2d1b1cd08861b3/src/lib/rcap-engine/compiled/profiles/ME-maine.json</x:v>
      </x:c>
    </x:row>
    <x:row r="210">
      <x:c r="A210" s="55" t="str">
        <x:v>Maine</x:v>
      </x:c>
      <x:c r="B210" s="142" t="str">
        <x:v>ME</x:v>
      </x:c>
      <x:c r="C210" s="142" t="n">
        <x:v>11</x:v>
      </x:c>
      <x:c r="D210" s="142" t="str">
        <x:v>Timing / completion</x:v>
      </x:c>
      <x:c r="E210" s="142" t="str">
        <x:v>About how long ago did this case end or get resolved?</x:v>
      </x:c>
      <x:c r="F210" s="142" t="str">
        <x:v>single_choice</x:v>
      </x:c>
      <x:c r="G210" s="142" t="str">
        <x:v>Ask only when at least one viable route has a waiting period.</x:v>
      </x:c>
      <x:c r="H210" s="142" t="str">
        <x:v>Uses an approximate band for a preliminary result; exact dates are collected later.</x:v>
      </x:c>
      <x:c r="I210" s="142" t="str">
        <x:v>Timing-dependent routes</x:v>
      </x:c>
      <x:c r="J210" s="142" t="str">
        <x:v>Exact details, if needed, are collected after account creation in packet completion.</x:v>
      </x:c>
      <x:c r="K210" s="142" t="str">
        <x:v>timing_and_completion</x:v>
      </x:c>
      <x:c r="L210" s="142" t="str">
        <x:v>normalized_free_check</x:v>
      </x:c>
      <x:c r="M210" s="56" t="str">
        <x:v>https://github.com/Roger-LegalEase/legalease-partner-dashboard-clean/blob/2f0ef0403f16e57544ad0bc86b2d1b1cd08861b3/src/lib/rcap-engine/compiled/profiles/ME-maine.json</x:v>
      </x:c>
    </x:row>
    <x:row r="211">
      <x:c r="A211" s="55" t="str">
        <x:v>Michigan</x:v>
      </x:c>
      <x:c r="B211" s="142" t="str">
        <x:v>MI</x:v>
      </x:c>
      <x:c r="C211" s="142" t="n">
        <x:v>1</x:v>
      </x:c>
      <x:c r="D211" s="142" t="str">
        <x:v>Scope</x:v>
      </x:c>
      <x:c r="E211" s="142" t="str">
        <x:v>Are you asking about your own record?</x:v>
      </x:c>
      <x:c r="F211" s="142" t="str">
        <x:v>single_choice</x:v>
      </x:c>
      <x:c r="G211" s="142" t="str">
        <x:v>Ask in every free check</x:v>
      </x:c>
      <x:c r="H211" s="142" t="str">
        <x:v>No → stop or redirect; Yes → continue.</x:v>
      </x:c>
      <x:c r="I211" s="142" t="str">
        <x:v>All routes</x:v>
      </x:c>
      <x:c r="J211" s="142" t="str">
        <x:v>Exact details, if needed, are collected after account creation in packet completion.</x:v>
      </x:c>
      <x:c r="K211" s="142" t="str">
        <x:v>scope</x:v>
      </x:c>
      <x:c r="L211" s="142" t="str">
        <x:v>shared_scope_boundary</x:v>
      </x:c>
      <x:c r="M211" s="56" t="str">
        <x:v>https://github.com/Roger-LegalEase/legalease-partner-dashboard-clean/blob/2f0ef0403f16e57544ad0bc86b2d1b1cd08861b3/src/lib/rcap-engine/compiled/profiles/MI-michigan.json</x:v>
      </x:c>
    </x:row>
    <x:row r="212">
      <x:c r="A212" s="55" t="str">
        <x:v>Michigan</x:v>
      </x:c>
      <x:c r="B212" s="142" t="str">
        <x:v>MI</x:v>
      </x:c>
      <x:c r="C212" s="142" t="n">
        <x:v>2</x:v>
      </x:c>
      <x:c r="D212" s="142" t="str">
        <x:v>Scope</x:v>
      </x:c>
      <x:c r="E212" s="142" t="str">
        <x:v>Is this a state or local matter from Michigan, rather than a federal matter?</x:v>
      </x:c>
      <x:c r="F212" s="142" t="str">
        <x:v>single_choice</x:v>
      </x:c>
      <x:c r="G212" s="142" t="str">
        <x:v>Ask in every free check</x:v>
      </x:c>
      <x:c r="H212" s="142" t="str">
        <x:v>Federal or wrong-state matter → outside this state flow; state/local matter → continue.</x:v>
      </x:c>
      <x:c r="I212" s="142" t="str">
        <x:v>All routes</x:v>
      </x:c>
      <x:c r="J212" s="142" t="str">
        <x:v>Exact details, if needed, are collected after account creation in packet completion.</x:v>
      </x:c>
      <x:c r="K212" s="142" t="str">
        <x:v>scope</x:v>
      </x:c>
      <x:c r="L212" s="142" t="str">
        <x:v>shared_scope_boundary</x:v>
      </x:c>
      <x:c r="M212" s="56" t="str">
        <x:v>https://github.com/Roger-LegalEase/legalease-partner-dashboard-clean/blob/2f0ef0403f16e57544ad0bc86b2d1b1cd08861b3/src/lib/rcap-engine/compiled/profiles/MI-michigan.json</x:v>
      </x:c>
    </x:row>
    <x:row r="213">
      <x:c r="A213" s="55" t="str">
        <x:v>Michigan</x:v>
      </x:c>
      <x:c r="B213" s="142" t="str">
        <x:v>MI</x:v>
      </x:c>
      <x:c r="C213" s="142" t="n">
        <x:v>3</x:v>
      </x:c>
      <x:c r="D213" s="142" t="str">
        <x:v>Route identification</x:v>
      </x:c>
      <x:c r="E213" s="142" t="str">
        <x:v>How did the Michigan case or record end?</x:v>
      </x:c>
      <x:c r="F213" s="142" t="str">
        <x:v>single_choice</x:v>
      </x:c>
      <x:c r="G213" s="142" t="str">
        <x:v>Ask after scope, before route-specific questions</x:v>
      </x:c>
      <x:c r="H213" s="142" t="str">
        <x:v>Splits nonconviction, conviction, diversion/deferred, juvenile, automatic, pardon, correction, and other route families.</x:v>
      </x:c>
      <x:c r="I213" s="142" t="str">
        <x:v>All routes</x:v>
      </x:c>
      <x:c r="J213" s="142" t="str">
        <x:v>Exact details, if needed, are collected after account creation in packet completion.</x:v>
      </x:c>
      <x:c r="K213" s="142" t="str">
        <x:v>pathway_routing</x:v>
      </x:c>
      <x:c r="L213" s="142" t="str">
        <x:v>state_case_outcome_rules</x:v>
      </x:c>
      <x:c r="M213" s="56" t="str">
        <x:v>https://github.com/Roger-LegalEase/legalease-partner-dashboard-clean/blob/2f0ef0403f16e57544ad0bc86b2d1b1cd08861b3/src/lib/rcap-engine/compiled/profiles/MI-michigan.json</x:v>
      </x:c>
    </x:row>
    <x:row r="214">
      <x:c r="A214" s="55" t="str">
        <x:v>Michigan</x:v>
      </x:c>
      <x:c r="B214" s="142" t="str">
        <x:v>MI</x:v>
      </x:c>
      <x:c r="C214" s="142" t="n">
        <x:v>4</x:v>
      </x:c>
      <x:c r="D214" s="142" t="str">
        <x:v>Route identification</x:v>
      </x:c>
      <x:c r="E214" s="142" t="str">
        <x:v>What level or type was the charge?</x:v>
      </x:c>
      <x:c r="F214" s="142" t="str">
        <x:v>single_choice</x:v>
      </x:c>
      <x:c r="G214" s="142" t="str">
        <x:v>Ask after scope, before route-specific questions</x:v>
      </x:c>
      <x:c r="H214" s="142" t="str">
        <x:v>Narrows offense-level routes, waiting-period bands, and obvious exclusions.</x:v>
      </x:c>
      <x:c r="I214" s="142" t="str">
        <x:v>All routes</x:v>
      </x:c>
      <x:c r="J214" s="142" t="str">
        <x:v>Exact details, if needed, are collected after account creation in packet completion.</x:v>
      </x:c>
      <x:c r="K214" s="142" t="str">
        <x:v>pathway_routing</x:v>
      </x:c>
      <x:c r="L214" s="142" t="str">
        <x:v>state_pathway_and_exclusion_rules</x:v>
      </x:c>
      <x:c r="M214" s="56" t="str">
        <x:v>https://github.com/Roger-LegalEase/legalease-partner-dashboard-clean/blob/2f0ef0403f16e57544ad0bc86b2d1b1cd08861b3/src/lib/rcap-engine/compiled/profiles/MI-michigan.json</x:v>
      </x:c>
    </x:row>
    <x:row r="215">
      <x:c r="A215" s="55" t="str">
        <x:v>Michigan</x:v>
      </x:c>
      <x:c r="B215" s="142" t="str">
        <x:v>MI</x:v>
      </x:c>
      <x:c r="C215" s="142" t="n">
        <x:v>5</x:v>
      </x:c>
      <x:c r="D215" s="142" t="str">
        <x:v>Route identification</x:v>
      </x:c>
      <x:c r="E215" s="142" t="str">
        <x:v>Do any of these Michigan descriptions sound close to your situation?</x:v>
      </x:c>
      <x:c r="F215" s="142" t="str">
        <x:v>single_choice</x:v>
      </x:c>
      <x:c r="G215" s="142" t="str">
        <x:v>Ask after scope, before route-specific questions</x:v>
      </x:c>
      <x:c r="H215" s="142" t="str">
        <x:v>Lets the participant select a likely remedy or “not sure”; selection prunes unrelated route-specific questions.</x:v>
      </x:c>
      <x:c r="I215" s="142" t="str">
        <x:v>All routes</x:v>
      </x:c>
      <x:c r="J215" s="142" t="str">
        <x:v>Exact details, if needed, are collected after account creation in packet completion.</x:v>
      </x:c>
      <x:c r="K215" s="142" t="str">
        <x:v>pathway_routing</x:v>
      </x:c>
      <x:c r="L215" s="142" t="str">
        <x:v>curated_state_pathway_catalog_from_reference</x:v>
      </x:c>
      <x:c r="M215" s="56" t="str">
        <x:v>https://github.com/Roger-LegalEase/legalease-partner-dashboard-clean/blob/2f0ef0403f16e57544ad0bc86b2d1b1cd08861b3/src/lib/rcap-engine/compiled/profiles/MI-michigan.json</x:v>
      </x:c>
    </x:row>
    <x:row r="216">
      <x:c r="A216" s="55" t="str">
        <x:v>Michigan</x:v>
      </x:c>
      <x:c r="B216" s="142" t="str">
        <x:v>MI</x:v>
      </x:c>
      <x:c r="C216" s="142" t="n">
        <x:v>6</x:v>
      </x:c>
      <x:c r="D216" s="142" t="str">
        <x:v>State-specific eligibility</x:v>
      </x:c>
      <x:c r="E216" s="142" t="str">
        <x:v>Have you previously received record-clearing relief in Michigan or elsewhere?</x:v>
      </x:c>
      <x:c r="F216" s="142" t="str">
        <x:v>yes_no_unsure</x:v>
      </x:c>
      <x:c r="G216" s="142" t="str">
        <x:v>Ask only when prior use of relief affects the candidate route.</x:v>
      </x:c>
      <x:c r="H216" s="142" t="str">
        <x:v>Prior relief may limit the route, change the packet, or require review.</x:v>
      </x:c>
      <x:c r="I216" s="142" t="str">
        <x:v>Prior-relief-limited routes</x:v>
      </x:c>
      <x:c r="J216" s="142" t="str">
        <x:v>Exact details, if needed, are collected after account creation in packet completion.</x:v>
      </x:c>
      <x:c r="K216" s="142" t="str">
        <x:v>state_specific_eligibility</x:v>
      </x:c>
      <x:c r="L216" s="142" t="str">
        <x:v>derived_from_state_rule_fields</x:v>
      </x:c>
      <x:c r="M216" s="56" t="str">
        <x:v>https://github.com/Roger-LegalEase/legalease-partner-dashboard-clean/blob/2f0ef0403f16e57544ad0bc86b2d1b1cd08861b3/src/lib/rcap-engine/compiled/profiles/MI-michigan.json</x:v>
      </x:c>
    </x:row>
    <x:row r="217">
      <x:c r="A217" s="55" t="str">
        <x:v>Michigan</x:v>
      </x:c>
      <x:c r="B217" s="142" t="str">
        <x:v>MI</x:v>
      </x:c>
      <x:c r="C217" s="142" t="n">
        <x:v>7</x:v>
      </x:c>
      <x:c r="D217" s="142" t="str">
        <x:v>Special pathway</x:v>
      </x:c>
      <x:c r="E217" s="142" t="str">
        <x:v>Was this offense connected to your status as a human-trafficking or sex-trafficking survivor?</x:v>
      </x:c>
      <x:c r="F217" s="142" t="str">
        <x:v>yes_no_prefer_not_to_say</x:v>
      </x:c>
      <x:c r="G217" s="142" t="str">
        <x:v>Ask only while trafficking-survivor relief remains viable; allow “prefer not to say.”</x:v>
      </x:c>
      <x:c r="H217" s="142" t="str">
        <x:v>May open vacatur/expungement or review treatment.</x:v>
      </x:c>
      <x:c r="I217" s="142" t="str">
        <x:v>Trafficking-survivor routes</x:v>
      </x:c>
      <x:c r="J217" s="142" t="str">
        <x:v>Exact details, if needed, are collected after account creation in packet completion.</x:v>
      </x:c>
      <x:c r="K217" s="142" t="str">
        <x:v>special_pathways</x:v>
      </x:c>
      <x:c r="L217" s="142" t="str">
        <x:v>derived_from_state_rule_fields</x:v>
      </x:c>
      <x:c r="M217" s="56" t="str">
        <x:v>https://github.com/Roger-LegalEase/legalease-partner-dashboard-clean/blob/2f0ef0403f16e57544ad0bc86b2d1b1cd08861b3/src/lib/rcap-engine/compiled/profiles/MI-michigan.json</x:v>
      </x:c>
    </x:row>
    <x:row r="218">
      <x:c r="A218" s="55" t="str">
        <x:v>Michigan</x:v>
      </x:c>
      <x:c r="B218" s="142" t="str">
        <x:v>MI</x:v>
      </x:c>
      <x:c r="C218" s="142" t="n">
        <x:v>8</x:v>
      </x:c>
      <x:c r="D218" s="142" t="str">
        <x:v>Timing / completion</x:v>
      </x:c>
      <x:c r="E218" s="142" t="str">
        <x:v>Do you currently have any pending criminal charge, open case, probation, parole, or other supervision?</x:v>
      </x:c>
      <x:c r="F218" s="142" t="str">
        <x:v>yes_no_unsure</x:v>
      </x:c>
      <x:c r="G218" s="142" t="str">
        <x:v>Ask only when pending cases or active supervision can block the candidate route.</x:v>
      </x:c>
      <x:c r="H218" s="142" t="str">
        <x:v>Pending/open matter may produce not-yet, review, or a different route.</x:v>
      </x:c>
      <x:c r="I218" s="142" t="str">
        <x:v>Pending-case-sensitive routes</x:v>
      </x:c>
      <x:c r="J218" s="142" t="str">
        <x:v>Exact details, if needed, are collected after account creation in packet completion.</x:v>
      </x:c>
      <x:c r="K218" s="142" t="str">
        <x:v>timing_and_completion</x:v>
      </x:c>
      <x:c r="L218" s="142" t="str">
        <x:v>derived_from_state_rule_fields</x:v>
      </x:c>
      <x:c r="M218" s="56" t="str">
        <x:v>https://github.com/Roger-LegalEase/legalease-partner-dashboard-clean/blob/2f0ef0403f16e57544ad0bc86b2d1b1cd08861b3/src/lib/rcap-engine/compiled/profiles/MI-michigan.json</x:v>
      </x:c>
    </x:row>
    <x:row r="219">
      <x:c r="A219" s="55" t="str">
        <x:v>Michigan</x:v>
      </x:c>
      <x:c r="B219" s="142" t="str">
        <x:v>MI</x:v>
      </x:c>
      <x:c r="C219" s="142" t="n">
        <x:v>9</x:v>
      </x:c>
      <x:c r="D219" s="142" t="str">
        <x:v>Timing / completion</x:v>
      </x:c>
      <x:c r="E219" s="142" t="str">
        <x:v>Have you completed everything the court ordered in this case?</x:v>
      </x:c>
      <x:c r="F219" s="142" t="str">
        <x:v>single_choice</x:v>
      </x:c>
      <x:c r="G219" s="142" t="str">
        <x:v>Ask only when a viable route depends on sentence, supervision, program, restitution, or financial completion.</x:v>
      </x:c>
      <x:c r="H219" s="142" t="str">
        <x:v>No → usually not yet or needs more information; Yes → continue; Not sure → defer exact proof.</x:v>
      </x:c>
      <x:c r="I219" s="142" t="str">
        <x:v>Completion-dependent routes</x:v>
      </x:c>
      <x:c r="J219" s="142" t="str">
        <x:v>Exact details, if needed, are collected after account creation in packet completion.</x:v>
      </x:c>
      <x:c r="K219" s="142" t="str">
        <x:v>timing_and_completion</x:v>
      </x:c>
      <x:c r="L219" s="142" t="str">
        <x:v>normalized_free_check</x:v>
      </x:c>
      <x:c r="M219" s="56" t="str">
        <x:v>https://github.com/Roger-LegalEase/legalease-partner-dashboard-clean/blob/2f0ef0403f16e57544ad0bc86b2d1b1cd08861b3/src/lib/rcap-engine/compiled/profiles/MI-michigan.json</x:v>
      </x:c>
    </x:row>
    <x:row r="220">
      <x:c r="A220" s="55" t="str">
        <x:v>Michigan</x:v>
      </x:c>
      <x:c r="B220" s="142" t="str">
        <x:v>MI</x:v>
      </x:c>
      <x:c r="C220" s="142" t="n">
        <x:v>10</x:v>
      </x:c>
      <x:c r="D220" s="142" t="str">
        <x:v>Timing / completion</x:v>
      </x:c>
      <x:c r="E220" s="142" t="str">
        <x:v>About how long ago did this case end or get resolved?</x:v>
      </x:c>
      <x:c r="F220" s="142" t="str">
        <x:v>single_choice</x:v>
      </x:c>
      <x:c r="G220" s="142" t="str">
        <x:v>Ask only when at least one viable route has a waiting period.</x:v>
      </x:c>
      <x:c r="H220" s="142" t="str">
        <x:v>Uses an approximate band for a preliminary result; exact dates are collected later.</x:v>
      </x:c>
      <x:c r="I220" s="142" t="str">
        <x:v>Timing-dependent routes</x:v>
      </x:c>
      <x:c r="J220" s="142" t="str">
        <x:v>Exact details, if needed, are collected after account creation in packet completion.</x:v>
      </x:c>
      <x:c r="K220" s="142" t="str">
        <x:v>timing_and_completion</x:v>
      </x:c>
      <x:c r="L220" s="142" t="str">
        <x:v>normalized_free_check</x:v>
      </x:c>
      <x:c r="M220" s="56" t="str">
        <x:v>https://github.com/Roger-LegalEase/legalease-partner-dashboard-clean/blob/2f0ef0403f16e57544ad0bc86b2d1b1cd08861b3/src/lib/rcap-engine/compiled/profiles/MI-michigan.json</x:v>
      </x:c>
    </x:row>
    <x:row r="221">
      <x:c r="A221" s="55" t="str">
        <x:v>Michigan</x:v>
      </x:c>
      <x:c r="B221" s="142" t="str">
        <x:v>MI</x:v>
      </x:c>
      <x:c r="C221" s="142" t="n">
        <x:v>11</x:v>
      </x:c>
      <x:c r="D221" s="142" t="str">
        <x:v>Exclusions / review</x:v>
      </x:c>
      <x:c r="E221" s="142" t="str">
        <x:v>Does the record involve any Michigan category that the source identifies as excluded or review-required?</x:v>
      </x:c>
      <x:c r="F221" s="142" t="str">
        <x:v>multi_select</x:v>
      </x:c>
      <x:c r="G221" s="142" t="str">
        <x:v>Ask after the route is narrowed; show only categories relevant to the remaining route.</x:v>
      </x:c>
      <x:c r="H221" s="142" t="str">
        <x:v>Matching category → hard stop or review; none → continue.</x:v>
      </x:c>
      <x:c r="I221" s="142" t="str">
        <x:v>Route-specific exclusions</x:v>
      </x:c>
      <x:c r="J221" s="142" t="str">
        <x:v>Exact details, if needed, are collected after account creation in packet completion.</x:v>
      </x:c>
      <x:c r="K221" s="142" t="str">
        <x:v>exclusion_screen</x:v>
      </x:c>
      <x:c r="L221" s="142" t="str">
        <x:v>state_exclusion_section</x:v>
      </x:c>
      <x:c r="M221" s="56" t="str">
        <x:v>https://github.com/Roger-LegalEase/legalease-partner-dashboard-clean/blob/2f0ef0403f16e57544ad0bc86b2d1b1cd08861b3/src/lib/rcap-engine/compiled/profiles/MI-michigan.json</x:v>
      </x:c>
    </x:row>
    <x:row r="222">
      <x:c r="A222" s="55" t="str">
        <x:v>Minnesota</x:v>
      </x:c>
      <x:c r="B222" s="142" t="str">
        <x:v>MN</x:v>
      </x:c>
      <x:c r="C222" s="142" t="n">
        <x:v>1</x:v>
      </x:c>
      <x:c r="D222" s="142" t="str">
        <x:v>Scope</x:v>
      </x:c>
      <x:c r="E222" s="142" t="str">
        <x:v>Are you asking about your own record?</x:v>
      </x:c>
      <x:c r="F222" s="142" t="str">
        <x:v>single_choice</x:v>
      </x:c>
      <x:c r="G222" s="142" t="str">
        <x:v>Ask in every free check</x:v>
      </x:c>
      <x:c r="H222" s="142" t="str">
        <x:v>No → stop or redirect; Yes → continue.</x:v>
      </x:c>
      <x:c r="I222" s="142" t="str">
        <x:v>All routes</x:v>
      </x:c>
      <x:c r="J222" s="142" t="str">
        <x:v>Exact details, if needed, are collected after account creation in packet completion.</x:v>
      </x:c>
      <x:c r="K222" s="142" t="str">
        <x:v>scope</x:v>
      </x:c>
      <x:c r="L222" s="142" t="str">
        <x:v>shared_scope_boundary</x:v>
      </x:c>
      <x:c r="M222" s="56" t="str">
        <x:v>https://github.com/Roger-LegalEase/legalease-partner-dashboard-clean/blob/2f0ef0403f16e57544ad0bc86b2d1b1cd08861b3/src/lib/rcap-engine/compiled/profiles/MN-minnesota.json</x:v>
      </x:c>
    </x:row>
    <x:row r="223">
      <x:c r="A223" s="55" t="str">
        <x:v>Minnesota</x:v>
      </x:c>
      <x:c r="B223" s="142" t="str">
        <x:v>MN</x:v>
      </x:c>
      <x:c r="C223" s="142" t="n">
        <x:v>2</x:v>
      </x:c>
      <x:c r="D223" s="142" t="str">
        <x:v>Scope</x:v>
      </x:c>
      <x:c r="E223" s="142" t="str">
        <x:v>Is this a state or local matter from Minnesota, rather than a federal matter?</x:v>
      </x:c>
      <x:c r="F223" s="142" t="str">
        <x:v>single_choice</x:v>
      </x:c>
      <x:c r="G223" s="142" t="str">
        <x:v>Ask in every free check</x:v>
      </x:c>
      <x:c r="H223" s="142" t="str">
        <x:v>Federal or wrong-state matter → outside this state flow; state/local matter → continue.</x:v>
      </x:c>
      <x:c r="I223" s="142" t="str">
        <x:v>All routes</x:v>
      </x:c>
      <x:c r="J223" s="142" t="str">
        <x:v>Exact details, if needed, are collected after account creation in packet completion.</x:v>
      </x:c>
      <x:c r="K223" s="142" t="str">
        <x:v>scope</x:v>
      </x:c>
      <x:c r="L223" s="142" t="str">
        <x:v>shared_scope_boundary</x:v>
      </x:c>
      <x:c r="M223" s="56" t="str">
        <x:v>https://github.com/Roger-LegalEase/legalease-partner-dashboard-clean/blob/2f0ef0403f16e57544ad0bc86b2d1b1cd08861b3/src/lib/rcap-engine/compiled/profiles/MN-minnesota.json</x:v>
      </x:c>
    </x:row>
    <x:row r="224">
      <x:c r="A224" s="55" t="str">
        <x:v>Minnesota</x:v>
      </x:c>
      <x:c r="B224" s="142" t="str">
        <x:v>MN</x:v>
      </x:c>
      <x:c r="C224" s="142" t="n">
        <x:v>3</x:v>
      </x:c>
      <x:c r="D224" s="142" t="str">
        <x:v>Route identification</x:v>
      </x:c>
      <x:c r="E224" s="142" t="str">
        <x:v>How did the Minnesota case or record end?</x:v>
      </x:c>
      <x:c r="F224" s="142" t="str">
        <x:v>single_choice</x:v>
      </x:c>
      <x:c r="G224" s="142" t="str">
        <x:v>Ask after scope, before route-specific questions</x:v>
      </x:c>
      <x:c r="H224" s="142" t="str">
        <x:v>Splits nonconviction, conviction, diversion/deferred, juvenile, automatic, pardon, correction, and other route families.</x:v>
      </x:c>
      <x:c r="I224" s="142" t="str">
        <x:v>All routes</x:v>
      </x:c>
      <x:c r="J224" s="142" t="str">
        <x:v>Exact details, if needed, are collected after account creation in packet completion.</x:v>
      </x:c>
      <x:c r="K224" s="142" t="str">
        <x:v>pathway_routing</x:v>
      </x:c>
      <x:c r="L224" s="142" t="str">
        <x:v>state_case_outcome_rules</x:v>
      </x:c>
      <x:c r="M224" s="56" t="str">
        <x:v>https://github.com/Roger-LegalEase/legalease-partner-dashboard-clean/blob/2f0ef0403f16e57544ad0bc86b2d1b1cd08861b3/src/lib/rcap-engine/compiled/profiles/MN-minnesota.json</x:v>
      </x:c>
    </x:row>
    <x:row r="225">
      <x:c r="A225" s="55" t="str">
        <x:v>Minnesota</x:v>
      </x:c>
      <x:c r="B225" s="142" t="str">
        <x:v>MN</x:v>
      </x:c>
      <x:c r="C225" s="142" t="n">
        <x:v>4</x:v>
      </x:c>
      <x:c r="D225" s="142" t="str">
        <x:v>Route identification</x:v>
      </x:c>
      <x:c r="E225" s="142" t="str">
        <x:v>What level or type was the charge?</x:v>
      </x:c>
      <x:c r="F225" s="142" t="str">
        <x:v>single_choice</x:v>
      </x:c>
      <x:c r="G225" s="142" t="str">
        <x:v>Ask after scope, before route-specific questions</x:v>
      </x:c>
      <x:c r="H225" s="142" t="str">
        <x:v>Narrows offense-level routes, waiting-period bands, and obvious exclusions.</x:v>
      </x:c>
      <x:c r="I225" s="142" t="str">
        <x:v>All routes</x:v>
      </x:c>
      <x:c r="J225" s="142" t="str">
        <x:v>Exact details, if needed, are collected after account creation in packet completion.</x:v>
      </x:c>
      <x:c r="K225" s="142" t="str">
        <x:v>pathway_routing</x:v>
      </x:c>
      <x:c r="L225" s="142" t="str">
        <x:v>state_pathway_and_exclusion_rules</x:v>
      </x:c>
      <x:c r="M225" s="56" t="str">
        <x:v>https://github.com/Roger-LegalEase/legalease-partner-dashboard-clean/blob/2f0ef0403f16e57544ad0bc86b2d1b1cd08861b3/src/lib/rcap-engine/compiled/profiles/MN-minnesota.json</x:v>
      </x:c>
    </x:row>
    <x:row r="226">
      <x:c r="A226" s="55" t="str">
        <x:v>Minnesota</x:v>
      </x:c>
      <x:c r="B226" s="142" t="str">
        <x:v>MN</x:v>
      </x:c>
      <x:c r="C226" s="142" t="n">
        <x:v>5</x:v>
      </x:c>
      <x:c r="D226" s="142" t="str">
        <x:v>Route identification</x:v>
      </x:c>
      <x:c r="E226" s="142" t="str">
        <x:v>Do any of these Minnesota descriptions sound close to your situation?</x:v>
      </x:c>
      <x:c r="F226" s="142" t="str">
        <x:v>single_choice</x:v>
      </x:c>
      <x:c r="G226" s="142" t="str">
        <x:v>Ask after scope, before route-specific questions</x:v>
      </x:c>
      <x:c r="H226" s="142" t="str">
        <x:v>Lets the participant select a likely remedy or “not sure”; selection prunes unrelated route-specific questions.</x:v>
      </x:c>
      <x:c r="I226" s="142" t="str">
        <x:v>All routes</x:v>
      </x:c>
      <x:c r="J226" s="142" t="str">
        <x:v>Exact details, if needed, are collected after account creation in packet completion.</x:v>
      </x:c>
      <x:c r="K226" s="142" t="str">
        <x:v>pathway_routing</x:v>
      </x:c>
      <x:c r="L226" s="142" t="str">
        <x:v>curated_state_pathway_catalog_from_reference</x:v>
      </x:c>
      <x:c r="M226" s="56" t="str">
        <x:v>https://github.com/Roger-LegalEase/legalease-partner-dashboard-clean/blob/2f0ef0403f16e57544ad0bc86b2d1b1cd08861b3/src/lib/rcap-engine/compiled/profiles/MN-minnesota.json</x:v>
      </x:c>
    </x:row>
    <x:row r="227">
      <x:c r="A227" s="55" t="str">
        <x:v>Minnesota</x:v>
      </x:c>
      <x:c r="B227" s="142" t="str">
        <x:v>MN</x:v>
      </x:c>
      <x:c r="C227" s="142" t="n">
        <x:v>6</x:v>
      </x:c>
      <x:c r="D227" s="142" t="str">
        <x:v>Special pathway</x:v>
      </x:c>
      <x:c r="E227" s="142" t="str">
        <x:v>Was the arrest or record caused by mistaken identity, identity theft, or law-enforcement error?</x:v>
      </x:c>
      <x:c r="F227" s="142" t="str">
        <x:v>yes_no_unsure</x:v>
      </x:c>
      <x:c r="G227" s="142" t="str">
        <x:v>Ask only while an identity-correction route remains viable.</x:v>
      </x:c>
      <x:c r="H227" s="142" t="str">
        <x:v>Yes routes to correction/sealing logic distinct from ordinary conviction relief.</x:v>
      </x:c>
      <x:c r="I227" s="142" t="str">
        <x:v>Mistaken-identity / correction routes</x:v>
      </x:c>
      <x:c r="J227" s="142" t="str">
        <x:v>Exact details, if needed, are collected after account creation in packet completion.</x:v>
      </x:c>
      <x:c r="K227" s="142" t="str">
        <x:v>special_pathways</x:v>
      </x:c>
      <x:c r="L227" s="142" t="str">
        <x:v>derived_from_state_rule_fields</x:v>
      </x:c>
      <x:c r="M227" s="56" t="str">
        <x:v>https://github.com/Roger-LegalEase/legalease-partner-dashboard-clean/blob/2f0ef0403f16e57544ad0bc86b2d1b1cd08861b3/src/lib/rcap-engine/compiled/profiles/MN-minnesota.json</x:v>
      </x:c>
    </x:row>
    <x:row r="228">
      <x:c r="A228" s="55" t="str">
        <x:v>Minnesota</x:v>
      </x:c>
      <x:c r="B228" s="142" t="str">
        <x:v>MN</x:v>
      </x:c>
      <x:c r="C228" s="142" t="n">
        <x:v>7</x:v>
      </x:c>
      <x:c r="D228" s="142" t="str">
        <x:v>Timing / completion</x:v>
      </x:c>
      <x:c r="E228" s="142" t="str">
        <x:v>Do you currently have any pending criminal charge, open case, probation, parole, or other supervision?</x:v>
      </x:c>
      <x:c r="F228" s="142" t="str">
        <x:v>yes_no_unsure</x:v>
      </x:c>
      <x:c r="G228" s="142" t="str">
        <x:v>Ask only when pending cases or active supervision can block the candidate route.</x:v>
      </x:c>
      <x:c r="H228" s="142" t="str">
        <x:v>Pending/open matter may produce not-yet, review, or a different route.</x:v>
      </x:c>
      <x:c r="I228" s="142" t="str">
        <x:v>Pending-case-sensitive routes</x:v>
      </x:c>
      <x:c r="J228" s="142" t="str">
        <x:v>Exact details, if needed, are collected after account creation in packet completion.</x:v>
      </x:c>
      <x:c r="K228" s="142" t="str">
        <x:v>timing_and_completion</x:v>
      </x:c>
      <x:c r="L228" s="142" t="str">
        <x:v>derived_from_state_rule_fields</x:v>
      </x:c>
      <x:c r="M228" s="56" t="str">
        <x:v>https://github.com/Roger-LegalEase/legalease-partner-dashboard-clean/blob/2f0ef0403f16e57544ad0bc86b2d1b1cd08861b3/src/lib/rcap-engine/compiled/profiles/MN-minnesota.json</x:v>
      </x:c>
    </x:row>
    <x:row r="229">
      <x:c r="A229" s="55" t="str">
        <x:v>Minnesota</x:v>
      </x:c>
      <x:c r="B229" s="142" t="str">
        <x:v>MN</x:v>
      </x:c>
      <x:c r="C229" s="142" t="n">
        <x:v>8</x:v>
      </x:c>
      <x:c r="D229" s="142" t="str">
        <x:v>Timing / completion</x:v>
      </x:c>
      <x:c r="E229" s="142" t="str">
        <x:v>Have you completed everything the court ordered in this case?</x:v>
      </x:c>
      <x:c r="F229" s="142" t="str">
        <x:v>single_choice</x:v>
      </x:c>
      <x:c r="G229" s="142" t="str">
        <x:v>Ask only when a viable route depends on sentence, supervision, program, restitution, or financial completion.</x:v>
      </x:c>
      <x:c r="H229" s="142" t="str">
        <x:v>No → usually not yet or needs more information; Yes → continue; Not sure → defer exact proof.</x:v>
      </x:c>
      <x:c r="I229" s="142" t="str">
        <x:v>Completion-dependent routes</x:v>
      </x:c>
      <x:c r="J229" s="142" t="str">
        <x:v>Exact details, if needed, are collected after account creation in packet completion.</x:v>
      </x:c>
      <x:c r="K229" s="142" t="str">
        <x:v>timing_and_completion</x:v>
      </x:c>
      <x:c r="L229" s="142" t="str">
        <x:v>normalized_free_check</x:v>
      </x:c>
      <x:c r="M229" s="56" t="str">
        <x:v>https://github.com/Roger-LegalEase/legalease-partner-dashboard-clean/blob/2f0ef0403f16e57544ad0bc86b2d1b1cd08861b3/src/lib/rcap-engine/compiled/profiles/MN-minnesota.json</x:v>
      </x:c>
    </x:row>
    <x:row r="230">
      <x:c r="A230" s="55" t="str">
        <x:v>Minnesota</x:v>
      </x:c>
      <x:c r="B230" s="142" t="str">
        <x:v>MN</x:v>
      </x:c>
      <x:c r="C230" s="142" t="n">
        <x:v>9</x:v>
      </x:c>
      <x:c r="D230" s="142" t="str">
        <x:v>Timing / completion</x:v>
      </x:c>
      <x:c r="E230" s="142" t="str">
        <x:v>About how long ago did this case end or get resolved?</x:v>
      </x:c>
      <x:c r="F230" s="142" t="str">
        <x:v>single_choice</x:v>
      </x:c>
      <x:c r="G230" s="142" t="str">
        <x:v>Ask only when at least one viable route has a waiting period.</x:v>
      </x:c>
      <x:c r="H230" s="142" t="str">
        <x:v>Uses an approximate band for a preliminary result; exact dates are collected later.</x:v>
      </x:c>
      <x:c r="I230" s="142" t="str">
        <x:v>Timing-dependent routes</x:v>
      </x:c>
      <x:c r="J230" s="142" t="str">
        <x:v>Exact details, if needed, are collected after account creation in packet completion.</x:v>
      </x:c>
      <x:c r="K230" s="142" t="str">
        <x:v>timing_and_completion</x:v>
      </x:c>
      <x:c r="L230" s="142" t="str">
        <x:v>normalized_free_check</x:v>
      </x:c>
      <x:c r="M230" s="56" t="str">
        <x:v>https://github.com/Roger-LegalEase/legalease-partner-dashboard-clean/blob/2f0ef0403f16e57544ad0bc86b2d1b1cd08861b3/src/lib/rcap-engine/compiled/profiles/MN-minnesota.json</x:v>
      </x:c>
    </x:row>
    <x:row r="231">
      <x:c r="A231" s="55" t="str">
        <x:v>Missouri</x:v>
      </x:c>
      <x:c r="B231" s="142" t="str">
        <x:v>MO</x:v>
      </x:c>
      <x:c r="C231" s="142" t="n">
        <x:v>1</x:v>
      </x:c>
      <x:c r="D231" s="142" t="str">
        <x:v>Scope</x:v>
      </x:c>
      <x:c r="E231" s="142" t="str">
        <x:v>Are you asking about your own record?</x:v>
      </x:c>
      <x:c r="F231" s="142" t="str">
        <x:v>single_choice</x:v>
      </x:c>
      <x:c r="G231" s="142" t="str">
        <x:v>Ask in every free check</x:v>
      </x:c>
      <x:c r="H231" s="142" t="str">
        <x:v>No → stop or redirect; Yes → continue.</x:v>
      </x:c>
      <x:c r="I231" s="142" t="str">
        <x:v>All routes</x:v>
      </x:c>
      <x:c r="J231" s="142" t="str">
        <x:v>Exact details, if needed, are collected after account creation in packet completion.</x:v>
      </x:c>
      <x:c r="K231" s="142" t="str">
        <x:v>scope</x:v>
      </x:c>
      <x:c r="L231" s="142" t="str">
        <x:v>shared_scope_boundary</x:v>
      </x:c>
      <x:c r="M231" s="56" t="str">
        <x:v>https://github.com/Roger-LegalEase/legalease-partner-dashboard-clean/blob/2f0ef0403f16e57544ad0bc86b2d1b1cd08861b3/src/lib/rcap-engine/compiled/profiles/MO-missouri.json</x:v>
      </x:c>
    </x:row>
    <x:row r="232">
      <x:c r="A232" s="55" t="str">
        <x:v>Missouri</x:v>
      </x:c>
      <x:c r="B232" s="142" t="str">
        <x:v>MO</x:v>
      </x:c>
      <x:c r="C232" s="142" t="n">
        <x:v>2</x:v>
      </x:c>
      <x:c r="D232" s="142" t="str">
        <x:v>Scope</x:v>
      </x:c>
      <x:c r="E232" s="142" t="str">
        <x:v>Is this a state or local matter from Missouri, rather than a federal matter?</x:v>
      </x:c>
      <x:c r="F232" s="142" t="str">
        <x:v>single_choice</x:v>
      </x:c>
      <x:c r="G232" s="142" t="str">
        <x:v>Ask in every free check</x:v>
      </x:c>
      <x:c r="H232" s="142" t="str">
        <x:v>Federal or wrong-state matter → outside this state flow; state/local matter → continue.</x:v>
      </x:c>
      <x:c r="I232" s="142" t="str">
        <x:v>All routes</x:v>
      </x:c>
      <x:c r="J232" s="142" t="str">
        <x:v>Exact details, if needed, are collected after account creation in packet completion.</x:v>
      </x:c>
      <x:c r="K232" s="142" t="str">
        <x:v>scope</x:v>
      </x:c>
      <x:c r="L232" s="142" t="str">
        <x:v>shared_scope_boundary</x:v>
      </x:c>
      <x:c r="M232" s="56" t="str">
        <x:v>https://github.com/Roger-LegalEase/legalease-partner-dashboard-clean/blob/2f0ef0403f16e57544ad0bc86b2d1b1cd08861b3/src/lib/rcap-engine/compiled/profiles/MO-missouri.json</x:v>
      </x:c>
    </x:row>
    <x:row r="233">
      <x:c r="A233" s="55" t="str">
        <x:v>Missouri</x:v>
      </x:c>
      <x:c r="B233" s="142" t="str">
        <x:v>MO</x:v>
      </x:c>
      <x:c r="C233" s="142" t="n">
        <x:v>3</x:v>
      </x:c>
      <x:c r="D233" s="142" t="str">
        <x:v>Route identification</x:v>
      </x:c>
      <x:c r="E233" s="142" t="str">
        <x:v>How did the Missouri case or record end?</x:v>
      </x:c>
      <x:c r="F233" s="142" t="str">
        <x:v>single_choice</x:v>
      </x:c>
      <x:c r="G233" s="142" t="str">
        <x:v>Ask after scope, before route-specific questions</x:v>
      </x:c>
      <x:c r="H233" s="142" t="str">
        <x:v>Splits nonconviction, conviction, diversion/deferred, juvenile, automatic, pardon, correction, and other route families.</x:v>
      </x:c>
      <x:c r="I233" s="142" t="str">
        <x:v>All routes</x:v>
      </x:c>
      <x:c r="J233" s="142" t="str">
        <x:v>Exact details, if needed, are collected after account creation in packet completion.</x:v>
      </x:c>
      <x:c r="K233" s="142" t="str">
        <x:v>pathway_routing</x:v>
      </x:c>
      <x:c r="L233" s="142" t="str">
        <x:v>state_case_outcome_rules</x:v>
      </x:c>
      <x:c r="M233" s="56" t="str">
        <x:v>https://github.com/Roger-LegalEase/legalease-partner-dashboard-clean/blob/2f0ef0403f16e57544ad0bc86b2d1b1cd08861b3/src/lib/rcap-engine/compiled/profiles/MO-missouri.json</x:v>
      </x:c>
    </x:row>
    <x:row r="234">
      <x:c r="A234" s="55" t="str">
        <x:v>Missouri</x:v>
      </x:c>
      <x:c r="B234" s="142" t="str">
        <x:v>MO</x:v>
      </x:c>
      <x:c r="C234" s="142" t="n">
        <x:v>4</x:v>
      </x:c>
      <x:c r="D234" s="142" t="str">
        <x:v>Route identification</x:v>
      </x:c>
      <x:c r="E234" s="142" t="str">
        <x:v>What level or type was the charge?</x:v>
      </x:c>
      <x:c r="F234" s="142" t="str">
        <x:v>single_choice</x:v>
      </x:c>
      <x:c r="G234" s="142" t="str">
        <x:v>Ask after scope, before route-specific questions</x:v>
      </x:c>
      <x:c r="H234" s="142" t="str">
        <x:v>Narrows offense-level routes, waiting-period bands, and obvious exclusions.</x:v>
      </x:c>
      <x:c r="I234" s="142" t="str">
        <x:v>All routes</x:v>
      </x:c>
      <x:c r="J234" s="142" t="str">
        <x:v>Exact details, if needed, are collected after account creation in packet completion.</x:v>
      </x:c>
      <x:c r="K234" s="142" t="str">
        <x:v>pathway_routing</x:v>
      </x:c>
      <x:c r="L234" s="142" t="str">
        <x:v>state_pathway_and_exclusion_rules</x:v>
      </x:c>
      <x:c r="M234" s="56" t="str">
        <x:v>https://github.com/Roger-LegalEase/legalease-partner-dashboard-clean/blob/2f0ef0403f16e57544ad0bc86b2d1b1cd08861b3/src/lib/rcap-engine/compiled/profiles/MO-missouri.json</x:v>
      </x:c>
    </x:row>
    <x:row r="235">
      <x:c r="A235" s="55" t="str">
        <x:v>Missouri</x:v>
      </x:c>
      <x:c r="B235" s="142" t="str">
        <x:v>MO</x:v>
      </x:c>
      <x:c r="C235" s="142" t="n">
        <x:v>5</x:v>
      </x:c>
      <x:c r="D235" s="142" t="str">
        <x:v>Route identification</x:v>
      </x:c>
      <x:c r="E235" s="142" t="str">
        <x:v>Do any of these Missouri descriptions sound close to your situation?</x:v>
      </x:c>
      <x:c r="F235" s="142" t="str">
        <x:v>single_choice</x:v>
      </x:c>
      <x:c r="G235" s="142" t="str">
        <x:v>Ask after scope, before route-specific questions</x:v>
      </x:c>
      <x:c r="H235" s="142" t="str">
        <x:v>Lets the participant select a likely remedy or “not sure”; selection prunes unrelated route-specific questions.</x:v>
      </x:c>
      <x:c r="I235" s="142" t="str">
        <x:v>All routes</x:v>
      </x:c>
      <x:c r="J235" s="142" t="str">
        <x:v>Exact details, if needed, are collected after account creation in packet completion.</x:v>
      </x:c>
      <x:c r="K235" s="142" t="str">
        <x:v>pathway_routing</x:v>
      </x:c>
      <x:c r="L235" s="142" t="str">
        <x:v>curated_state_pathway_catalog_from_reference</x:v>
      </x:c>
      <x:c r="M235" s="56" t="str">
        <x:v>https://github.com/Roger-LegalEase/legalease-partner-dashboard-clean/blob/2f0ef0403f16e57544ad0bc86b2d1b1cd08861b3/src/lib/rcap-engine/compiled/profiles/MO-missouri.json</x:v>
      </x:c>
    </x:row>
    <x:row r="236">
      <x:c r="A236" s="55" t="str">
        <x:v>Missouri</x:v>
      </x:c>
      <x:c r="B236" s="142" t="str">
        <x:v>MO</x:v>
      </x:c>
      <x:c r="C236" s="142" t="n">
        <x:v>6</x:v>
      </x:c>
      <x:c r="D236" s="142" t="str">
        <x:v>State-specific eligibility</x:v>
      </x:c>
      <x:c r="E236" s="142" t="str">
        <x:v>Have you previously received record-clearing relief in Missouri or elsewhere?</x:v>
      </x:c>
      <x:c r="F236" s="142" t="str">
        <x:v>yes_no_unsure</x:v>
      </x:c>
      <x:c r="G236" s="142" t="str">
        <x:v>Ask only when prior use of relief affects the candidate route.</x:v>
      </x:c>
      <x:c r="H236" s="142" t="str">
        <x:v>Prior relief may limit the route, change the packet, or require review.</x:v>
      </x:c>
      <x:c r="I236" s="142" t="str">
        <x:v>Prior-relief-limited routes</x:v>
      </x:c>
      <x:c r="J236" s="142" t="str">
        <x:v>Exact details, if needed, are collected after account creation in packet completion.</x:v>
      </x:c>
      <x:c r="K236" s="142" t="str">
        <x:v>state_specific_eligibility</x:v>
      </x:c>
      <x:c r="L236" s="142" t="str">
        <x:v>derived_from_state_rule_fields</x:v>
      </x:c>
      <x:c r="M236" s="56" t="str">
        <x:v>https://github.com/Roger-LegalEase/legalease-partner-dashboard-clean/blob/2f0ef0403f16e57544ad0bc86b2d1b1cd08861b3/src/lib/rcap-engine/compiled/profiles/MO-missouri.json</x:v>
      </x:c>
    </x:row>
    <x:row r="237">
      <x:c r="A237" s="55" t="str">
        <x:v>Missouri</x:v>
      </x:c>
      <x:c r="B237" s="142" t="str">
        <x:v>MO</x:v>
      </x:c>
      <x:c r="C237" s="142" t="n">
        <x:v>7</x:v>
      </x:c>
      <x:c r="D237" s="142" t="str">
        <x:v>Special pathway</x:v>
      </x:c>
      <x:c r="E237" s="142" t="str">
        <x:v>Was the arrest or record caused by mistaken identity, identity theft, or law-enforcement error?</x:v>
      </x:c>
      <x:c r="F237" s="142" t="str">
        <x:v>yes_no_unsure</x:v>
      </x:c>
      <x:c r="G237" s="142" t="str">
        <x:v>Ask only while an identity-correction route remains viable.</x:v>
      </x:c>
      <x:c r="H237" s="142" t="str">
        <x:v>Yes routes to correction/sealing logic distinct from ordinary conviction relief.</x:v>
      </x:c>
      <x:c r="I237" s="142" t="str">
        <x:v>Mistaken-identity / correction routes</x:v>
      </x:c>
      <x:c r="J237" s="142" t="str">
        <x:v>Exact details, if needed, are collected after account creation in packet completion.</x:v>
      </x:c>
      <x:c r="K237" s="142" t="str">
        <x:v>special_pathways</x:v>
      </x:c>
      <x:c r="L237" s="142" t="str">
        <x:v>derived_from_state_rule_fields</x:v>
      </x:c>
      <x:c r="M237" s="56" t="str">
        <x:v>https://github.com/Roger-LegalEase/legalease-partner-dashboard-clean/blob/2f0ef0403f16e57544ad0bc86b2d1b1cd08861b3/src/lib/rcap-engine/compiled/profiles/MO-missouri.json</x:v>
      </x:c>
    </x:row>
    <x:row r="238">
      <x:c r="A238" s="55" t="str">
        <x:v>Missouri</x:v>
      </x:c>
      <x:c r="B238" s="142" t="str">
        <x:v>MO</x:v>
      </x:c>
      <x:c r="C238" s="142" t="n">
        <x:v>8</x:v>
      </x:c>
      <x:c r="D238" s="142" t="str">
        <x:v>Timing / completion</x:v>
      </x:c>
      <x:c r="E238" s="142" t="str">
        <x:v>Do you currently have any pending criminal charge, open case, probation, parole, or other supervision?</x:v>
      </x:c>
      <x:c r="F238" s="142" t="str">
        <x:v>yes_no_unsure</x:v>
      </x:c>
      <x:c r="G238" s="142" t="str">
        <x:v>Ask only when pending cases or active supervision can block the candidate route.</x:v>
      </x:c>
      <x:c r="H238" s="142" t="str">
        <x:v>Pending/open matter may produce not-yet, review, or a different route.</x:v>
      </x:c>
      <x:c r="I238" s="142" t="str">
        <x:v>Pending-case-sensitive routes</x:v>
      </x:c>
      <x:c r="J238" s="142" t="str">
        <x:v>Exact details, if needed, are collected after account creation in packet completion.</x:v>
      </x:c>
      <x:c r="K238" s="142" t="str">
        <x:v>timing_and_completion</x:v>
      </x:c>
      <x:c r="L238" s="142" t="str">
        <x:v>derived_from_state_rule_fields</x:v>
      </x:c>
      <x:c r="M238" s="56" t="str">
        <x:v>https://github.com/Roger-LegalEase/legalease-partner-dashboard-clean/blob/2f0ef0403f16e57544ad0bc86b2d1b1cd08861b3/src/lib/rcap-engine/compiled/profiles/MO-missouri.json</x:v>
      </x:c>
    </x:row>
    <x:row r="239">
      <x:c r="A239" s="55" t="str">
        <x:v>Missouri</x:v>
      </x:c>
      <x:c r="B239" s="142" t="str">
        <x:v>MO</x:v>
      </x:c>
      <x:c r="C239" s="142" t="n">
        <x:v>9</x:v>
      </x:c>
      <x:c r="D239" s="142" t="str">
        <x:v>Timing / completion</x:v>
      </x:c>
      <x:c r="E239" s="142" t="str">
        <x:v>Have you completed everything the court ordered in this case?</x:v>
      </x:c>
      <x:c r="F239" s="142" t="str">
        <x:v>single_choice</x:v>
      </x:c>
      <x:c r="G239" s="142" t="str">
        <x:v>Ask only when a viable route depends on sentence, supervision, program, restitution, or financial completion.</x:v>
      </x:c>
      <x:c r="H239" s="142" t="str">
        <x:v>No → usually not yet or needs more information; Yes → continue; Not sure → defer exact proof.</x:v>
      </x:c>
      <x:c r="I239" s="142" t="str">
        <x:v>Completion-dependent routes</x:v>
      </x:c>
      <x:c r="J239" s="142" t="str">
        <x:v>Exact details, if needed, are collected after account creation in packet completion.</x:v>
      </x:c>
      <x:c r="K239" s="142" t="str">
        <x:v>timing_and_completion</x:v>
      </x:c>
      <x:c r="L239" s="142" t="str">
        <x:v>normalized_free_check</x:v>
      </x:c>
      <x:c r="M239" s="56" t="str">
        <x:v>https://github.com/Roger-LegalEase/legalease-partner-dashboard-clean/blob/2f0ef0403f16e57544ad0bc86b2d1b1cd08861b3/src/lib/rcap-engine/compiled/profiles/MO-missouri.json</x:v>
      </x:c>
    </x:row>
    <x:row r="240">
      <x:c r="A240" s="55" t="str">
        <x:v>Missouri</x:v>
      </x:c>
      <x:c r="B240" s="142" t="str">
        <x:v>MO</x:v>
      </x:c>
      <x:c r="C240" s="142" t="n">
        <x:v>10</x:v>
      </x:c>
      <x:c r="D240" s="142" t="str">
        <x:v>Timing / completion</x:v>
      </x:c>
      <x:c r="E240" s="142" t="str">
        <x:v>About how long ago did this case end or get resolved?</x:v>
      </x:c>
      <x:c r="F240" s="142" t="str">
        <x:v>single_choice</x:v>
      </x:c>
      <x:c r="G240" s="142" t="str">
        <x:v>Ask only when at least one viable route has a waiting period.</x:v>
      </x:c>
      <x:c r="H240" s="142" t="str">
        <x:v>Uses an approximate band for a preliminary result; exact dates are collected later.</x:v>
      </x:c>
      <x:c r="I240" s="142" t="str">
        <x:v>Timing-dependent routes</x:v>
      </x:c>
      <x:c r="J240" s="142" t="str">
        <x:v>Exact details, if needed, are collected after account creation in packet completion.</x:v>
      </x:c>
      <x:c r="K240" s="142" t="str">
        <x:v>timing_and_completion</x:v>
      </x:c>
      <x:c r="L240" s="142" t="str">
        <x:v>normalized_free_check</x:v>
      </x:c>
      <x:c r="M240" s="56" t="str">
        <x:v>https://github.com/Roger-LegalEase/legalease-partner-dashboard-clean/blob/2f0ef0403f16e57544ad0bc86b2d1b1cd08861b3/src/lib/rcap-engine/compiled/profiles/MO-missouri.json</x:v>
      </x:c>
    </x:row>
    <x:row r="241">
      <x:c r="A241" s="55" t="str">
        <x:v>Missouri</x:v>
      </x:c>
      <x:c r="B241" s="142" t="str">
        <x:v>MO</x:v>
      </x:c>
      <x:c r="C241" s="142" t="n">
        <x:v>11</x:v>
      </x:c>
      <x:c r="D241" s="142" t="str">
        <x:v>Exclusions / review</x:v>
      </x:c>
      <x:c r="E241" s="142" t="str">
        <x:v>Does the record involve any Missouri category that the source identifies as excluded or review-required?</x:v>
      </x:c>
      <x:c r="F241" s="142" t="str">
        <x:v>multi_select</x:v>
      </x:c>
      <x:c r="G241" s="142" t="str">
        <x:v>Ask after the route is narrowed; show only categories relevant to the remaining route.</x:v>
      </x:c>
      <x:c r="H241" s="142" t="str">
        <x:v>Matching category → hard stop or review; none → continue.</x:v>
      </x:c>
      <x:c r="I241" s="142" t="str">
        <x:v>Route-specific exclusions</x:v>
      </x:c>
      <x:c r="J241" s="142" t="str">
        <x:v>Exact details, if needed, are collected after account creation in packet completion.</x:v>
      </x:c>
      <x:c r="K241" s="142" t="str">
        <x:v>exclusion_screen</x:v>
      </x:c>
      <x:c r="L241" s="142" t="str">
        <x:v>state_exclusion_section</x:v>
      </x:c>
      <x:c r="M241" s="56" t="str">
        <x:v>https://github.com/Roger-LegalEase/legalease-partner-dashboard-clean/blob/2f0ef0403f16e57544ad0bc86b2d1b1cd08861b3/src/lib/rcap-engine/compiled/profiles/MO-missouri.json</x:v>
      </x:c>
    </x:row>
    <x:row r="242">
      <x:c r="A242" s="55" t="str">
        <x:v>Mississippi</x:v>
      </x:c>
      <x:c r="B242" s="142" t="str">
        <x:v>MS</x:v>
      </x:c>
      <x:c r="C242" s="142" t="n">
        <x:v>1</x:v>
      </x:c>
      <x:c r="D242" s="142" t="str">
        <x:v>Scope</x:v>
      </x:c>
      <x:c r="E242" s="142" t="str">
        <x:v>Are you asking about your own record?</x:v>
      </x:c>
      <x:c r="F242" s="142" t="str">
        <x:v>single_choice</x:v>
      </x:c>
      <x:c r="G242" s="142" t="str">
        <x:v>Ask in every free check</x:v>
      </x:c>
      <x:c r="H242" s="142" t="str">
        <x:v>No → stop or redirect; Yes → continue.</x:v>
      </x:c>
      <x:c r="I242" s="142" t="str">
        <x:v>All routes</x:v>
      </x:c>
      <x:c r="J242" s="142" t="str">
        <x:v>Exact details, if needed, are collected after account creation in packet completion.</x:v>
      </x:c>
      <x:c r="K242" s="142" t="str">
        <x:v>scope</x:v>
      </x:c>
      <x:c r="L242" s="142" t="str">
        <x:v>shared_scope_boundary</x:v>
      </x:c>
      <x:c r="M242" s="56" t="str">
        <x:v>https://github.com/Roger-LegalEase/legalease-partner-dashboard-clean/blob/2f0ef0403f16e57544ad0bc86b2d1b1cd08861b3/src/lib/rcap-engine/compiled/profiles/MS-mississippi.json</x:v>
      </x:c>
    </x:row>
    <x:row r="243">
      <x:c r="A243" s="55" t="str">
        <x:v>Mississippi</x:v>
      </x:c>
      <x:c r="B243" s="142" t="str">
        <x:v>MS</x:v>
      </x:c>
      <x:c r="C243" s="142" t="n">
        <x:v>2</x:v>
      </x:c>
      <x:c r="D243" s="142" t="str">
        <x:v>Scope</x:v>
      </x:c>
      <x:c r="E243" s="142" t="str">
        <x:v>Is this a state or local matter from Mississippi, rather than a federal matter?</x:v>
      </x:c>
      <x:c r="F243" s="142" t="str">
        <x:v>single_choice</x:v>
      </x:c>
      <x:c r="G243" s="142" t="str">
        <x:v>Ask in every free check</x:v>
      </x:c>
      <x:c r="H243" s="142" t="str">
        <x:v>Federal or wrong-state matter → outside this state flow; state/local matter → continue.</x:v>
      </x:c>
      <x:c r="I243" s="142" t="str">
        <x:v>All routes</x:v>
      </x:c>
      <x:c r="J243" s="142" t="str">
        <x:v>Exact details, if needed, are collected after account creation in packet completion.</x:v>
      </x:c>
      <x:c r="K243" s="142" t="str">
        <x:v>scope</x:v>
      </x:c>
      <x:c r="L243" s="142" t="str">
        <x:v>shared_scope_boundary</x:v>
      </x:c>
      <x:c r="M243" s="56" t="str">
        <x:v>https://github.com/Roger-LegalEase/legalease-partner-dashboard-clean/blob/2f0ef0403f16e57544ad0bc86b2d1b1cd08861b3/src/lib/rcap-engine/compiled/profiles/MS-mississippi.json</x:v>
      </x:c>
    </x:row>
    <x:row r="244">
      <x:c r="A244" s="55" t="str">
        <x:v>Mississippi</x:v>
      </x:c>
      <x:c r="B244" s="142" t="str">
        <x:v>MS</x:v>
      </x:c>
      <x:c r="C244" s="142" t="n">
        <x:v>3</x:v>
      </x:c>
      <x:c r="D244" s="142" t="str">
        <x:v>Route identification</x:v>
      </x:c>
      <x:c r="E244" s="142" t="str">
        <x:v>How did the Mississippi case or record end?</x:v>
      </x:c>
      <x:c r="F244" s="142" t="str">
        <x:v>single_choice</x:v>
      </x:c>
      <x:c r="G244" s="142" t="str">
        <x:v>Ask after scope, before route-specific questions</x:v>
      </x:c>
      <x:c r="H244" s="142" t="str">
        <x:v>Splits nonconviction, conviction, diversion/deferred, juvenile, automatic, pardon, correction, and other route families.</x:v>
      </x:c>
      <x:c r="I244" s="142" t="str">
        <x:v>All routes</x:v>
      </x:c>
      <x:c r="J244" s="142" t="str">
        <x:v>Exact details, if needed, are collected after account creation in packet completion.</x:v>
      </x:c>
      <x:c r="K244" s="142" t="str">
        <x:v>pathway_routing</x:v>
      </x:c>
      <x:c r="L244" s="142" t="str">
        <x:v>state_case_outcome_rules</x:v>
      </x:c>
      <x:c r="M244" s="56" t="str">
        <x:v>https://github.com/Roger-LegalEase/legalease-partner-dashboard-clean/blob/2f0ef0403f16e57544ad0bc86b2d1b1cd08861b3/src/lib/rcap-engine/compiled/profiles/MS-mississippi.json</x:v>
      </x:c>
    </x:row>
    <x:row r="245">
      <x:c r="A245" s="55" t="str">
        <x:v>Mississippi</x:v>
      </x:c>
      <x:c r="B245" s="142" t="str">
        <x:v>MS</x:v>
      </x:c>
      <x:c r="C245" s="142" t="n">
        <x:v>4</x:v>
      </x:c>
      <x:c r="D245" s="142" t="str">
        <x:v>Route identification</x:v>
      </x:c>
      <x:c r="E245" s="142" t="str">
        <x:v>What level or type was the charge?</x:v>
      </x:c>
      <x:c r="F245" s="142" t="str">
        <x:v>single_choice</x:v>
      </x:c>
      <x:c r="G245" s="142" t="str">
        <x:v>Ask after scope, before route-specific questions</x:v>
      </x:c>
      <x:c r="H245" s="142" t="str">
        <x:v>Narrows offense-level routes, waiting-period bands, and obvious exclusions.</x:v>
      </x:c>
      <x:c r="I245" s="142" t="str">
        <x:v>All routes</x:v>
      </x:c>
      <x:c r="J245" s="142" t="str">
        <x:v>Exact details, if needed, are collected after account creation in packet completion.</x:v>
      </x:c>
      <x:c r="K245" s="142" t="str">
        <x:v>pathway_routing</x:v>
      </x:c>
      <x:c r="L245" s="142" t="str">
        <x:v>state_pathway_and_exclusion_rules</x:v>
      </x:c>
      <x:c r="M245" s="56" t="str">
        <x:v>https://github.com/Roger-LegalEase/legalease-partner-dashboard-clean/blob/2f0ef0403f16e57544ad0bc86b2d1b1cd08861b3/src/lib/rcap-engine/compiled/profiles/MS-mississippi.json</x:v>
      </x:c>
    </x:row>
    <x:row r="246">
      <x:c r="A246" s="55" t="str">
        <x:v>Mississippi</x:v>
      </x:c>
      <x:c r="B246" s="142" t="str">
        <x:v>MS</x:v>
      </x:c>
      <x:c r="C246" s="142" t="n">
        <x:v>5</x:v>
      </x:c>
      <x:c r="D246" s="142" t="str">
        <x:v>Route identification</x:v>
      </x:c>
      <x:c r="E246" s="142" t="str">
        <x:v>Do any of these Mississippi descriptions sound close to your situation?</x:v>
      </x:c>
      <x:c r="F246" s="142" t="str">
        <x:v>single_choice</x:v>
      </x:c>
      <x:c r="G246" s="142" t="str">
        <x:v>Ask after scope, before route-specific questions</x:v>
      </x:c>
      <x:c r="H246" s="142" t="str">
        <x:v>Lets the participant select a likely remedy or “not sure”; selection prunes unrelated route-specific questions.</x:v>
      </x:c>
      <x:c r="I246" s="142" t="str">
        <x:v>All routes</x:v>
      </x:c>
      <x:c r="J246" s="142" t="str">
        <x:v>Exact details, if needed, are collected after account creation in packet completion.</x:v>
      </x:c>
      <x:c r="K246" s="142" t="str">
        <x:v>pathway_routing</x:v>
      </x:c>
      <x:c r="L246" s="142" t="str">
        <x:v>curated_state_pathway_catalog_from_reference</x:v>
      </x:c>
      <x:c r="M246" s="56" t="str">
        <x:v>https://github.com/Roger-LegalEase/legalease-partner-dashboard-clean/blob/2f0ef0403f16e57544ad0bc86b2d1b1cd08861b3/src/lib/rcap-engine/compiled/profiles/MS-mississippi.json</x:v>
      </x:c>
    </x:row>
    <x:row r="247">
      <x:c r="A247" s="55" t="str">
        <x:v>Mississippi</x:v>
      </x:c>
      <x:c r="B247" s="142" t="str">
        <x:v>MS</x:v>
      </x:c>
      <x:c r="C247" s="142" t="n">
        <x:v>6</x:v>
      </x:c>
      <x:c r="D247" s="142" t="str">
        <x:v>Timing / completion</x:v>
      </x:c>
      <x:c r="E247" s="142" t="str">
        <x:v>About how long ago did this case end or get resolved?</x:v>
      </x:c>
      <x:c r="F247" s="142" t="str">
        <x:v>single_choice</x:v>
      </x:c>
      <x:c r="G247" s="142" t="str">
        <x:v>Ask only when at least one viable route has a waiting period.</x:v>
      </x:c>
      <x:c r="H247" s="142" t="str">
        <x:v>Uses an approximate band for a preliminary result; exact dates are collected later.</x:v>
      </x:c>
      <x:c r="I247" s="142" t="str">
        <x:v>Timing-dependent routes</x:v>
      </x:c>
      <x:c r="J247" s="142" t="str">
        <x:v>Exact details, if needed, are collected after account creation in packet completion.</x:v>
      </x:c>
      <x:c r="K247" s="142" t="str">
        <x:v>timing_and_completion</x:v>
      </x:c>
      <x:c r="L247" s="142" t="str">
        <x:v>normalized_free_check</x:v>
      </x:c>
      <x:c r="M247" s="56" t="str">
        <x:v>https://github.com/Roger-LegalEase/legalease-partner-dashboard-clean/blob/2f0ef0403f16e57544ad0bc86b2d1b1cd08861b3/src/lib/rcap-engine/compiled/profiles/MS-mississippi.json</x:v>
      </x:c>
    </x:row>
    <x:row r="248">
      <x:c r="A248" s="55" t="str">
        <x:v>Montana</x:v>
      </x:c>
      <x:c r="B248" s="142" t="str">
        <x:v>MT</x:v>
      </x:c>
      <x:c r="C248" s="142" t="n">
        <x:v>1</x:v>
      </x:c>
      <x:c r="D248" s="142" t="str">
        <x:v>Scope</x:v>
      </x:c>
      <x:c r="E248" s="142" t="str">
        <x:v>Are you asking about your own record?</x:v>
      </x:c>
      <x:c r="F248" s="142" t="str">
        <x:v>single_choice</x:v>
      </x:c>
      <x:c r="G248" s="142" t="str">
        <x:v>Ask in every free check</x:v>
      </x:c>
      <x:c r="H248" s="142" t="str">
        <x:v>No → stop or redirect; Yes → continue.</x:v>
      </x:c>
      <x:c r="I248" s="142" t="str">
        <x:v>All routes</x:v>
      </x:c>
      <x:c r="J248" s="142" t="str">
        <x:v>Exact details, if needed, are collected after account creation in packet completion.</x:v>
      </x:c>
      <x:c r="K248" s="142" t="str">
        <x:v>scope</x:v>
      </x:c>
      <x:c r="L248" s="142" t="str">
        <x:v>shared_scope_boundary</x:v>
      </x:c>
      <x:c r="M248" s="56" t="str">
        <x:v>https://github.com/Roger-LegalEase/legalease-partner-dashboard-clean/blob/2f0ef0403f16e57544ad0bc86b2d1b1cd08861b3/src/lib/rcap-engine/compiled/profiles/MT-montana.json</x:v>
      </x:c>
    </x:row>
    <x:row r="249">
      <x:c r="A249" s="55" t="str">
        <x:v>Montana</x:v>
      </x:c>
      <x:c r="B249" s="142" t="str">
        <x:v>MT</x:v>
      </x:c>
      <x:c r="C249" s="142" t="n">
        <x:v>2</x:v>
      </x:c>
      <x:c r="D249" s="142" t="str">
        <x:v>Scope</x:v>
      </x:c>
      <x:c r="E249" s="142" t="str">
        <x:v>Is this a state or local matter from Montana, rather than a federal matter?</x:v>
      </x:c>
      <x:c r="F249" s="142" t="str">
        <x:v>single_choice</x:v>
      </x:c>
      <x:c r="G249" s="142" t="str">
        <x:v>Ask in every free check</x:v>
      </x:c>
      <x:c r="H249" s="142" t="str">
        <x:v>Federal or wrong-state matter → outside this state flow; state/local matter → continue.</x:v>
      </x:c>
      <x:c r="I249" s="142" t="str">
        <x:v>All routes</x:v>
      </x:c>
      <x:c r="J249" s="142" t="str">
        <x:v>Exact details, if needed, are collected after account creation in packet completion.</x:v>
      </x:c>
      <x:c r="K249" s="142" t="str">
        <x:v>scope</x:v>
      </x:c>
      <x:c r="L249" s="142" t="str">
        <x:v>shared_scope_boundary</x:v>
      </x:c>
      <x:c r="M249" s="56" t="str">
        <x:v>https://github.com/Roger-LegalEase/legalease-partner-dashboard-clean/blob/2f0ef0403f16e57544ad0bc86b2d1b1cd08861b3/src/lib/rcap-engine/compiled/profiles/MT-montana.json</x:v>
      </x:c>
    </x:row>
    <x:row r="250">
      <x:c r="A250" s="55" t="str">
        <x:v>Montana</x:v>
      </x:c>
      <x:c r="B250" s="142" t="str">
        <x:v>MT</x:v>
      </x:c>
      <x:c r="C250" s="142" t="n">
        <x:v>3</x:v>
      </x:c>
      <x:c r="D250" s="142" t="str">
        <x:v>Route identification</x:v>
      </x:c>
      <x:c r="E250" s="142" t="str">
        <x:v>How did the Montana case or record end?</x:v>
      </x:c>
      <x:c r="F250" s="142" t="str">
        <x:v>single_choice</x:v>
      </x:c>
      <x:c r="G250" s="142" t="str">
        <x:v>Ask after scope, before route-specific questions</x:v>
      </x:c>
      <x:c r="H250" s="142" t="str">
        <x:v>Splits nonconviction, conviction, diversion/deferred, juvenile, automatic, pardon, correction, and other route families.</x:v>
      </x:c>
      <x:c r="I250" s="142" t="str">
        <x:v>All routes</x:v>
      </x:c>
      <x:c r="J250" s="142" t="str">
        <x:v>Exact details, if needed, are collected after account creation in packet completion.</x:v>
      </x:c>
      <x:c r="K250" s="142" t="str">
        <x:v>pathway_routing</x:v>
      </x:c>
      <x:c r="L250" s="142" t="str">
        <x:v>state_case_outcome_rules</x:v>
      </x:c>
      <x:c r="M250" s="56" t="str">
        <x:v>https://github.com/Roger-LegalEase/legalease-partner-dashboard-clean/blob/2f0ef0403f16e57544ad0bc86b2d1b1cd08861b3/src/lib/rcap-engine/compiled/profiles/MT-montana.json</x:v>
      </x:c>
    </x:row>
    <x:row r="251">
      <x:c r="A251" s="55" t="str">
        <x:v>Montana</x:v>
      </x:c>
      <x:c r="B251" s="142" t="str">
        <x:v>MT</x:v>
      </x:c>
      <x:c r="C251" s="142" t="n">
        <x:v>4</x:v>
      </x:c>
      <x:c r="D251" s="142" t="str">
        <x:v>Route identification</x:v>
      </x:c>
      <x:c r="E251" s="142" t="str">
        <x:v>What level or type was the charge?</x:v>
      </x:c>
      <x:c r="F251" s="142" t="str">
        <x:v>single_choice</x:v>
      </x:c>
      <x:c r="G251" s="142" t="str">
        <x:v>Ask after scope, before route-specific questions</x:v>
      </x:c>
      <x:c r="H251" s="142" t="str">
        <x:v>Narrows offense-level routes, waiting-period bands, and obvious exclusions.</x:v>
      </x:c>
      <x:c r="I251" s="142" t="str">
        <x:v>All routes</x:v>
      </x:c>
      <x:c r="J251" s="142" t="str">
        <x:v>Exact details, if needed, are collected after account creation in packet completion.</x:v>
      </x:c>
      <x:c r="K251" s="142" t="str">
        <x:v>pathway_routing</x:v>
      </x:c>
      <x:c r="L251" s="142" t="str">
        <x:v>state_pathway_and_exclusion_rules</x:v>
      </x:c>
      <x:c r="M251" s="56" t="str">
        <x:v>https://github.com/Roger-LegalEase/legalease-partner-dashboard-clean/blob/2f0ef0403f16e57544ad0bc86b2d1b1cd08861b3/src/lib/rcap-engine/compiled/profiles/MT-montana.json</x:v>
      </x:c>
    </x:row>
    <x:row r="252">
      <x:c r="A252" s="55" t="str">
        <x:v>Montana</x:v>
      </x:c>
      <x:c r="B252" s="142" t="str">
        <x:v>MT</x:v>
      </x:c>
      <x:c r="C252" s="142" t="n">
        <x:v>5</x:v>
      </x:c>
      <x:c r="D252" s="142" t="str">
        <x:v>Route identification</x:v>
      </x:c>
      <x:c r="E252" s="142" t="str">
        <x:v>Do any of these Montana descriptions sound close to your situation?</x:v>
      </x:c>
      <x:c r="F252" s="142" t="str">
        <x:v>single_choice</x:v>
      </x:c>
      <x:c r="G252" s="142" t="str">
        <x:v>Ask after scope, before route-specific questions</x:v>
      </x:c>
      <x:c r="H252" s="142" t="str">
        <x:v>Lets the participant select a likely remedy or “not sure”; selection prunes unrelated route-specific questions.</x:v>
      </x:c>
      <x:c r="I252" s="142" t="str">
        <x:v>All routes</x:v>
      </x:c>
      <x:c r="J252" s="142" t="str">
        <x:v>Exact details, if needed, are collected after account creation in packet completion.</x:v>
      </x:c>
      <x:c r="K252" s="142" t="str">
        <x:v>pathway_routing</x:v>
      </x:c>
      <x:c r="L252" s="142" t="str">
        <x:v>curated_state_pathway_catalog_from_reference</x:v>
      </x:c>
      <x:c r="M252" s="56" t="str">
        <x:v>https://github.com/Roger-LegalEase/legalease-partner-dashboard-clean/blob/2f0ef0403f16e57544ad0bc86b2d1b1cd08861b3/src/lib/rcap-engine/compiled/profiles/MT-montana.json</x:v>
      </x:c>
    </x:row>
    <x:row r="253">
      <x:c r="A253" s="55" t="str">
        <x:v>Montana</x:v>
      </x:c>
      <x:c r="B253" s="142" t="str">
        <x:v>MT</x:v>
      </x:c>
      <x:c r="C253" s="142" t="n">
        <x:v>6</x:v>
      </x:c>
      <x:c r="D253" s="142" t="str">
        <x:v>Route identification</x:v>
      </x:c>
      <x:c r="E253" s="142" t="str">
        <x:v>How old were you when the offense or case began?</x:v>
      </x:c>
      <x:c r="F253" s="142" t="str">
        <x:v>number_or_range</x:v>
      </x:c>
      <x:c r="G253" s="142" t="str">
        <x:v>Ask only when adult-versus-juvenile or youthful-offender treatment may change the route.</x:v>
      </x:c>
      <x:c r="H253" s="142" t="str">
        <x:v>Routes to juvenile/youthful-offender logic or keeps the adult route.</x:v>
      </x:c>
      <x:c r="I253" s="142" t="str">
        <x:v>Age-sensitive routes</x:v>
      </x:c>
      <x:c r="J253" s="142" t="str">
        <x:v>Exact details, if needed, are collected after account creation in packet completion.</x:v>
      </x:c>
      <x:c r="K253" s="142" t="str">
        <x:v>pathway_routing</x:v>
      </x:c>
      <x:c r="L253" s="142" t="str">
        <x:v>derived_from_state_rule_fields</x:v>
      </x:c>
      <x:c r="M253" s="56" t="str">
        <x:v>https://github.com/Roger-LegalEase/legalease-partner-dashboard-clean/blob/2f0ef0403f16e57544ad0bc86b2d1b1cd08861b3/src/lib/rcap-engine/compiled/profiles/MT-montana.json</x:v>
      </x:c>
    </x:row>
    <x:row r="254">
      <x:c r="A254" s="55" t="str">
        <x:v>Montana</x:v>
      </x:c>
      <x:c r="B254" s="142" t="str">
        <x:v>MT</x:v>
      </x:c>
      <x:c r="C254" s="142" t="n">
        <x:v>7</x:v>
      </x:c>
      <x:c r="D254" s="142" t="str">
        <x:v>State-specific eligibility</x:v>
      </x:c>
      <x:c r="E254" s="142" t="str">
        <x:v>Have you previously received record-clearing relief in Montana or elsewhere?</x:v>
      </x:c>
      <x:c r="F254" s="142" t="str">
        <x:v>yes_no_unsure</x:v>
      </x:c>
      <x:c r="G254" s="142" t="str">
        <x:v>Ask only when prior use of relief affects the candidate route.</x:v>
      </x:c>
      <x:c r="H254" s="142" t="str">
        <x:v>Prior relief may limit the route, change the packet, or require review.</x:v>
      </x:c>
      <x:c r="I254" s="142" t="str">
        <x:v>Prior-relief-limited routes</x:v>
      </x:c>
      <x:c r="J254" s="142" t="str">
        <x:v>Exact details, if needed, are collected after account creation in packet completion.</x:v>
      </x:c>
      <x:c r="K254" s="142" t="str">
        <x:v>state_specific_eligibility</x:v>
      </x:c>
      <x:c r="L254" s="142" t="str">
        <x:v>derived_from_state_rule_fields</x:v>
      </x:c>
      <x:c r="M254" s="56" t="str">
        <x:v>https://github.com/Roger-LegalEase/legalease-partner-dashboard-clean/blob/2f0ef0403f16e57544ad0bc86b2d1b1cd08861b3/src/lib/rcap-engine/compiled/profiles/MT-montana.json</x:v>
      </x:c>
    </x:row>
    <x:row r="255">
      <x:c r="A255" s="55" t="str">
        <x:v>Montana</x:v>
      </x:c>
      <x:c r="B255" s="142" t="str">
        <x:v>MT</x:v>
      </x:c>
      <x:c r="C255" s="142" t="n">
        <x:v>8</x:v>
      </x:c>
      <x:c r="D255" s="142" t="str">
        <x:v>Special pathway</x:v>
      </x:c>
      <x:c r="E255" s="142" t="str">
        <x:v>Have you received a pardon, certificate of rehabilitation, or similar executive relief for this conviction?</x:v>
      </x:c>
      <x:c r="F255" s="142" t="str">
        <x:v>yes_no_unsure</x:v>
      </x:c>
      <x:c r="G255" s="142" t="str">
        <x:v>Ask only while a pardon or executive-relief route remains viable.</x:v>
      </x:c>
      <x:c r="H255" s="142" t="str">
        <x:v>Yes may open a pardon-based route; No preserves ordinary routes; Not sure defers proof.</x:v>
      </x:c>
      <x:c r="I255" s="142" t="str">
        <x:v>Pardon / executive-relief routes</x:v>
      </x:c>
      <x:c r="J255" s="142" t="str">
        <x:v>Exact details, if needed, are collected after account creation in packet completion.</x:v>
      </x:c>
      <x:c r="K255" s="142" t="str">
        <x:v>special_pathways</x:v>
      </x:c>
      <x:c r="L255" s="142" t="str">
        <x:v>derived_from_state_rule_fields</x:v>
      </x:c>
      <x:c r="M255" s="56" t="str">
        <x:v>https://github.com/Roger-LegalEase/legalease-partner-dashboard-clean/blob/2f0ef0403f16e57544ad0bc86b2d1b1cd08861b3/src/lib/rcap-engine/compiled/profiles/MT-montana.json</x:v>
      </x:c>
    </x:row>
    <x:row r="256">
      <x:c r="A256" s="55" t="str">
        <x:v>Montana</x:v>
      </x:c>
      <x:c r="B256" s="142" t="str">
        <x:v>MT</x:v>
      </x:c>
      <x:c r="C256" s="142" t="n">
        <x:v>9</x:v>
      </x:c>
      <x:c r="D256" s="142" t="str">
        <x:v>Timing / completion</x:v>
      </x:c>
      <x:c r="E256" s="142" t="str">
        <x:v>Do you currently have any pending criminal charge, open case, probation, parole, or other supervision?</x:v>
      </x:c>
      <x:c r="F256" s="142" t="str">
        <x:v>yes_no_unsure</x:v>
      </x:c>
      <x:c r="G256" s="142" t="str">
        <x:v>Ask only when pending cases or active supervision can block the candidate route.</x:v>
      </x:c>
      <x:c r="H256" s="142" t="str">
        <x:v>Pending/open matter may produce not-yet, review, or a different route.</x:v>
      </x:c>
      <x:c r="I256" s="142" t="str">
        <x:v>Pending-case-sensitive routes</x:v>
      </x:c>
      <x:c r="J256" s="142" t="str">
        <x:v>Exact details, if needed, are collected after account creation in packet completion.</x:v>
      </x:c>
      <x:c r="K256" s="142" t="str">
        <x:v>timing_and_completion</x:v>
      </x:c>
      <x:c r="L256" s="142" t="str">
        <x:v>derived_from_state_rule_fields</x:v>
      </x:c>
      <x:c r="M256" s="56" t="str">
        <x:v>https://github.com/Roger-LegalEase/legalease-partner-dashboard-clean/blob/2f0ef0403f16e57544ad0bc86b2d1b1cd08861b3/src/lib/rcap-engine/compiled/profiles/MT-montana.json</x:v>
      </x:c>
    </x:row>
    <x:row r="257">
      <x:c r="A257" s="55" t="str">
        <x:v>Montana</x:v>
      </x:c>
      <x:c r="B257" s="142" t="str">
        <x:v>MT</x:v>
      </x:c>
      <x:c r="C257" s="142" t="n">
        <x:v>10</x:v>
      </x:c>
      <x:c r="D257" s="142" t="str">
        <x:v>Timing / completion</x:v>
      </x:c>
      <x:c r="E257" s="142" t="str">
        <x:v>Have you completed everything the court ordered in this case?</x:v>
      </x:c>
      <x:c r="F257" s="142" t="str">
        <x:v>single_choice</x:v>
      </x:c>
      <x:c r="G257" s="142" t="str">
        <x:v>Ask only when a viable route depends on sentence, supervision, program, restitution, or financial completion.</x:v>
      </x:c>
      <x:c r="H257" s="142" t="str">
        <x:v>No → usually not yet or needs more information; Yes → continue; Not sure → defer exact proof.</x:v>
      </x:c>
      <x:c r="I257" s="142" t="str">
        <x:v>Completion-dependent routes</x:v>
      </x:c>
      <x:c r="J257" s="142" t="str">
        <x:v>Exact details, if needed, are collected after account creation in packet completion.</x:v>
      </x:c>
      <x:c r="K257" s="142" t="str">
        <x:v>timing_and_completion</x:v>
      </x:c>
      <x:c r="L257" s="142" t="str">
        <x:v>normalized_free_check</x:v>
      </x:c>
      <x:c r="M257" s="56" t="str">
        <x:v>https://github.com/Roger-LegalEase/legalease-partner-dashboard-clean/blob/2f0ef0403f16e57544ad0bc86b2d1b1cd08861b3/src/lib/rcap-engine/compiled/profiles/MT-montana.json</x:v>
      </x:c>
    </x:row>
    <x:row r="258">
      <x:c r="A258" s="55" t="str">
        <x:v>Montana</x:v>
      </x:c>
      <x:c r="B258" s="142" t="str">
        <x:v>MT</x:v>
      </x:c>
      <x:c r="C258" s="142" t="n">
        <x:v>11</x:v>
      </x:c>
      <x:c r="D258" s="142" t="str">
        <x:v>Timing / completion</x:v>
      </x:c>
      <x:c r="E258" s="142" t="str">
        <x:v>About how long ago did this case end or get resolved?</x:v>
      </x:c>
      <x:c r="F258" s="142" t="str">
        <x:v>single_choice</x:v>
      </x:c>
      <x:c r="G258" s="142" t="str">
        <x:v>Ask only when at least one viable route has a waiting period.</x:v>
      </x:c>
      <x:c r="H258" s="142" t="str">
        <x:v>Uses an approximate band for a preliminary result; exact dates are collected later.</x:v>
      </x:c>
      <x:c r="I258" s="142" t="str">
        <x:v>Timing-dependent routes</x:v>
      </x:c>
      <x:c r="J258" s="142" t="str">
        <x:v>Exact details, if needed, are collected after account creation in packet completion.</x:v>
      </x:c>
      <x:c r="K258" s="142" t="str">
        <x:v>timing_and_completion</x:v>
      </x:c>
      <x:c r="L258" s="142" t="str">
        <x:v>normalized_free_check</x:v>
      </x:c>
      <x:c r="M258" s="56" t="str">
        <x:v>https://github.com/Roger-LegalEase/legalease-partner-dashboard-clean/blob/2f0ef0403f16e57544ad0bc86b2d1b1cd08861b3/src/lib/rcap-engine/compiled/profiles/MT-montana.json</x:v>
      </x:c>
    </x:row>
    <x:row r="259">
      <x:c r="A259" s="55" t="str">
        <x:v>North Carolina</x:v>
      </x:c>
      <x:c r="B259" s="142" t="str">
        <x:v>NC</x:v>
      </x:c>
      <x:c r="C259" s="142" t="n">
        <x:v>1</x:v>
      </x:c>
      <x:c r="D259" s="142" t="str">
        <x:v>Scope</x:v>
      </x:c>
      <x:c r="E259" s="142" t="str">
        <x:v>Are you asking about your own record?</x:v>
      </x:c>
      <x:c r="F259" s="142" t="str">
        <x:v>single_choice</x:v>
      </x:c>
      <x:c r="G259" s="142" t="str">
        <x:v>Ask in every free check</x:v>
      </x:c>
      <x:c r="H259" s="142" t="str">
        <x:v>No → stop or redirect; Yes → continue.</x:v>
      </x:c>
      <x:c r="I259" s="142" t="str">
        <x:v>All routes</x:v>
      </x:c>
      <x:c r="J259" s="142" t="str">
        <x:v>Exact details, if needed, are collected after account creation in packet completion.</x:v>
      </x:c>
      <x:c r="K259" s="142" t="str">
        <x:v>scope</x:v>
      </x:c>
      <x:c r="L259" s="142" t="str">
        <x:v>shared_scope_boundary</x:v>
      </x:c>
      <x:c r="M259" s="56" t="str">
        <x:v>https://github.com/Roger-LegalEase/legalease-partner-dashboard-clean/blob/2f0ef0403f16e57544ad0bc86b2d1b1cd08861b3/src/lib/rcap-engine/compiled/profiles/NC-north-carolina.json</x:v>
      </x:c>
    </x:row>
    <x:row r="260">
      <x:c r="A260" s="55" t="str">
        <x:v>North Carolina</x:v>
      </x:c>
      <x:c r="B260" s="142" t="str">
        <x:v>NC</x:v>
      </x:c>
      <x:c r="C260" s="142" t="n">
        <x:v>2</x:v>
      </x:c>
      <x:c r="D260" s="142" t="str">
        <x:v>Scope</x:v>
      </x:c>
      <x:c r="E260" s="142" t="str">
        <x:v>Is this a state or local matter from North Carolina, rather than a federal matter?</x:v>
      </x:c>
      <x:c r="F260" s="142" t="str">
        <x:v>single_choice</x:v>
      </x:c>
      <x:c r="G260" s="142" t="str">
        <x:v>Ask in every free check</x:v>
      </x:c>
      <x:c r="H260" s="142" t="str">
        <x:v>Federal or wrong-state matter → outside this state flow; state/local matter → continue.</x:v>
      </x:c>
      <x:c r="I260" s="142" t="str">
        <x:v>All routes</x:v>
      </x:c>
      <x:c r="J260" s="142" t="str">
        <x:v>Exact details, if needed, are collected after account creation in packet completion.</x:v>
      </x:c>
      <x:c r="K260" s="142" t="str">
        <x:v>scope</x:v>
      </x:c>
      <x:c r="L260" s="142" t="str">
        <x:v>shared_scope_boundary</x:v>
      </x:c>
      <x:c r="M260" s="56" t="str">
        <x:v>https://github.com/Roger-LegalEase/legalease-partner-dashboard-clean/blob/2f0ef0403f16e57544ad0bc86b2d1b1cd08861b3/src/lib/rcap-engine/compiled/profiles/NC-north-carolina.json</x:v>
      </x:c>
    </x:row>
    <x:row r="261">
      <x:c r="A261" s="55" t="str">
        <x:v>North Carolina</x:v>
      </x:c>
      <x:c r="B261" s="142" t="str">
        <x:v>NC</x:v>
      </x:c>
      <x:c r="C261" s="142" t="n">
        <x:v>3</x:v>
      </x:c>
      <x:c r="D261" s="142" t="str">
        <x:v>Route identification</x:v>
      </x:c>
      <x:c r="E261" s="142" t="str">
        <x:v>How did the North Carolina case or record end?</x:v>
      </x:c>
      <x:c r="F261" s="142" t="str">
        <x:v>single_choice</x:v>
      </x:c>
      <x:c r="G261" s="142" t="str">
        <x:v>Ask after scope, before route-specific questions</x:v>
      </x:c>
      <x:c r="H261" s="142" t="str">
        <x:v>Splits nonconviction, conviction, diversion/deferred, juvenile, automatic, pardon, correction, and other route families.</x:v>
      </x:c>
      <x:c r="I261" s="142" t="str">
        <x:v>All routes</x:v>
      </x:c>
      <x:c r="J261" s="142" t="str">
        <x:v>Exact details, if needed, are collected after account creation in packet completion.</x:v>
      </x:c>
      <x:c r="K261" s="142" t="str">
        <x:v>pathway_routing</x:v>
      </x:c>
      <x:c r="L261" s="142" t="str">
        <x:v>state_case_outcome_rules</x:v>
      </x:c>
      <x:c r="M261" s="56" t="str">
        <x:v>https://github.com/Roger-LegalEase/legalease-partner-dashboard-clean/blob/2f0ef0403f16e57544ad0bc86b2d1b1cd08861b3/src/lib/rcap-engine/compiled/profiles/NC-north-carolina.json</x:v>
      </x:c>
    </x:row>
    <x:row r="262">
      <x:c r="A262" s="55" t="str">
        <x:v>North Carolina</x:v>
      </x:c>
      <x:c r="B262" s="142" t="str">
        <x:v>NC</x:v>
      </x:c>
      <x:c r="C262" s="142" t="n">
        <x:v>4</x:v>
      </x:c>
      <x:c r="D262" s="142" t="str">
        <x:v>Route identification</x:v>
      </x:c>
      <x:c r="E262" s="142" t="str">
        <x:v>What level or type was the charge?</x:v>
      </x:c>
      <x:c r="F262" s="142" t="str">
        <x:v>single_choice</x:v>
      </x:c>
      <x:c r="G262" s="142" t="str">
        <x:v>Ask after scope, before route-specific questions</x:v>
      </x:c>
      <x:c r="H262" s="142" t="str">
        <x:v>Narrows offense-level routes, waiting-period bands, and obvious exclusions.</x:v>
      </x:c>
      <x:c r="I262" s="142" t="str">
        <x:v>All routes</x:v>
      </x:c>
      <x:c r="J262" s="142" t="str">
        <x:v>Exact details, if needed, are collected after account creation in packet completion.</x:v>
      </x:c>
      <x:c r="K262" s="142" t="str">
        <x:v>pathway_routing</x:v>
      </x:c>
      <x:c r="L262" s="142" t="str">
        <x:v>state_pathway_and_exclusion_rules</x:v>
      </x:c>
      <x:c r="M262" s="56" t="str">
        <x:v>https://github.com/Roger-LegalEase/legalease-partner-dashboard-clean/blob/2f0ef0403f16e57544ad0bc86b2d1b1cd08861b3/src/lib/rcap-engine/compiled/profiles/NC-north-carolina.json</x:v>
      </x:c>
    </x:row>
    <x:row r="263">
      <x:c r="A263" s="55" t="str">
        <x:v>North Carolina</x:v>
      </x:c>
      <x:c r="B263" s="142" t="str">
        <x:v>NC</x:v>
      </x:c>
      <x:c r="C263" s="142" t="n">
        <x:v>5</x:v>
      </x:c>
      <x:c r="D263" s="142" t="str">
        <x:v>Route identification</x:v>
      </x:c>
      <x:c r="E263" s="142" t="str">
        <x:v>Do any of these North Carolina descriptions sound close to your situation?</x:v>
      </x:c>
      <x:c r="F263" s="142" t="str">
        <x:v>single_choice</x:v>
      </x:c>
      <x:c r="G263" s="142" t="str">
        <x:v>Ask after scope, before route-specific questions</x:v>
      </x:c>
      <x:c r="H263" s="142" t="str">
        <x:v>Lets the participant select a likely remedy or “not sure”; selection prunes unrelated route-specific questions.</x:v>
      </x:c>
      <x:c r="I263" s="142" t="str">
        <x:v>All routes</x:v>
      </x:c>
      <x:c r="J263" s="142" t="str">
        <x:v>Exact details, if needed, are collected after account creation in packet completion.</x:v>
      </x:c>
      <x:c r="K263" s="142" t="str">
        <x:v>pathway_routing</x:v>
      </x:c>
      <x:c r="L263" s="142" t="str">
        <x:v>curated_state_pathway_catalog_from_reference</x:v>
      </x:c>
      <x:c r="M263" s="56" t="str">
        <x:v>https://github.com/Roger-LegalEase/legalease-partner-dashboard-clean/blob/2f0ef0403f16e57544ad0bc86b2d1b1cd08861b3/src/lib/rcap-engine/compiled/profiles/NC-north-carolina.json</x:v>
      </x:c>
    </x:row>
    <x:row r="264">
      <x:c r="A264" s="55" t="str">
        <x:v>North Carolina</x:v>
      </x:c>
      <x:c r="B264" s="142" t="str">
        <x:v>NC</x:v>
      </x:c>
      <x:c r="C264" s="142" t="n">
        <x:v>6</x:v>
      </x:c>
      <x:c r="D264" s="142" t="str">
        <x:v>State-specific eligibility</x:v>
      </x:c>
      <x:c r="E264" s="142" t="str">
        <x:v>Have you previously received record-clearing relief in North Carolina or elsewhere?</x:v>
      </x:c>
      <x:c r="F264" s="142" t="str">
        <x:v>yes_no_unsure</x:v>
      </x:c>
      <x:c r="G264" s="142" t="str">
        <x:v>Ask only when prior use of relief affects the candidate route.</x:v>
      </x:c>
      <x:c r="H264" s="142" t="str">
        <x:v>Prior relief may limit the route, change the packet, or require review.</x:v>
      </x:c>
      <x:c r="I264" s="142" t="str">
        <x:v>Prior-relief-limited routes</x:v>
      </x:c>
      <x:c r="J264" s="142" t="str">
        <x:v>Exact details, if needed, are collected after account creation in packet completion.</x:v>
      </x:c>
      <x:c r="K264" s="142" t="str">
        <x:v>state_specific_eligibility</x:v>
      </x:c>
      <x:c r="L264" s="142" t="str">
        <x:v>derived_from_state_rule_fields</x:v>
      </x:c>
      <x:c r="M264" s="56" t="str">
        <x:v>https://github.com/Roger-LegalEase/legalease-partner-dashboard-clean/blob/2f0ef0403f16e57544ad0bc86b2d1b1cd08861b3/src/lib/rcap-engine/compiled/profiles/NC-north-carolina.json</x:v>
      </x:c>
    </x:row>
    <x:row r="265">
      <x:c r="A265" s="55" t="str">
        <x:v>North Carolina</x:v>
      </x:c>
      <x:c r="B265" s="142" t="str">
        <x:v>NC</x:v>
      </x:c>
      <x:c r="C265" s="142" t="n">
        <x:v>7</x:v>
      </x:c>
      <x:c r="D265" s="142" t="str">
        <x:v>Timing / completion</x:v>
      </x:c>
      <x:c r="E265" s="142" t="str">
        <x:v>Do you currently have any pending criminal charge, open case, probation, parole, or other supervision?</x:v>
      </x:c>
      <x:c r="F265" s="142" t="str">
        <x:v>yes_no_unsure</x:v>
      </x:c>
      <x:c r="G265" s="142" t="str">
        <x:v>Ask only when pending cases or active supervision can block the candidate route.</x:v>
      </x:c>
      <x:c r="H265" s="142" t="str">
        <x:v>Pending/open matter may produce not-yet, review, or a different route.</x:v>
      </x:c>
      <x:c r="I265" s="142" t="str">
        <x:v>Pending-case-sensitive routes</x:v>
      </x:c>
      <x:c r="J265" s="142" t="str">
        <x:v>Exact details, if needed, are collected after account creation in packet completion.</x:v>
      </x:c>
      <x:c r="K265" s="142" t="str">
        <x:v>timing_and_completion</x:v>
      </x:c>
      <x:c r="L265" s="142" t="str">
        <x:v>derived_from_state_rule_fields</x:v>
      </x:c>
      <x:c r="M265" s="56" t="str">
        <x:v>https://github.com/Roger-LegalEase/legalease-partner-dashboard-clean/blob/2f0ef0403f16e57544ad0bc86b2d1b1cd08861b3/src/lib/rcap-engine/compiled/profiles/NC-north-carolina.json</x:v>
      </x:c>
    </x:row>
    <x:row r="266">
      <x:c r="A266" s="55" t="str">
        <x:v>North Carolina</x:v>
      </x:c>
      <x:c r="B266" s="142" t="str">
        <x:v>NC</x:v>
      </x:c>
      <x:c r="C266" s="142" t="n">
        <x:v>8</x:v>
      </x:c>
      <x:c r="D266" s="142" t="str">
        <x:v>Timing / completion</x:v>
      </x:c>
      <x:c r="E266" s="142" t="str">
        <x:v>Have you completed everything the court ordered in this case?</x:v>
      </x:c>
      <x:c r="F266" s="142" t="str">
        <x:v>single_choice</x:v>
      </x:c>
      <x:c r="G266" s="142" t="str">
        <x:v>Ask only when a viable route depends on sentence, supervision, program, restitution, or financial completion.</x:v>
      </x:c>
      <x:c r="H266" s="142" t="str">
        <x:v>No → usually not yet or needs more information; Yes → continue; Not sure → defer exact proof.</x:v>
      </x:c>
      <x:c r="I266" s="142" t="str">
        <x:v>Completion-dependent routes</x:v>
      </x:c>
      <x:c r="J266" s="142" t="str">
        <x:v>Exact details, if needed, are collected after account creation in packet completion.</x:v>
      </x:c>
      <x:c r="K266" s="142" t="str">
        <x:v>timing_and_completion</x:v>
      </x:c>
      <x:c r="L266" s="142" t="str">
        <x:v>normalized_free_check</x:v>
      </x:c>
      <x:c r="M266" s="56" t="str">
        <x:v>https://github.com/Roger-LegalEase/legalease-partner-dashboard-clean/blob/2f0ef0403f16e57544ad0bc86b2d1b1cd08861b3/src/lib/rcap-engine/compiled/profiles/NC-north-carolina.json</x:v>
      </x:c>
    </x:row>
    <x:row r="267">
      <x:c r="A267" s="55" t="str">
        <x:v>North Carolina</x:v>
      </x:c>
      <x:c r="B267" s="142" t="str">
        <x:v>NC</x:v>
      </x:c>
      <x:c r="C267" s="142" t="n">
        <x:v>9</x:v>
      </x:c>
      <x:c r="D267" s="142" t="str">
        <x:v>Timing / completion</x:v>
      </x:c>
      <x:c r="E267" s="142" t="str">
        <x:v>About how long ago did this case end or get resolved?</x:v>
      </x:c>
      <x:c r="F267" s="142" t="str">
        <x:v>single_choice</x:v>
      </x:c>
      <x:c r="G267" s="142" t="str">
        <x:v>Ask only when at least one viable route has a waiting period.</x:v>
      </x:c>
      <x:c r="H267" s="142" t="str">
        <x:v>Uses an approximate band for a preliminary result; exact dates are collected later.</x:v>
      </x:c>
      <x:c r="I267" s="142" t="str">
        <x:v>Timing-dependent routes</x:v>
      </x:c>
      <x:c r="J267" s="142" t="str">
        <x:v>Exact details, if needed, are collected after account creation in packet completion.</x:v>
      </x:c>
      <x:c r="K267" s="142" t="str">
        <x:v>timing_and_completion</x:v>
      </x:c>
      <x:c r="L267" s="142" t="str">
        <x:v>normalized_free_check</x:v>
      </x:c>
      <x:c r="M267" s="56" t="str">
        <x:v>https://github.com/Roger-LegalEase/legalease-partner-dashboard-clean/blob/2f0ef0403f16e57544ad0bc86b2d1b1cd08861b3/src/lib/rcap-engine/compiled/profiles/NC-north-carolina.json</x:v>
      </x:c>
    </x:row>
    <x:row r="268">
      <x:c r="A268" s="55" t="str">
        <x:v>North Carolina</x:v>
      </x:c>
      <x:c r="B268" s="142" t="str">
        <x:v>NC</x:v>
      </x:c>
      <x:c r="C268" s="142" t="n">
        <x:v>10</x:v>
      </x:c>
      <x:c r="D268" s="142" t="str">
        <x:v>Exclusions / review</x:v>
      </x:c>
      <x:c r="E268" s="142" t="str">
        <x:v>Does the record involve any North Carolina category that the source identifies as excluded or review-required?</x:v>
      </x:c>
      <x:c r="F268" s="142" t="str">
        <x:v>multi_select</x:v>
      </x:c>
      <x:c r="G268" s="142" t="str">
        <x:v>Ask after the route is narrowed; show only categories relevant to the remaining route.</x:v>
      </x:c>
      <x:c r="H268" s="142" t="str">
        <x:v>Matching category → hard stop or review; none → continue.</x:v>
      </x:c>
      <x:c r="I268" s="142" t="str">
        <x:v>Route-specific exclusions</x:v>
      </x:c>
      <x:c r="J268" s="142" t="str">
        <x:v>Exact details, if needed, are collected after account creation in packet completion.</x:v>
      </x:c>
      <x:c r="K268" s="142" t="str">
        <x:v>exclusion_screen</x:v>
      </x:c>
      <x:c r="L268" s="142" t="str">
        <x:v>state_exclusion_section</x:v>
      </x:c>
      <x:c r="M268" s="56" t="str">
        <x:v>https://github.com/Roger-LegalEase/legalease-partner-dashboard-clean/blob/2f0ef0403f16e57544ad0bc86b2d1b1cd08861b3/src/lib/rcap-engine/compiled/profiles/NC-north-carolina.json</x:v>
      </x:c>
    </x:row>
    <x:row r="269">
      <x:c r="A269" s="55" t="str">
        <x:v>North Dakota</x:v>
      </x:c>
      <x:c r="B269" s="142" t="str">
        <x:v>ND</x:v>
      </x:c>
      <x:c r="C269" s="142" t="n">
        <x:v>1</x:v>
      </x:c>
      <x:c r="D269" s="142" t="str">
        <x:v>Scope</x:v>
      </x:c>
      <x:c r="E269" s="142" t="str">
        <x:v>Are you asking about your own record?</x:v>
      </x:c>
      <x:c r="F269" s="142" t="str">
        <x:v>single_choice</x:v>
      </x:c>
      <x:c r="G269" s="142" t="str">
        <x:v>Ask in every free check</x:v>
      </x:c>
      <x:c r="H269" s="142" t="str">
        <x:v>No → stop or redirect; Yes → continue.</x:v>
      </x:c>
      <x:c r="I269" s="142" t="str">
        <x:v>All routes</x:v>
      </x:c>
      <x:c r="J269" s="142" t="str">
        <x:v>Exact details, if needed, are collected after account creation in packet completion.</x:v>
      </x:c>
      <x:c r="K269" s="142" t="str">
        <x:v>scope</x:v>
      </x:c>
      <x:c r="L269" s="142" t="str">
        <x:v>shared_scope_boundary</x:v>
      </x:c>
      <x:c r="M269" s="56" t="str">
        <x:v>https://github.com/Roger-LegalEase/legalease-partner-dashboard-clean/blob/2f0ef0403f16e57544ad0bc86b2d1b1cd08861b3/src/lib/rcap-engine/compiled/profiles/ND-north-dakota.json</x:v>
      </x:c>
    </x:row>
    <x:row r="270">
      <x:c r="A270" s="55" t="str">
        <x:v>North Dakota</x:v>
      </x:c>
      <x:c r="B270" s="142" t="str">
        <x:v>ND</x:v>
      </x:c>
      <x:c r="C270" s="142" t="n">
        <x:v>2</x:v>
      </x:c>
      <x:c r="D270" s="142" t="str">
        <x:v>Scope</x:v>
      </x:c>
      <x:c r="E270" s="142" t="str">
        <x:v>Is this a state or local matter from North Dakota, rather than a federal matter?</x:v>
      </x:c>
      <x:c r="F270" s="142" t="str">
        <x:v>single_choice</x:v>
      </x:c>
      <x:c r="G270" s="142" t="str">
        <x:v>Ask in every free check</x:v>
      </x:c>
      <x:c r="H270" s="142" t="str">
        <x:v>Federal or wrong-state matter → outside this state flow; state/local matter → continue.</x:v>
      </x:c>
      <x:c r="I270" s="142" t="str">
        <x:v>All routes</x:v>
      </x:c>
      <x:c r="J270" s="142" t="str">
        <x:v>Exact details, if needed, are collected after account creation in packet completion.</x:v>
      </x:c>
      <x:c r="K270" s="142" t="str">
        <x:v>scope</x:v>
      </x:c>
      <x:c r="L270" s="142" t="str">
        <x:v>shared_scope_boundary</x:v>
      </x:c>
      <x:c r="M270" s="56" t="str">
        <x:v>https://github.com/Roger-LegalEase/legalease-partner-dashboard-clean/blob/2f0ef0403f16e57544ad0bc86b2d1b1cd08861b3/src/lib/rcap-engine/compiled/profiles/ND-north-dakota.json</x:v>
      </x:c>
    </x:row>
    <x:row r="271">
      <x:c r="A271" s="55" t="str">
        <x:v>North Dakota</x:v>
      </x:c>
      <x:c r="B271" s="142" t="str">
        <x:v>ND</x:v>
      </x:c>
      <x:c r="C271" s="142" t="n">
        <x:v>3</x:v>
      </x:c>
      <x:c r="D271" s="142" t="str">
        <x:v>Route identification</x:v>
      </x:c>
      <x:c r="E271" s="142" t="str">
        <x:v>How did the North Dakota case or record end?</x:v>
      </x:c>
      <x:c r="F271" s="142" t="str">
        <x:v>single_choice</x:v>
      </x:c>
      <x:c r="G271" s="142" t="str">
        <x:v>Ask after scope, before route-specific questions</x:v>
      </x:c>
      <x:c r="H271" s="142" t="str">
        <x:v>Splits nonconviction, conviction, diversion/deferred, juvenile, automatic, pardon, correction, and other route families.</x:v>
      </x:c>
      <x:c r="I271" s="142" t="str">
        <x:v>All routes</x:v>
      </x:c>
      <x:c r="J271" s="142" t="str">
        <x:v>Exact details, if needed, are collected after account creation in packet completion.</x:v>
      </x:c>
      <x:c r="K271" s="142" t="str">
        <x:v>pathway_routing</x:v>
      </x:c>
      <x:c r="L271" s="142" t="str">
        <x:v>state_case_outcome_rules</x:v>
      </x:c>
      <x:c r="M271" s="56" t="str">
        <x:v>https://github.com/Roger-LegalEase/legalease-partner-dashboard-clean/blob/2f0ef0403f16e57544ad0bc86b2d1b1cd08861b3/src/lib/rcap-engine/compiled/profiles/ND-north-dakota.json</x:v>
      </x:c>
    </x:row>
    <x:row r="272">
      <x:c r="A272" s="55" t="str">
        <x:v>North Dakota</x:v>
      </x:c>
      <x:c r="B272" s="142" t="str">
        <x:v>ND</x:v>
      </x:c>
      <x:c r="C272" s="142" t="n">
        <x:v>4</x:v>
      </x:c>
      <x:c r="D272" s="142" t="str">
        <x:v>Route identification</x:v>
      </x:c>
      <x:c r="E272" s="142" t="str">
        <x:v>What level or type was the charge?</x:v>
      </x:c>
      <x:c r="F272" s="142" t="str">
        <x:v>single_choice</x:v>
      </x:c>
      <x:c r="G272" s="142" t="str">
        <x:v>Ask after scope, before route-specific questions</x:v>
      </x:c>
      <x:c r="H272" s="142" t="str">
        <x:v>Narrows offense-level routes, waiting-period bands, and obvious exclusions.</x:v>
      </x:c>
      <x:c r="I272" s="142" t="str">
        <x:v>All routes</x:v>
      </x:c>
      <x:c r="J272" s="142" t="str">
        <x:v>Exact details, if needed, are collected after account creation in packet completion.</x:v>
      </x:c>
      <x:c r="K272" s="142" t="str">
        <x:v>pathway_routing</x:v>
      </x:c>
      <x:c r="L272" s="142" t="str">
        <x:v>state_pathway_and_exclusion_rules</x:v>
      </x:c>
      <x:c r="M272" s="56" t="str">
        <x:v>https://github.com/Roger-LegalEase/legalease-partner-dashboard-clean/blob/2f0ef0403f16e57544ad0bc86b2d1b1cd08861b3/src/lib/rcap-engine/compiled/profiles/ND-north-dakota.json</x:v>
      </x:c>
    </x:row>
    <x:row r="273">
      <x:c r="A273" s="55" t="str">
        <x:v>North Dakota</x:v>
      </x:c>
      <x:c r="B273" s="142" t="str">
        <x:v>ND</x:v>
      </x:c>
      <x:c r="C273" s="142" t="n">
        <x:v>5</x:v>
      </x:c>
      <x:c r="D273" s="142" t="str">
        <x:v>Route identification</x:v>
      </x:c>
      <x:c r="E273" s="142" t="str">
        <x:v>Do any of these North Dakota descriptions sound close to your situation?</x:v>
      </x:c>
      <x:c r="F273" s="142" t="str">
        <x:v>single_choice</x:v>
      </x:c>
      <x:c r="G273" s="142" t="str">
        <x:v>Ask after scope, before route-specific questions</x:v>
      </x:c>
      <x:c r="H273" s="142" t="str">
        <x:v>Lets the participant select a likely remedy or “not sure”; selection prunes unrelated route-specific questions.</x:v>
      </x:c>
      <x:c r="I273" s="142" t="str">
        <x:v>All routes</x:v>
      </x:c>
      <x:c r="J273" s="142" t="str">
        <x:v>Exact details, if needed, are collected after account creation in packet completion.</x:v>
      </x:c>
      <x:c r="K273" s="142" t="str">
        <x:v>pathway_routing</x:v>
      </x:c>
      <x:c r="L273" s="142" t="str">
        <x:v>curated_state_pathway_catalog_from_reference</x:v>
      </x:c>
      <x:c r="M273" s="56" t="str">
        <x:v>https://github.com/Roger-LegalEase/legalease-partner-dashboard-clean/blob/2f0ef0403f16e57544ad0bc86b2d1b1cd08861b3/src/lib/rcap-engine/compiled/profiles/ND-north-dakota.json</x:v>
      </x:c>
    </x:row>
    <x:row r="274">
      <x:c r="A274" s="55" t="str">
        <x:v>North Dakota</x:v>
      </x:c>
      <x:c r="B274" s="142" t="str">
        <x:v>ND</x:v>
      </x:c>
      <x:c r="C274" s="142" t="n">
        <x:v>6</x:v>
      </x:c>
      <x:c r="D274" s="142" t="str">
        <x:v>Timing / completion</x:v>
      </x:c>
      <x:c r="E274" s="142" t="str">
        <x:v>About how long ago did this case end or get resolved?</x:v>
      </x:c>
      <x:c r="F274" s="142" t="str">
        <x:v>single_choice</x:v>
      </x:c>
      <x:c r="G274" s="142" t="str">
        <x:v>Ask only when at least one viable route has a waiting period.</x:v>
      </x:c>
      <x:c r="H274" s="142" t="str">
        <x:v>Uses an approximate band for a preliminary result; exact dates are collected later.</x:v>
      </x:c>
      <x:c r="I274" s="142" t="str">
        <x:v>Timing-dependent routes</x:v>
      </x:c>
      <x:c r="J274" s="142" t="str">
        <x:v>Exact details, if needed, are collected after account creation in packet completion.</x:v>
      </x:c>
      <x:c r="K274" s="142" t="str">
        <x:v>timing_and_completion</x:v>
      </x:c>
      <x:c r="L274" s="142" t="str">
        <x:v>normalized_free_check</x:v>
      </x:c>
      <x:c r="M274" s="56" t="str">
        <x:v>https://github.com/Roger-LegalEase/legalease-partner-dashboard-clean/blob/2f0ef0403f16e57544ad0bc86b2d1b1cd08861b3/src/lib/rcap-engine/compiled/profiles/ND-north-dakota.json</x:v>
      </x:c>
    </x:row>
    <x:row r="275">
      <x:c r="A275" s="55" t="str">
        <x:v>Nebraska</x:v>
      </x:c>
      <x:c r="B275" s="142" t="str">
        <x:v>NE</x:v>
      </x:c>
      <x:c r="C275" s="142" t="n">
        <x:v>1</x:v>
      </x:c>
      <x:c r="D275" s="142" t="str">
        <x:v>Scope</x:v>
      </x:c>
      <x:c r="E275" s="142" t="str">
        <x:v>Are you asking about your own record?</x:v>
      </x:c>
      <x:c r="F275" s="142" t="str">
        <x:v>single_choice</x:v>
      </x:c>
      <x:c r="G275" s="142" t="str">
        <x:v>Ask in every free check</x:v>
      </x:c>
      <x:c r="H275" s="142" t="str">
        <x:v>No → stop or redirect; Yes → continue.</x:v>
      </x:c>
      <x:c r="I275" s="142" t="str">
        <x:v>All routes</x:v>
      </x:c>
      <x:c r="J275" s="142" t="str">
        <x:v>Exact details, if needed, are collected after account creation in packet completion.</x:v>
      </x:c>
      <x:c r="K275" s="142" t="str">
        <x:v>scope</x:v>
      </x:c>
      <x:c r="L275" s="142" t="str">
        <x:v>shared_scope_boundary</x:v>
      </x:c>
      <x:c r="M275" s="56" t="str">
        <x:v>https://github.com/Roger-LegalEase/legalease-partner-dashboard-clean/blob/2f0ef0403f16e57544ad0bc86b2d1b1cd08861b3/src/lib/rcap-engine/compiled/profiles/NE-nebraska.json</x:v>
      </x:c>
    </x:row>
    <x:row r="276">
      <x:c r="A276" s="55" t="str">
        <x:v>Nebraska</x:v>
      </x:c>
      <x:c r="B276" s="142" t="str">
        <x:v>NE</x:v>
      </x:c>
      <x:c r="C276" s="142" t="n">
        <x:v>2</x:v>
      </x:c>
      <x:c r="D276" s="142" t="str">
        <x:v>Scope</x:v>
      </x:c>
      <x:c r="E276" s="142" t="str">
        <x:v>Is this a state or local matter from Nebraska, rather than a federal matter?</x:v>
      </x:c>
      <x:c r="F276" s="142" t="str">
        <x:v>single_choice</x:v>
      </x:c>
      <x:c r="G276" s="142" t="str">
        <x:v>Ask in every free check</x:v>
      </x:c>
      <x:c r="H276" s="142" t="str">
        <x:v>Federal or wrong-state matter → outside this state flow; state/local matter → continue.</x:v>
      </x:c>
      <x:c r="I276" s="142" t="str">
        <x:v>All routes</x:v>
      </x:c>
      <x:c r="J276" s="142" t="str">
        <x:v>Exact details, if needed, are collected after account creation in packet completion.</x:v>
      </x:c>
      <x:c r="K276" s="142" t="str">
        <x:v>scope</x:v>
      </x:c>
      <x:c r="L276" s="142" t="str">
        <x:v>shared_scope_boundary</x:v>
      </x:c>
      <x:c r="M276" s="56" t="str">
        <x:v>https://github.com/Roger-LegalEase/legalease-partner-dashboard-clean/blob/2f0ef0403f16e57544ad0bc86b2d1b1cd08861b3/src/lib/rcap-engine/compiled/profiles/NE-nebraska.json</x:v>
      </x:c>
    </x:row>
    <x:row r="277">
      <x:c r="A277" s="55" t="str">
        <x:v>Nebraska</x:v>
      </x:c>
      <x:c r="B277" s="142" t="str">
        <x:v>NE</x:v>
      </x:c>
      <x:c r="C277" s="142" t="n">
        <x:v>3</x:v>
      </x:c>
      <x:c r="D277" s="142" t="str">
        <x:v>Route identification</x:v>
      </x:c>
      <x:c r="E277" s="142" t="str">
        <x:v>How did the Nebraska case or record end?</x:v>
      </x:c>
      <x:c r="F277" s="142" t="str">
        <x:v>single_choice</x:v>
      </x:c>
      <x:c r="G277" s="142" t="str">
        <x:v>Ask after scope, before route-specific questions</x:v>
      </x:c>
      <x:c r="H277" s="142" t="str">
        <x:v>Splits nonconviction, conviction, diversion/deferred, juvenile, automatic, pardon, correction, and other route families.</x:v>
      </x:c>
      <x:c r="I277" s="142" t="str">
        <x:v>All routes</x:v>
      </x:c>
      <x:c r="J277" s="142" t="str">
        <x:v>Exact details, if needed, are collected after account creation in packet completion.</x:v>
      </x:c>
      <x:c r="K277" s="142" t="str">
        <x:v>pathway_routing</x:v>
      </x:c>
      <x:c r="L277" s="142" t="str">
        <x:v>state_case_outcome_rules</x:v>
      </x:c>
      <x:c r="M277" s="56" t="str">
        <x:v>https://github.com/Roger-LegalEase/legalease-partner-dashboard-clean/blob/2f0ef0403f16e57544ad0bc86b2d1b1cd08861b3/src/lib/rcap-engine/compiled/profiles/NE-nebraska.json</x:v>
      </x:c>
    </x:row>
    <x:row r="278">
      <x:c r="A278" s="55" t="str">
        <x:v>Nebraska</x:v>
      </x:c>
      <x:c r="B278" s="142" t="str">
        <x:v>NE</x:v>
      </x:c>
      <x:c r="C278" s="142" t="n">
        <x:v>4</x:v>
      </x:c>
      <x:c r="D278" s="142" t="str">
        <x:v>Route identification</x:v>
      </x:c>
      <x:c r="E278" s="142" t="str">
        <x:v>What level or type was the charge?</x:v>
      </x:c>
      <x:c r="F278" s="142" t="str">
        <x:v>single_choice</x:v>
      </x:c>
      <x:c r="G278" s="142" t="str">
        <x:v>Ask after scope, before route-specific questions</x:v>
      </x:c>
      <x:c r="H278" s="142" t="str">
        <x:v>Narrows offense-level routes, waiting-period bands, and obvious exclusions.</x:v>
      </x:c>
      <x:c r="I278" s="142" t="str">
        <x:v>All routes</x:v>
      </x:c>
      <x:c r="J278" s="142" t="str">
        <x:v>Exact details, if needed, are collected after account creation in packet completion.</x:v>
      </x:c>
      <x:c r="K278" s="142" t="str">
        <x:v>pathway_routing</x:v>
      </x:c>
      <x:c r="L278" s="142" t="str">
        <x:v>state_pathway_and_exclusion_rules</x:v>
      </x:c>
      <x:c r="M278" s="56" t="str">
        <x:v>https://github.com/Roger-LegalEase/legalease-partner-dashboard-clean/blob/2f0ef0403f16e57544ad0bc86b2d1b1cd08861b3/src/lib/rcap-engine/compiled/profiles/NE-nebraska.json</x:v>
      </x:c>
    </x:row>
    <x:row r="279">
      <x:c r="A279" s="55" t="str">
        <x:v>Nebraska</x:v>
      </x:c>
      <x:c r="B279" s="142" t="str">
        <x:v>NE</x:v>
      </x:c>
      <x:c r="C279" s="142" t="n">
        <x:v>5</x:v>
      </x:c>
      <x:c r="D279" s="142" t="str">
        <x:v>Route identification</x:v>
      </x:c>
      <x:c r="E279" s="142" t="str">
        <x:v>Do any of these Nebraska descriptions sound close to your situation?</x:v>
      </x:c>
      <x:c r="F279" s="142" t="str">
        <x:v>single_choice</x:v>
      </x:c>
      <x:c r="G279" s="142" t="str">
        <x:v>Ask after scope, before route-specific questions</x:v>
      </x:c>
      <x:c r="H279" s="142" t="str">
        <x:v>Lets the participant select a likely remedy or “not sure”; selection prunes unrelated route-specific questions.</x:v>
      </x:c>
      <x:c r="I279" s="142" t="str">
        <x:v>All routes</x:v>
      </x:c>
      <x:c r="J279" s="142" t="str">
        <x:v>Exact details, if needed, are collected after account creation in packet completion.</x:v>
      </x:c>
      <x:c r="K279" s="142" t="str">
        <x:v>pathway_routing</x:v>
      </x:c>
      <x:c r="L279" s="142" t="str">
        <x:v>curated_state_pathway_catalog_from_reference</x:v>
      </x:c>
      <x:c r="M279" s="56" t="str">
        <x:v>https://github.com/Roger-LegalEase/legalease-partner-dashboard-clean/blob/2f0ef0403f16e57544ad0bc86b2d1b1cd08861b3/src/lib/rcap-engine/compiled/profiles/NE-nebraska.json</x:v>
      </x:c>
    </x:row>
    <x:row r="280">
      <x:c r="A280" s="55" t="str">
        <x:v>Nebraska</x:v>
      </x:c>
      <x:c r="B280" s="142" t="str">
        <x:v>NE</x:v>
      </x:c>
      <x:c r="C280" s="142" t="n">
        <x:v>6</x:v>
      </x:c>
      <x:c r="D280" s="142" t="str">
        <x:v>Route identification</x:v>
      </x:c>
      <x:c r="E280" s="142" t="str">
        <x:v>How old were you when the offense or case began?</x:v>
      </x:c>
      <x:c r="F280" s="142" t="str">
        <x:v>number_or_range</x:v>
      </x:c>
      <x:c r="G280" s="142" t="str">
        <x:v>Ask only when adult-versus-juvenile or youthful-offender treatment may change the route.</x:v>
      </x:c>
      <x:c r="H280" s="142" t="str">
        <x:v>Routes to juvenile/youthful-offender logic or keeps the adult route.</x:v>
      </x:c>
      <x:c r="I280" s="142" t="str">
        <x:v>Age-sensitive routes</x:v>
      </x:c>
      <x:c r="J280" s="142" t="str">
        <x:v>Exact details, if needed, are collected after account creation in packet completion.</x:v>
      </x:c>
      <x:c r="K280" s="142" t="str">
        <x:v>pathway_routing</x:v>
      </x:c>
      <x:c r="L280" s="142" t="str">
        <x:v>derived_from_state_rule_fields</x:v>
      </x:c>
      <x:c r="M280" s="56" t="str">
        <x:v>https://github.com/Roger-LegalEase/legalease-partner-dashboard-clean/blob/2f0ef0403f16e57544ad0bc86b2d1b1cd08861b3/src/lib/rcap-engine/compiled/profiles/NE-nebraska.json</x:v>
      </x:c>
    </x:row>
    <x:row r="281">
      <x:c r="A281" s="55" t="str">
        <x:v>Nebraska</x:v>
      </x:c>
      <x:c r="B281" s="142" t="str">
        <x:v>NE</x:v>
      </x:c>
      <x:c r="C281" s="142" t="n">
        <x:v>7</x:v>
      </x:c>
      <x:c r="D281" s="142" t="str">
        <x:v>Special pathway</x:v>
      </x:c>
      <x:c r="E281" s="142" t="str">
        <x:v>Have you received a pardon, certificate of rehabilitation, or similar executive relief for this conviction?</x:v>
      </x:c>
      <x:c r="F281" s="142" t="str">
        <x:v>yes_no_unsure</x:v>
      </x:c>
      <x:c r="G281" s="142" t="str">
        <x:v>Ask only while a pardon or executive-relief route remains viable.</x:v>
      </x:c>
      <x:c r="H281" s="142" t="str">
        <x:v>Yes may open a pardon-based route; No preserves ordinary routes; Not sure defers proof.</x:v>
      </x:c>
      <x:c r="I281" s="142" t="str">
        <x:v>Pardon / executive-relief routes</x:v>
      </x:c>
      <x:c r="J281" s="142" t="str">
        <x:v>Exact details, if needed, are collected after account creation in packet completion.</x:v>
      </x:c>
      <x:c r="K281" s="142" t="str">
        <x:v>special_pathways</x:v>
      </x:c>
      <x:c r="L281" s="142" t="str">
        <x:v>derived_from_state_rule_fields</x:v>
      </x:c>
      <x:c r="M281" s="56" t="str">
        <x:v>https://github.com/Roger-LegalEase/legalease-partner-dashboard-clean/blob/2f0ef0403f16e57544ad0bc86b2d1b1cd08861b3/src/lib/rcap-engine/compiled/profiles/NE-nebraska.json</x:v>
      </x:c>
    </x:row>
    <x:row r="282">
      <x:c r="A282" s="55" t="str">
        <x:v>Nebraska</x:v>
      </x:c>
      <x:c r="B282" s="142" t="str">
        <x:v>NE</x:v>
      </x:c>
      <x:c r="C282" s="142" t="n">
        <x:v>8</x:v>
      </x:c>
      <x:c r="D282" s="142" t="str">
        <x:v>Special pathway</x:v>
      </x:c>
      <x:c r="E282" s="142" t="str">
        <x:v>Was the arrest or record caused by mistaken identity, identity theft, or law-enforcement error?</x:v>
      </x:c>
      <x:c r="F282" s="142" t="str">
        <x:v>yes_no_unsure</x:v>
      </x:c>
      <x:c r="G282" s="142" t="str">
        <x:v>Ask only while an identity-correction route remains viable.</x:v>
      </x:c>
      <x:c r="H282" s="142" t="str">
        <x:v>Yes routes to correction/sealing logic distinct from ordinary conviction relief.</x:v>
      </x:c>
      <x:c r="I282" s="142" t="str">
        <x:v>Mistaken-identity / correction routes</x:v>
      </x:c>
      <x:c r="J282" s="142" t="str">
        <x:v>Exact details, if needed, are collected after account creation in packet completion.</x:v>
      </x:c>
      <x:c r="K282" s="142" t="str">
        <x:v>special_pathways</x:v>
      </x:c>
      <x:c r="L282" s="142" t="str">
        <x:v>derived_from_state_rule_fields</x:v>
      </x:c>
      <x:c r="M282" s="56" t="str">
        <x:v>https://github.com/Roger-LegalEase/legalease-partner-dashboard-clean/blob/2f0ef0403f16e57544ad0bc86b2d1b1cd08861b3/src/lib/rcap-engine/compiled/profiles/NE-nebraska.json</x:v>
      </x:c>
    </x:row>
    <x:row r="283">
      <x:c r="A283" s="55" t="str">
        <x:v>Nebraska</x:v>
      </x:c>
      <x:c r="B283" s="142" t="str">
        <x:v>NE</x:v>
      </x:c>
      <x:c r="C283" s="142" t="n">
        <x:v>9</x:v>
      </x:c>
      <x:c r="D283" s="142" t="str">
        <x:v>Timing / completion</x:v>
      </x:c>
      <x:c r="E283" s="142" t="str">
        <x:v>Do you currently have any pending criminal charge, open case, probation, parole, or other supervision?</x:v>
      </x:c>
      <x:c r="F283" s="142" t="str">
        <x:v>yes_no_unsure</x:v>
      </x:c>
      <x:c r="G283" s="142" t="str">
        <x:v>Ask only when pending cases or active supervision can block the candidate route.</x:v>
      </x:c>
      <x:c r="H283" s="142" t="str">
        <x:v>Pending/open matter may produce not-yet, review, or a different route.</x:v>
      </x:c>
      <x:c r="I283" s="142" t="str">
        <x:v>Pending-case-sensitive routes</x:v>
      </x:c>
      <x:c r="J283" s="142" t="str">
        <x:v>Exact details, if needed, are collected after account creation in packet completion.</x:v>
      </x:c>
      <x:c r="K283" s="142" t="str">
        <x:v>timing_and_completion</x:v>
      </x:c>
      <x:c r="L283" s="142" t="str">
        <x:v>derived_from_state_rule_fields</x:v>
      </x:c>
      <x:c r="M283" s="56" t="str">
        <x:v>https://github.com/Roger-LegalEase/legalease-partner-dashboard-clean/blob/2f0ef0403f16e57544ad0bc86b2d1b1cd08861b3/src/lib/rcap-engine/compiled/profiles/NE-nebraska.json</x:v>
      </x:c>
    </x:row>
    <x:row r="284">
      <x:c r="A284" s="55" t="str">
        <x:v>Nebraska</x:v>
      </x:c>
      <x:c r="B284" s="142" t="str">
        <x:v>NE</x:v>
      </x:c>
      <x:c r="C284" s="142" t="n">
        <x:v>10</x:v>
      </x:c>
      <x:c r="D284" s="142" t="str">
        <x:v>Timing / completion</x:v>
      </x:c>
      <x:c r="E284" s="142" t="str">
        <x:v>Have you completed everything the court ordered in this case?</x:v>
      </x:c>
      <x:c r="F284" s="142" t="str">
        <x:v>single_choice</x:v>
      </x:c>
      <x:c r="G284" s="142" t="str">
        <x:v>Ask only when a viable route depends on sentence, supervision, program, restitution, or financial completion.</x:v>
      </x:c>
      <x:c r="H284" s="142" t="str">
        <x:v>No → usually not yet or needs more information; Yes → continue; Not sure → defer exact proof.</x:v>
      </x:c>
      <x:c r="I284" s="142" t="str">
        <x:v>Completion-dependent routes</x:v>
      </x:c>
      <x:c r="J284" s="142" t="str">
        <x:v>Exact details, if needed, are collected after account creation in packet completion.</x:v>
      </x:c>
      <x:c r="K284" s="142" t="str">
        <x:v>timing_and_completion</x:v>
      </x:c>
      <x:c r="L284" s="142" t="str">
        <x:v>normalized_free_check</x:v>
      </x:c>
      <x:c r="M284" s="56" t="str">
        <x:v>https://github.com/Roger-LegalEase/legalease-partner-dashboard-clean/blob/2f0ef0403f16e57544ad0bc86b2d1b1cd08861b3/src/lib/rcap-engine/compiled/profiles/NE-nebraska.json</x:v>
      </x:c>
    </x:row>
    <x:row r="285">
      <x:c r="A285" s="55" t="str">
        <x:v>Nebraska</x:v>
      </x:c>
      <x:c r="B285" s="142" t="str">
        <x:v>NE</x:v>
      </x:c>
      <x:c r="C285" s="142" t="n">
        <x:v>11</x:v>
      </x:c>
      <x:c r="D285" s="142" t="str">
        <x:v>Timing / completion</x:v>
      </x:c>
      <x:c r="E285" s="142" t="str">
        <x:v>About how long ago did this case end or get resolved?</x:v>
      </x:c>
      <x:c r="F285" s="142" t="str">
        <x:v>single_choice</x:v>
      </x:c>
      <x:c r="G285" s="142" t="str">
        <x:v>Ask only when at least one viable route has a waiting period.</x:v>
      </x:c>
      <x:c r="H285" s="142" t="str">
        <x:v>Uses an approximate band for a preliminary result; exact dates are collected later.</x:v>
      </x:c>
      <x:c r="I285" s="142" t="str">
        <x:v>Timing-dependent routes</x:v>
      </x:c>
      <x:c r="J285" s="142" t="str">
        <x:v>Exact details, if needed, are collected after account creation in packet completion.</x:v>
      </x:c>
      <x:c r="K285" s="142" t="str">
        <x:v>timing_and_completion</x:v>
      </x:c>
      <x:c r="L285" s="142" t="str">
        <x:v>normalized_free_check</x:v>
      </x:c>
      <x:c r="M285" s="56" t="str">
        <x:v>https://github.com/Roger-LegalEase/legalease-partner-dashboard-clean/blob/2f0ef0403f16e57544ad0bc86b2d1b1cd08861b3/src/lib/rcap-engine/compiled/profiles/NE-nebraska.json</x:v>
      </x:c>
    </x:row>
    <x:row r="286">
      <x:c r="A286" s="55" t="str">
        <x:v>New Hampshire</x:v>
      </x:c>
      <x:c r="B286" s="142" t="str">
        <x:v>NH</x:v>
      </x:c>
      <x:c r="C286" s="142" t="n">
        <x:v>1</x:v>
      </x:c>
      <x:c r="D286" s="142" t="str">
        <x:v>Scope</x:v>
      </x:c>
      <x:c r="E286" s="142" t="str">
        <x:v>Are you asking about your own record?</x:v>
      </x:c>
      <x:c r="F286" s="142" t="str">
        <x:v>single_choice</x:v>
      </x:c>
      <x:c r="G286" s="142" t="str">
        <x:v>Ask in every free check</x:v>
      </x:c>
      <x:c r="H286" s="142" t="str">
        <x:v>No → stop or redirect; Yes → continue.</x:v>
      </x:c>
      <x:c r="I286" s="142" t="str">
        <x:v>All routes</x:v>
      </x:c>
      <x:c r="J286" s="142" t="str">
        <x:v>Exact details, if needed, are collected after account creation in packet completion.</x:v>
      </x:c>
      <x:c r="K286" s="142" t="str">
        <x:v>scope</x:v>
      </x:c>
      <x:c r="L286" s="142" t="str">
        <x:v>shared_scope_boundary</x:v>
      </x:c>
      <x:c r="M286" s="56" t="str">
        <x:v>https://github.com/Roger-LegalEase/legalease-partner-dashboard-clean/blob/2f0ef0403f16e57544ad0bc86b2d1b1cd08861b3/src/lib/rcap-engine/compiled/profiles/NH-new-hampshire.json</x:v>
      </x:c>
    </x:row>
    <x:row r="287">
      <x:c r="A287" s="55" t="str">
        <x:v>New Hampshire</x:v>
      </x:c>
      <x:c r="B287" s="142" t="str">
        <x:v>NH</x:v>
      </x:c>
      <x:c r="C287" s="142" t="n">
        <x:v>2</x:v>
      </x:c>
      <x:c r="D287" s="142" t="str">
        <x:v>Scope</x:v>
      </x:c>
      <x:c r="E287" s="142" t="str">
        <x:v>Is this a state or local matter from New Hampshire, rather than a federal matter?</x:v>
      </x:c>
      <x:c r="F287" s="142" t="str">
        <x:v>single_choice</x:v>
      </x:c>
      <x:c r="G287" s="142" t="str">
        <x:v>Ask in every free check</x:v>
      </x:c>
      <x:c r="H287" s="142" t="str">
        <x:v>Federal or wrong-state matter → outside this state flow; state/local matter → continue.</x:v>
      </x:c>
      <x:c r="I287" s="142" t="str">
        <x:v>All routes</x:v>
      </x:c>
      <x:c r="J287" s="142" t="str">
        <x:v>Exact details, if needed, are collected after account creation in packet completion.</x:v>
      </x:c>
      <x:c r="K287" s="142" t="str">
        <x:v>scope</x:v>
      </x:c>
      <x:c r="L287" s="142" t="str">
        <x:v>shared_scope_boundary</x:v>
      </x:c>
      <x:c r="M287" s="56" t="str">
        <x:v>https://github.com/Roger-LegalEase/legalease-partner-dashboard-clean/blob/2f0ef0403f16e57544ad0bc86b2d1b1cd08861b3/src/lib/rcap-engine/compiled/profiles/NH-new-hampshire.json</x:v>
      </x:c>
    </x:row>
    <x:row r="288">
      <x:c r="A288" s="55" t="str">
        <x:v>New Hampshire</x:v>
      </x:c>
      <x:c r="B288" s="142" t="str">
        <x:v>NH</x:v>
      </x:c>
      <x:c r="C288" s="142" t="n">
        <x:v>3</x:v>
      </x:c>
      <x:c r="D288" s="142" t="str">
        <x:v>Route identification</x:v>
      </x:c>
      <x:c r="E288" s="142" t="str">
        <x:v>How did the New Hampshire case or record end?</x:v>
      </x:c>
      <x:c r="F288" s="142" t="str">
        <x:v>single_choice</x:v>
      </x:c>
      <x:c r="G288" s="142" t="str">
        <x:v>Ask after scope, before route-specific questions</x:v>
      </x:c>
      <x:c r="H288" s="142" t="str">
        <x:v>Splits nonconviction, conviction, diversion/deferred, juvenile, automatic, pardon, correction, and other route families.</x:v>
      </x:c>
      <x:c r="I288" s="142" t="str">
        <x:v>All routes</x:v>
      </x:c>
      <x:c r="J288" s="142" t="str">
        <x:v>Exact details, if needed, are collected after account creation in packet completion.</x:v>
      </x:c>
      <x:c r="K288" s="142" t="str">
        <x:v>pathway_routing</x:v>
      </x:c>
      <x:c r="L288" s="142" t="str">
        <x:v>state_case_outcome_rules</x:v>
      </x:c>
      <x:c r="M288" s="56" t="str">
        <x:v>https://github.com/Roger-LegalEase/legalease-partner-dashboard-clean/blob/2f0ef0403f16e57544ad0bc86b2d1b1cd08861b3/src/lib/rcap-engine/compiled/profiles/NH-new-hampshire.json</x:v>
      </x:c>
    </x:row>
    <x:row r="289">
      <x:c r="A289" s="55" t="str">
        <x:v>New Hampshire</x:v>
      </x:c>
      <x:c r="B289" s="142" t="str">
        <x:v>NH</x:v>
      </x:c>
      <x:c r="C289" s="142" t="n">
        <x:v>4</x:v>
      </x:c>
      <x:c r="D289" s="142" t="str">
        <x:v>Route identification</x:v>
      </x:c>
      <x:c r="E289" s="142" t="str">
        <x:v>What level or type was the charge?</x:v>
      </x:c>
      <x:c r="F289" s="142" t="str">
        <x:v>single_choice</x:v>
      </x:c>
      <x:c r="G289" s="142" t="str">
        <x:v>Ask after scope, before route-specific questions</x:v>
      </x:c>
      <x:c r="H289" s="142" t="str">
        <x:v>Narrows offense-level routes, waiting-period bands, and obvious exclusions.</x:v>
      </x:c>
      <x:c r="I289" s="142" t="str">
        <x:v>All routes</x:v>
      </x:c>
      <x:c r="J289" s="142" t="str">
        <x:v>Exact details, if needed, are collected after account creation in packet completion.</x:v>
      </x:c>
      <x:c r="K289" s="142" t="str">
        <x:v>pathway_routing</x:v>
      </x:c>
      <x:c r="L289" s="142" t="str">
        <x:v>state_pathway_and_exclusion_rules</x:v>
      </x:c>
      <x:c r="M289" s="56" t="str">
        <x:v>https://github.com/Roger-LegalEase/legalease-partner-dashboard-clean/blob/2f0ef0403f16e57544ad0bc86b2d1b1cd08861b3/src/lib/rcap-engine/compiled/profiles/NH-new-hampshire.json</x:v>
      </x:c>
    </x:row>
    <x:row r="290">
      <x:c r="A290" s="55" t="str">
        <x:v>New Hampshire</x:v>
      </x:c>
      <x:c r="B290" s="142" t="str">
        <x:v>NH</x:v>
      </x:c>
      <x:c r="C290" s="142" t="n">
        <x:v>5</x:v>
      </x:c>
      <x:c r="D290" s="142" t="str">
        <x:v>Route identification</x:v>
      </x:c>
      <x:c r="E290" s="142" t="str">
        <x:v>Do any of these New Hampshire descriptions sound close to your situation?</x:v>
      </x:c>
      <x:c r="F290" s="142" t="str">
        <x:v>single_choice</x:v>
      </x:c>
      <x:c r="G290" s="142" t="str">
        <x:v>Ask after scope, before route-specific questions</x:v>
      </x:c>
      <x:c r="H290" s="142" t="str">
        <x:v>Lets the participant select a likely remedy or “not sure”; selection prunes unrelated route-specific questions.</x:v>
      </x:c>
      <x:c r="I290" s="142" t="str">
        <x:v>All routes</x:v>
      </x:c>
      <x:c r="J290" s="142" t="str">
        <x:v>Exact details, if needed, are collected after account creation in packet completion.</x:v>
      </x:c>
      <x:c r="K290" s="142" t="str">
        <x:v>pathway_routing</x:v>
      </x:c>
      <x:c r="L290" s="142" t="str">
        <x:v>curated_state_pathway_catalog_from_reference</x:v>
      </x:c>
      <x:c r="M290" s="56" t="str">
        <x:v>https://github.com/Roger-LegalEase/legalease-partner-dashboard-clean/blob/2f0ef0403f16e57544ad0bc86b2d1b1cd08861b3/src/lib/rcap-engine/compiled/profiles/NH-new-hampshire.json</x:v>
      </x:c>
    </x:row>
    <x:row r="291">
      <x:c r="A291" s="55" t="str">
        <x:v>New Hampshire</x:v>
      </x:c>
      <x:c r="B291" s="142" t="str">
        <x:v>NH</x:v>
      </x:c>
      <x:c r="C291" s="142" t="n">
        <x:v>6</x:v>
      </x:c>
      <x:c r="D291" s="142" t="str">
        <x:v>Timing / completion</x:v>
      </x:c>
      <x:c r="E291" s="142" t="str">
        <x:v>Have you completed everything the court ordered in this case?</x:v>
      </x:c>
      <x:c r="F291" s="142" t="str">
        <x:v>single_choice</x:v>
      </x:c>
      <x:c r="G291" s="142" t="str">
        <x:v>Ask only when a viable route depends on sentence, supervision, program, restitution, or financial completion.</x:v>
      </x:c>
      <x:c r="H291" s="142" t="str">
        <x:v>No → usually not yet or needs more information; Yes → continue; Not sure → defer exact proof.</x:v>
      </x:c>
      <x:c r="I291" s="142" t="str">
        <x:v>Completion-dependent routes</x:v>
      </x:c>
      <x:c r="J291" s="142" t="str">
        <x:v>Exact details, if needed, are collected after account creation in packet completion.</x:v>
      </x:c>
      <x:c r="K291" s="142" t="str">
        <x:v>timing_and_completion</x:v>
      </x:c>
      <x:c r="L291" s="142" t="str">
        <x:v>normalized_free_check</x:v>
      </x:c>
      <x:c r="M291" s="56" t="str">
        <x:v>https://github.com/Roger-LegalEase/legalease-partner-dashboard-clean/blob/2f0ef0403f16e57544ad0bc86b2d1b1cd08861b3/src/lib/rcap-engine/compiled/profiles/NH-new-hampshire.json</x:v>
      </x:c>
    </x:row>
    <x:row r="292">
      <x:c r="A292" s="55" t="str">
        <x:v>New Hampshire</x:v>
      </x:c>
      <x:c r="B292" s="142" t="str">
        <x:v>NH</x:v>
      </x:c>
      <x:c r="C292" s="142" t="n">
        <x:v>7</x:v>
      </x:c>
      <x:c r="D292" s="142" t="str">
        <x:v>Timing / completion</x:v>
      </x:c>
      <x:c r="E292" s="142" t="str">
        <x:v>About how long ago did this case end or get resolved?</x:v>
      </x:c>
      <x:c r="F292" s="142" t="str">
        <x:v>single_choice</x:v>
      </x:c>
      <x:c r="G292" s="142" t="str">
        <x:v>Ask only when at least one viable route has a waiting period.</x:v>
      </x:c>
      <x:c r="H292" s="142" t="str">
        <x:v>Uses an approximate band for a preliminary result; exact dates are collected later.</x:v>
      </x:c>
      <x:c r="I292" s="142" t="str">
        <x:v>Timing-dependent routes</x:v>
      </x:c>
      <x:c r="J292" s="142" t="str">
        <x:v>Exact details, if needed, are collected after account creation in packet completion.</x:v>
      </x:c>
      <x:c r="K292" s="142" t="str">
        <x:v>timing_and_completion</x:v>
      </x:c>
      <x:c r="L292" s="142" t="str">
        <x:v>normalized_free_check</x:v>
      </x:c>
      <x:c r="M292" s="56" t="str">
        <x:v>https://github.com/Roger-LegalEase/legalease-partner-dashboard-clean/blob/2f0ef0403f16e57544ad0bc86b2d1b1cd08861b3/src/lib/rcap-engine/compiled/profiles/NH-new-hampshire.json</x:v>
      </x:c>
    </x:row>
    <x:row r="293">
      <x:c r="A293" s="55" t="str">
        <x:v>New Jersey</x:v>
      </x:c>
      <x:c r="B293" s="142" t="str">
        <x:v>NJ</x:v>
      </x:c>
      <x:c r="C293" s="142" t="n">
        <x:v>1</x:v>
      </x:c>
      <x:c r="D293" s="142" t="str">
        <x:v>Scope</x:v>
      </x:c>
      <x:c r="E293" s="142" t="str">
        <x:v>Are you asking about your own record?</x:v>
      </x:c>
      <x:c r="F293" s="142" t="str">
        <x:v>single_choice</x:v>
      </x:c>
      <x:c r="G293" s="142" t="str">
        <x:v>Ask in every free check</x:v>
      </x:c>
      <x:c r="H293" s="142" t="str">
        <x:v>No → stop or redirect; Yes → continue.</x:v>
      </x:c>
      <x:c r="I293" s="142" t="str">
        <x:v>All routes</x:v>
      </x:c>
      <x:c r="J293" s="142" t="str">
        <x:v>Exact details, if needed, are collected after account creation in packet completion.</x:v>
      </x:c>
      <x:c r="K293" s="142" t="str">
        <x:v>scope</x:v>
      </x:c>
      <x:c r="L293" s="142" t="str">
        <x:v>shared_scope_boundary</x:v>
      </x:c>
      <x:c r="M293" s="56" t="str">
        <x:v>https://github.com/Roger-LegalEase/legalease-partner-dashboard-clean/blob/2f0ef0403f16e57544ad0bc86b2d1b1cd08861b3/src/lib/rcap-engine/compiled/profiles/NJ-new-jersey.json</x:v>
      </x:c>
    </x:row>
    <x:row r="294">
      <x:c r="A294" s="55" t="str">
        <x:v>New Jersey</x:v>
      </x:c>
      <x:c r="B294" s="142" t="str">
        <x:v>NJ</x:v>
      </x:c>
      <x:c r="C294" s="142" t="n">
        <x:v>2</x:v>
      </x:c>
      <x:c r="D294" s="142" t="str">
        <x:v>Scope</x:v>
      </x:c>
      <x:c r="E294" s="142" t="str">
        <x:v>Is this a state or local matter from New Jersey, rather than a federal matter?</x:v>
      </x:c>
      <x:c r="F294" s="142" t="str">
        <x:v>single_choice</x:v>
      </x:c>
      <x:c r="G294" s="142" t="str">
        <x:v>Ask in every free check</x:v>
      </x:c>
      <x:c r="H294" s="142" t="str">
        <x:v>Federal or wrong-state matter → outside this state flow; state/local matter → continue.</x:v>
      </x:c>
      <x:c r="I294" s="142" t="str">
        <x:v>All routes</x:v>
      </x:c>
      <x:c r="J294" s="142" t="str">
        <x:v>Exact details, if needed, are collected after account creation in packet completion.</x:v>
      </x:c>
      <x:c r="K294" s="142" t="str">
        <x:v>scope</x:v>
      </x:c>
      <x:c r="L294" s="142" t="str">
        <x:v>shared_scope_boundary</x:v>
      </x:c>
      <x:c r="M294" s="56" t="str">
        <x:v>https://github.com/Roger-LegalEase/legalease-partner-dashboard-clean/blob/2f0ef0403f16e57544ad0bc86b2d1b1cd08861b3/src/lib/rcap-engine/compiled/profiles/NJ-new-jersey.json</x:v>
      </x:c>
    </x:row>
    <x:row r="295">
      <x:c r="A295" s="55" t="str">
        <x:v>New Jersey</x:v>
      </x:c>
      <x:c r="B295" s="142" t="str">
        <x:v>NJ</x:v>
      </x:c>
      <x:c r="C295" s="142" t="n">
        <x:v>3</x:v>
      </x:c>
      <x:c r="D295" s="142" t="str">
        <x:v>Route identification</x:v>
      </x:c>
      <x:c r="E295" s="142" t="str">
        <x:v>How did the New Jersey case or record end?</x:v>
      </x:c>
      <x:c r="F295" s="142" t="str">
        <x:v>single_choice</x:v>
      </x:c>
      <x:c r="G295" s="142" t="str">
        <x:v>Ask after scope, before route-specific questions</x:v>
      </x:c>
      <x:c r="H295" s="142" t="str">
        <x:v>Splits nonconviction, conviction, diversion/deferred, juvenile, automatic, pardon, correction, and other route families.</x:v>
      </x:c>
      <x:c r="I295" s="142" t="str">
        <x:v>All routes</x:v>
      </x:c>
      <x:c r="J295" s="142" t="str">
        <x:v>Exact details, if needed, are collected after account creation in packet completion.</x:v>
      </x:c>
      <x:c r="K295" s="142" t="str">
        <x:v>pathway_routing</x:v>
      </x:c>
      <x:c r="L295" s="142" t="str">
        <x:v>state_case_outcome_rules</x:v>
      </x:c>
      <x:c r="M295" s="56" t="str">
        <x:v>https://github.com/Roger-LegalEase/legalease-partner-dashboard-clean/blob/2f0ef0403f16e57544ad0bc86b2d1b1cd08861b3/src/lib/rcap-engine/compiled/profiles/NJ-new-jersey.json</x:v>
      </x:c>
    </x:row>
    <x:row r="296">
      <x:c r="A296" s="55" t="str">
        <x:v>New Jersey</x:v>
      </x:c>
      <x:c r="B296" s="142" t="str">
        <x:v>NJ</x:v>
      </x:c>
      <x:c r="C296" s="142" t="n">
        <x:v>4</x:v>
      </x:c>
      <x:c r="D296" s="142" t="str">
        <x:v>Route identification</x:v>
      </x:c>
      <x:c r="E296" s="142" t="str">
        <x:v>What level or type was the charge?</x:v>
      </x:c>
      <x:c r="F296" s="142" t="str">
        <x:v>single_choice</x:v>
      </x:c>
      <x:c r="G296" s="142" t="str">
        <x:v>Ask after scope, before route-specific questions</x:v>
      </x:c>
      <x:c r="H296" s="142" t="str">
        <x:v>Narrows offense-level routes, waiting-period bands, and obvious exclusions.</x:v>
      </x:c>
      <x:c r="I296" s="142" t="str">
        <x:v>All routes</x:v>
      </x:c>
      <x:c r="J296" s="142" t="str">
        <x:v>Exact details, if needed, are collected after account creation in packet completion.</x:v>
      </x:c>
      <x:c r="K296" s="142" t="str">
        <x:v>pathway_routing</x:v>
      </x:c>
      <x:c r="L296" s="142" t="str">
        <x:v>state_pathway_and_exclusion_rules</x:v>
      </x:c>
      <x:c r="M296" s="56" t="str">
        <x:v>https://github.com/Roger-LegalEase/legalease-partner-dashboard-clean/blob/2f0ef0403f16e57544ad0bc86b2d1b1cd08861b3/src/lib/rcap-engine/compiled/profiles/NJ-new-jersey.json</x:v>
      </x:c>
    </x:row>
    <x:row r="297">
      <x:c r="A297" s="55" t="str">
        <x:v>New Jersey</x:v>
      </x:c>
      <x:c r="B297" s="142" t="str">
        <x:v>NJ</x:v>
      </x:c>
      <x:c r="C297" s="142" t="n">
        <x:v>5</x:v>
      </x:c>
      <x:c r="D297" s="142" t="str">
        <x:v>Route identification</x:v>
      </x:c>
      <x:c r="E297" s="142" t="str">
        <x:v>Do any of these New Jersey descriptions sound close to your situation?</x:v>
      </x:c>
      <x:c r="F297" s="142" t="str">
        <x:v>single_choice</x:v>
      </x:c>
      <x:c r="G297" s="142" t="str">
        <x:v>Ask after scope, before route-specific questions</x:v>
      </x:c>
      <x:c r="H297" s="142" t="str">
        <x:v>Lets the participant select a likely remedy or “not sure”; selection prunes unrelated route-specific questions.</x:v>
      </x:c>
      <x:c r="I297" s="142" t="str">
        <x:v>All routes</x:v>
      </x:c>
      <x:c r="J297" s="142" t="str">
        <x:v>Exact details, if needed, are collected after account creation in packet completion.</x:v>
      </x:c>
      <x:c r="K297" s="142" t="str">
        <x:v>pathway_routing</x:v>
      </x:c>
      <x:c r="L297" s="142" t="str">
        <x:v>curated_state_pathway_catalog_from_reference</x:v>
      </x:c>
      <x:c r="M297" s="56" t="str">
        <x:v>https://github.com/Roger-LegalEase/legalease-partner-dashboard-clean/blob/2f0ef0403f16e57544ad0bc86b2d1b1cd08861b3/src/lib/rcap-engine/compiled/profiles/NJ-new-jersey.json</x:v>
      </x:c>
    </x:row>
    <x:row r="298">
      <x:c r="A298" s="55" t="str">
        <x:v>New Jersey</x:v>
      </x:c>
      <x:c r="B298" s="142" t="str">
        <x:v>NJ</x:v>
      </x:c>
      <x:c r="C298" s="142" t="n">
        <x:v>6</x:v>
      </x:c>
      <x:c r="D298" s="142" t="str">
        <x:v>Route identification</x:v>
      </x:c>
      <x:c r="E298" s="142" t="str">
        <x:v>How old were you when the offense or case began?</x:v>
      </x:c>
      <x:c r="F298" s="142" t="str">
        <x:v>number_or_range</x:v>
      </x:c>
      <x:c r="G298" s="142" t="str">
        <x:v>Ask only when adult-versus-juvenile or youthful-offender treatment may change the route.</x:v>
      </x:c>
      <x:c r="H298" s="142" t="str">
        <x:v>Routes to juvenile/youthful-offender logic or keeps the adult route.</x:v>
      </x:c>
      <x:c r="I298" s="142" t="str">
        <x:v>Age-sensitive routes</x:v>
      </x:c>
      <x:c r="J298" s="142" t="str">
        <x:v>Exact details, if needed, are collected after account creation in packet completion.</x:v>
      </x:c>
      <x:c r="K298" s="142" t="str">
        <x:v>pathway_routing</x:v>
      </x:c>
      <x:c r="L298" s="142" t="str">
        <x:v>derived_from_state_rule_fields</x:v>
      </x:c>
      <x:c r="M298" s="56" t="str">
        <x:v>https://github.com/Roger-LegalEase/legalease-partner-dashboard-clean/blob/2f0ef0403f16e57544ad0bc86b2d1b1cd08861b3/src/lib/rcap-engine/compiled/profiles/NJ-new-jersey.json</x:v>
      </x:c>
    </x:row>
    <x:row r="299">
      <x:c r="A299" s="55" t="str">
        <x:v>New Jersey</x:v>
      </x:c>
      <x:c r="B299" s="142" t="str">
        <x:v>NJ</x:v>
      </x:c>
      <x:c r="C299" s="142" t="n">
        <x:v>7</x:v>
      </x:c>
      <x:c r="D299" s="142" t="str">
        <x:v>State-specific eligibility</x:v>
      </x:c>
      <x:c r="E299" s="142" t="str">
        <x:v>Have you previously received record-clearing relief in New Jersey or elsewhere?</x:v>
      </x:c>
      <x:c r="F299" s="142" t="str">
        <x:v>yes_no_unsure</x:v>
      </x:c>
      <x:c r="G299" s="142" t="str">
        <x:v>Ask only when prior use of relief affects the candidate route.</x:v>
      </x:c>
      <x:c r="H299" s="142" t="str">
        <x:v>Prior relief may limit the route, change the packet, or require review.</x:v>
      </x:c>
      <x:c r="I299" s="142" t="str">
        <x:v>Prior-relief-limited routes</x:v>
      </x:c>
      <x:c r="J299" s="142" t="str">
        <x:v>Exact details, if needed, are collected after account creation in packet completion.</x:v>
      </x:c>
      <x:c r="K299" s="142" t="str">
        <x:v>state_specific_eligibility</x:v>
      </x:c>
      <x:c r="L299" s="142" t="str">
        <x:v>derived_from_state_rule_fields</x:v>
      </x:c>
      <x:c r="M299" s="56" t="str">
        <x:v>https://github.com/Roger-LegalEase/legalease-partner-dashboard-clean/blob/2f0ef0403f16e57544ad0bc86b2d1b1cd08861b3/src/lib/rcap-engine/compiled/profiles/NJ-new-jersey.json</x:v>
      </x:c>
    </x:row>
    <x:row r="300">
      <x:c r="A300" s="55" t="str">
        <x:v>New Jersey</x:v>
      </x:c>
      <x:c r="B300" s="142" t="str">
        <x:v>NJ</x:v>
      </x:c>
      <x:c r="C300" s="142" t="n">
        <x:v>8</x:v>
      </x:c>
      <x:c r="D300" s="142" t="str">
        <x:v>Special pathway</x:v>
      </x:c>
      <x:c r="E300" s="142" t="str">
        <x:v>Was this offense connected to your status as a human-trafficking or sex-trafficking survivor?</x:v>
      </x:c>
      <x:c r="F300" s="142" t="str">
        <x:v>yes_no_prefer_not_to_say</x:v>
      </x:c>
      <x:c r="G300" s="142" t="str">
        <x:v>Ask only while trafficking-survivor relief remains viable; allow “prefer not to say.”</x:v>
      </x:c>
      <x:c r="H300" s="142" t="str">
        <x:v>May open vacatur/expungement or review treatment.</x:v>
      </x:c>
      <x:c r="I300" s="142" t="str">
        <x:v>Trafficking-survivor routes</x:v>
      </x:c>
      <x:c r="J300" s="142" t="str">
        <x:v>Exact details, if needed, are collected after account creation in packet completion.</x:v>
      </x:c>
      <x:c r="K300" s="142" t="str">
        <x:v>special_pathways</x:v>
      </x:c>
      <x:c r="L300" s="142" t="str">
        <x:v>derived_from_state_rule_fields</x:v>
      </x:c>
      <x:c r="M300" s="56" t="str">
        <x:v>https://github.com/Roger-LegalEase/legalease-partner-dashboard-clean/blob/2f0ef0403f16e57544ad0bc86b2d1b1cd08861b3/src/lib/rcap-engine/compiled/profiles/NJ-new-jersey.json</x:v>
      </x:c>
    </x:row>
    <x:row r="301">
      <x:c r="A301" s="55" t="str">
        <x:v>New Jersey</x:v>
      </x:c>
      <x:c r="B301" s="142" t="str">
        <x:v>NJ</x:v>
      </x:c>
      <x:c r="C301" s="142" t="n">
        <x:v>9</x:v>
      </x:c>
      <x:c r="D301" s="142" t="str">
        <x:v>Special pathway</x:v>
      </x:c>
      <x:c r="E301" s="142" t="str">
        <x:v>Have you received a pardon, certificate of rehabilitation, or similar executive relief for this conviction?</x:v>
      </x:c>
      <x:c r="F301" s="142" t="str">
        <x:v>yes_no_unsure</x:v>
      </x:c>
      <x:c r="G301" s="142" t="str">
        <x:v>Ask only while a pardon or executive-relief route remains viable.</x:v>
      </x:c>
      <x:c r="H301" s="142" t="str">
        <x:v>Yes may open a pardon-based route; No preserves ordinary routes; Not sure defers proof.</x:v>
      </x:c>
      <x:c r="I301" s="142" t="str">
        <x:v>Pardon / executive-relief routes</x:v>
      </x:c>
      <x:c r="J301" s="142" t="str">
        <x:v>Exact details, if needed, are collected after account creation in packet completion.</x:v>
      </x:c>
      <x:c r="K301" s="142" t="str">
        <x:v>special_pathways</x:v>
      </x:c>
      <x:c r="L301" s="142" t="str">
        <x:v>derived_from_state_rule_fields</x:v>
      </x:c>
      <x:c r="M301" s="56" t="str">
        <x:v>https://github.com/Roger-LegalEase/legalease-partner-dashboard-clean/blob/2f0ef0403f16e57544ad0bc86b2d1b1cd08861b3/src/lib/rcap-engine/compiled/profiles/NJ-new-jersey.json</x:v>
      </x:c>
    </x:row>
    <x:row r="302">
      <x:c r="A302" s="55" t="str">
        <x:v>New Jersey</x:v>
      </x:c>
      <x:c r="B302" s="142" t="str">
        <x:v>NJ</x:v>
      </x:c>
      <x:c r="C302" s="142" t="n">
        <x:v>10</x:v>
      </x:c>
      <x:c r="D302" s="142" t="str">
        <x:v>Timing / completion</x:v>
      </x:c>
      <x:c r="E302" s="142" t="str">
        <x:v>Do you currently have any pending criminal charge, open case, probation, parole, or other supervision?</x:v>
      </x:c>
      <x:c r="F302" s="142" t="str">
        <x:v>yes_no_unsure</x:v>
      </x:c>
      <x:c r="G302" s="142" t="str">
        <x:v>Ask only when pending cases or active supervision can block the candidate route.</x:v>
      </x:c>
      <x:c r="H302" s="142" t="str">
        <x:v>Pending/open matter may produce not-yet, review, or a different route.</x:v>
      </x:c>
      <x:c r="I302" s="142" t="str">
        <x:v>Pending-case-sensitive routes</x:v>
      </x:c>
      <x:c r="J302" s="142" t="str">
        <x:v>Exact details, if needed, are collected after account creation in packet completion.</x:v>
      </x:c>
      <x:c r="K302" s="142" t="str">
        <x:v>timing_and_completion</x:v>
      </x:c>
      <x:c r="L302" s="142" t="str">
        <x:v>derived_from_state_rule_fields</x:v>
      </x:c>
      <x:c r="M302" s="56" t="str">
        <x:v>https://github.com/Roger-LegalEase/legalease-partner-dashboard-clean/blob/2f0ef0403f16e57544ad0bc86b2d1b1cd08861b3/src/lib/rcap-engine/compiled/profiles/NJ-new-jersey.json</x:v>
      </x:c>
    </x:row>
    <x:row r="303">
      <x:c r="A303" s="55" t="str">
        <x:v>New Jersey</x:v>
      </x:c>
      <x:c r="B303" s="142" t="str">
        <x:v>NJ</x:v>
      </x:c>
      <x:c r="C303" s="142" t="n">
        <x:v>11</x:v>
      </x:c>
      <x:c r="D303" s="142" t="str">
        <x:v>Timing / completion</x:v>
      </x:c>
      <x:c r="E303" s="142" t="str">
        <x:v>Have you completed everything the court ordered in this case?</x:v>
      </x:c>
      <x:c r="F303" s="142" t="str">
        <x:v>single_choice</x:v>
      </x:c>
      <x:c r="G303" s="142" t="str">
        <x:v>Ask only when a viable route depends on sentence, supervision, program, restitution, or financial completion.</x:v>
      </x:c>
      <x:c r="H303" s="142" t="str">
        <x:v>No → usually not yet or needs more information; Yes → continue; Not sure → defer exact proof.</x:v>
      </x:c>
      <x:c r="I303" s="142" t="str">
        <x:v>Completion-dependent routes</x:v>
      </x:c>
      <x:c r="J303" s="142" t="str">
        <x:v>Exact details, if needed, are collected after account creation in packet completion.</x:v>
      </x:c>
      <x:c r="K303" s="142" t="str">
        <x:v>timing_and_completion</x:v>
      </x:c>
      <x:c r="L303" s="142" t="str">
        <x:v>normalized_free_check</x:v>
      </x:c>
      <x:c r="M303" s="56" t="str">
        <x:v>https://github.com/Roger-LegalEase/legalease-partner-dashboard-clean/blob/2f0ef0403f16e57544ad0bc86b2d1b1cd08861b3/src/lib/rcap-engine/compiled/profiles/NJ-new-jersey.json</x:v>
      </x:c>
    </x:row>
    <x:row r="304">
      <x:c r="A304" s="55" t="str">
        <x:v>New Jersey</x:v>
      </x:c>
      <x:c r="B304" s="142" t="str">
        <x:v>NJ</x:v>
      </x:c>
      <x:c r="C304" s="142" t="n">
        <x:v>12</x:v>
      </x:c>
      <x:c r="D304" s="142" t="str">
        <x:v>Timing / completion</x:v>
      </x:c>
      <x:c r="E304" s="142" t="str">
        <x:v>About how long ago did this case end or get resolved?</x:v>
      </x:c>
      <x:c r="F304" s="142" t="str">
        <x:v>single_choice</x:v>
      </x:c>
      <x:c r="G304" s="142" t="str">
        <x:v>Ask only when at least one viable route has a waiting period.</x:v>
      </x:c>
      <x:c r="H304" s="142" t="str">
        <x:v>Uses an approximate band for a preliminary result; exact dates are collected later.</x:v>
      </x:c>
      <x:c r="I304" s="142" t="str">
        <x:v>Timing-dependent routes</x:v>
      </x:c>
      <x:c r="J304" s="142" t="str">
        <x:v>Exact details, if needed, are collected after account creation in packet completion.</x:v>
      </x:c>
      <x:c r="K304" s="142" t="str">
        <x:v>timing_and_completion</x:v>
      </x:c>
      <x:c r="L304" s="142" t="str">
        <x:v>normalized_free_check</x:v>
      </x:c>
      <x:c r="M304" s="56" t="str">
        <x:v>https://github.com/Roger-LegalEase/legalease-partner-dashboard-clean/blob/2f0ef0403f16e57544ad0bc86b2d1b1cd08861b3/src/lib/rcap-engine/compiled/profiles/NJ-new-jersey.json</x:v>
      </x:c>
    </x:row>
    <x:row r="305">
      <x:c r="A305" s="55" t="str">
        <x:v>New Jersey</x:v>
      </x:c>
      <x:c r="B305" s="142" t="str">
        <x:v>NJ</x:v>
      </x:c>
      <x:c r="C305" s="142" t="n">
        <x:v>13</x:v>
      </x:c>
      <x:c r="D305" s="142" t="str">
        <x:v>Exclusions / review</x:v>
      </x:c>
      <x:c r="E305" s="142" t="str">
        <x:v>Does the record involve any New Jersey category that the source identifies as excluded or review-required?</x:v>
      </x:c>
      <x:c r="F305" s="142" t="str">
        <x:v>multi_select</x:v>
      </x:c>
      <x:c r="G305" s="142" t="str">
        <x:v>Ask after the route is narrowed; show only categories relevant to the remaining route.</x:v>
      </x:c>
      <x:c r="H305" s="142" t="str">
        <x:v>Matching category → hard stop or review; none → continue.</x:v>
      </x:c>
      <x:c r="I305" s="142" t="str">
        <x:v>Route-specific exclusions</x:v>
      </x:c>
      <x:c r="J305" s="142" t="str">
        <x:v>Exact details, if needed, are collected after account creation in packet completion.</x:v>
      </x:c>
      <x:c r="K305" s="142" t="str">
        <x:v>exclusion_screen</x:v>
      </x:c>
      <x:c r="L305" s="142" t="str">
        <x:v>state_exclusion_section</x:v>
      </x:c>
      <x:c r="M305" s="56" t="str">
        <x:v>https://github.com/Roger-LegalEase/legalease-partner-dashboard-clean/blob/2f0ef0403f16e57544ad0bc86b2d1b1cd08861b3/src/lib/rcap-engine/compiled/profiles/NJ-new-jersey.json</x:v>
      </x:c>
    </x:row>
    <x:row r="306">
      <x:c r="A306" s="55" t="str">
        <x:v>New Mexico</x:v>
      </x:c>
      <x:c r="B306" s="142" t="str">
        <x:v>NM</x:v>
      </x:c>
      <x:c r="C306" s="142" t="n">
        <x:v>1</x:v>
      </x:c>
      <x:c r="D306" s="142" t="str">
        <x:v>Scope</x:v>
      </x:c>
      <x:c r="E306" s="142" t="str">
        <x:v>Are you asking about your own record?</x:v>
      </x:c>
      <x:c r="F306" s="142" t="str">
        <x:v>single_choice</x:v>
      </x:c>
      <x:c r="G306" s="142" t="str">
        <x:v>Ask in every free check</x:v>
      </x:c>
      <x:c r="H306" s="142" t="str">
        <x:v>No → stop or redirect; Yes → continue.</x:v>
      </x:c>
      <x:c r="I306" s="142" t="str">
        <x:v>All routes</x:v>
      </x:c>
      <x:c r="J306" s="142" t="str">
        <x:v>Exact details, if needed, are collected after account creation in packet completion.</x:v>
      </x:c>
      <x:c r="K306" s="142" t="str">
        <x:v>scope</x:v>
      </x:c>
      <x:c r="L306" s="142" t="str">
        <x:v>shared_scope_boundary</x:v>
      </x:c>
      <x:c r="M306" s="56" t="str">
        <x:v>https://github.com/Roger-LegalEase/legalease-partner-dashboard-clean/blob/2f0ef0403f16e57544ad0bc86b2d1b1cd08861b3/src/lib/rcap-engine/compiled/profiles/NM-new-mexico.json</x:v>
      </x:c>
    </x:row>
    <x:row r="307">
      <x:c r="A307" s="55" t="str">
        <x:v>New Mexico</x:v>
      </x:c>
      <x:c r="B307" s="142" t="str">
        <x:v>NM</x:v>
      </x:c>
      <x:c r="C307" s="142" t="n">
        <x:v>2</x:v>
      </x:c>
      <x:c r="D307" s="142" t="str">
        <x:v>Scope</x:v>
      </x:c>
      <x:c r="E307" s="142" t="str">
        <x:v>Is this a state or local matter from New Mexico, rather than a federal matter?</x:v>
      </x:c>
      <x:c r="F307" s="142" t="str">
        <x:v>single_choice</x:v>
      </x:c>
      <x:c r="G307" s="142" t="str">
        <x:v>Ask in every free check</x:v>
      </x:c>
      <x:c r="H307" s="142" t="str">
        <x:v>Federal or wrong-state matter → outside this state flow; state/local matter → continue.</x:v>
      </x:c>
      <x:c r="I307" s="142" t="str">
        <x:v>All routes</x:v>
      </x:c>
      <x:c r="J307" s="142" t="str">
        <x:v>Exact details, if needed, are collected after account creation in packet completion.</x:v>
      </x:c>
      <x:c r="K307" s="142" t="str">
        <x:v>scope</x:v>
      </x:c>
      <x:c r="L307" s="142" t="str">
        <x:v>shared_scope_boundary</x:v>
      </x:c>
      <x:c r="M307" s="56" t="str">
        <x:v>https://github.com/Roger-LegalEase/legalease-partner-dashboard-clean/blob/2f0ef0403f16e57544ad0bc86b2d1b1cd08861b3/src/lib/rcap-engine/compiled/profiles/NM-new-mexico.json</x:v>
      </x:c>
    </x:row>
    <x:row r="308">
      <x:c r="A308" s="55" t="str">
        <x:v>New Mexico</x:v>
      </x:c>
      <x:c r="B308" s="142" t="str">
        <x:v>NM</x:v>
      </x:c>
      <x:c r="C308" s="142" t="n">
        <x:v>3</x:v>
      </x:c>
      <x:c r="D308" s="142" t="str">
        <x:v>Route identification</x:v>
      </x:c>
      <x:c r="E308" s="142" t="str">
        <x:v>How did the New Mexico case or record end?</x:v>
      </x:c>
      <x:c r="F308" s="142" t="str">
        <x:v>single_choice</x:v>
      </x:c>
      <x:c r="G308" s="142" t="str">
        <x:v>Ask after scope, before route-specific questions</x:v>
      </x:c>
      <x:c r="H308" s="142" t="str">
        <x:v>Splits nonconviction, conviction, diversion/deferred, juvenile, automatic, pardon, correction, and other route families.</x:v>
      </x:c>
      <x:c r="I308" s="142" t="str">
        <x:v>All routes</x:v>
      </x:c>
      <x:c r="J308" s="142" t="str">
        <x:v>Exact details, if needed, are collected after account creation in packet completion.</x:v>
      </x:c>
      <x:c r="K308" s="142" t="str">
        <x:v>pathway_routing</x:v>
      </x:c>
      <x:c r="L308" s="142" t="str">
        <x:v>state_case_outcome_rules</x:v>
      </x:c>
      <x:c r="M308" s="56" t="str">
        <x:v>https://github.com/Roger-LegalEase/legalease-partner-dashboard-clean/blob/2f0ef0403f16e57544ad0bc86b2d1b1cd08861b3/src/lib/rcap-engine/compiled/profiles/NM-new-mexico.json</x:v>
      </x:c>
    </x:row>
    <x:row r="309">
      <x:c r="A309" s="55" t="str">
        <x:v>New Mexico</x:v>
      </x:c>
      <x:c r="B309" s="142" t="str">
        <x:v>NM</x:v>
      </x:c>
      <x:c r="C309" s="142" t="n">
        <x:v>4</x:v>
      </x:c>
      <x:c r="D309" s="142" t="str">
        <x:v>Route identification</x:v>
      </x:c>
      <x:c r="E309" s="142" t="str">
        <x:v>What level or type was the charge?</x:v>
      </x:c>
      <x:c r="F309" s="142" t="str">
        <x:v>single_choice</x:v>
      </x:c>
      <x:c r="G309" s="142" t="str">
        <x:v>Ask after scope, before route-specific questions</x:v>
      </x:c>
      <x:c r="H309" s="142" t="str">
        <x:v>Narrows offense-level routes, waiting-period bands, and obvious exclusions.</x:v>
      </x:c>
      <x:c r="I309" s="142" t="str">
        <x:v>All routes</x:v>
      </x:c>
      <x:c r="J309" s="142" t="str">
        <x:v>Exact details, if needed, are collected after account creation in packet completion.</x:v>
      </x:c>
      <x:c r="K309" s="142" t="str">
        <x:v>pathway_routing</x:v>
      </x:c>
      <x:c r="L309" s="142" t="str">
        <x:v>state_pathway_and_exclusion_rules</x:v>
      </x:c>
      <x:c r="M309" s="56" t="str">
        <x:v>https://github.com/Roger-LegalEase/legalease-partner-dashboard-clean/blob/2f0ef0403f16e57544ad0bc86b2d1b1cd08861b3/src/lib/rcap-engine/compiled/profiles/NM-new-mexico.json</x:v>
      </x:c>
    </x:row>
    <x:row r="310">
      <x:c r="A310" s="55" t="str">
        <x:v>New Mexico</x:v>
      </x:c>
      <x:c r="B310" s="142" t="str">
        <x:v>NM</x:v>
      </x:c>
      <x:c r="C310" s="142" t="n">
        <x:v>5</x:v>
      </x:c>
      <x:c r="D310" s="142" t="str">
        <x:v>Route identification</x:v>
      </x:c>
      <x:c r="E310" s="142" t="str">
        <x:v>Do any of these New Mexico descriptions sound close to your situation?</x:v>
      </x:c>
      <x:c r="F310" s="142" t="str">
        <x:v>single_choice</x:v>
      </x:c>
      <x:c r="G310" s="142" t="str">
        <x:v>Ask after scope, before route-specific questions</x:v>
      </x:c>
      <x:c r="H310" s="142" t="str">
        <x:v>Lets the participant select a likely remedy or “not sure”; selection prunes unrelated route-specific questions.</x:v>
      </x:c>
      <x:c r="I310" s="142" t="str">
        <x:v>All routes</x:v>
      </x:c>
      <x:c r="J310" s="142" t="str">
        <x:v>Exact details, if needed, are collected after account creation in packet completion.</x:v>
      </x:c>
      <x:c r="K310" s="142" t="str">
        <x:v>pathway_routing</x:v>
      </x:c>
      <x:c r="L310" s="142" t="str">
        <x:v>curated_state_pathway_catalog_from_reference</x:v>
      </x:c>
      <x:c r="M310" s="56" t="str">
        <x:v>https://github.com/Roger-LegalEase/legalease-partner-dashboard-clean/blob/2f0ef0403f16e57544ad0bc86b2d1b1cd08861b3/src/lib/rcap-engine/compiled/profiles/NM-new-mexico.json</x:v>
      </x:c>
    </x:row>
    <x:row r="311">
      <x:c r="A311" s="55" t="str">
        <x:v>New Mexico</x:v>
      </x:c>
      <x:c r="B311" s="142" t="str">
        <x:v>NM</x:v>
      </x:c>
      <x:c r="C311" s="142" t="n">
        <x:v>6</x:v>
      </x:c>
      <x:c r="D311" s="142" t="str">
        <x:v>Route identification</x:v>
      </x:c>
      <x:c r="E311" s="142" t="str">
        <x:v>How old were you when the offense or case began?</x:v>
      </x:c>
      <x:c r="F311" s="142" t="str">
        <x:v>number_or_range</x:v>
      </x:c>
      <x:c r="G311" s="142" t="str">
        <x:v>Ask only when adult-versus-juvenile or youthful-offender treatment may change the route.</x:v>
      </x:c>
      <x:c r="H311" s="142" t="str">
        <x:v>Routes to juvenile/youthful-offender logic or keeps the adult route.</x:v>
      </x:c>
      <x:c r="I311" s="142" t="str">
        <x:v>Age-sensitive routes</x:v>
      </x:c>
      <x:c r="J311" s="142" t="str">
        <x:v>Exact details, if needed, are collected after account creation in packet completion.</x:v>
      </x:c>
      <x:c r="K311" s="142" t="str">
        <x:v>pathway_routing</x:v>
      </x:c>
      <x:c r="L311" s="142" t="str">
        <x:v>derived_from_state_rule_fields</x:v>
      </x:c>
      <x:c r="M311" s="56" t="str">
        <x:v>https://github.com/Roger-LegalEase/legalease-partner-dashboard-clean/blob/2f0ef0403f16e57544ad0bc86b2d1b1cd08861b3/src/lib/rcap-engine/compiled/profiles/NM-new-mexico.json</x:v>
      </x:c>
    </x:row>
    <x:row r="312">
      <x:c r="A312" s="55" t="str">
        <x:v>New Mexico</x:v>
      </x:c>
      <x:c r="B312" s="142" t="str">
        <x:v>NM</x:v>
      </x:c>
      <x:c r="C312" s="142" t="n">
        <x:v>7</x:v>
      </x:c>
      <x:c r="D312" s="142" t="str">
        <x:v>Special pathway</x:v>
      </x:c>
      <x:c r="E312" s="142" t="str">
        <x:v>Was the arrest or record caused by mistaken identity, identity theft, or law-enforcement error?</x:v>
      </x:c>
      <x:c r="F312" s="142" t="str">
        <x:v>yes_no_unsure</x:v>
      </x:c>
      <x:c r="G312" s="142" t="str">
        <x:v>Ask only while an identity-correction route remains viable.</x:v>
      </x:c>
      <x:c r="H312" s="142" t="str">
        <x:v>Yes routes to correction/sealing logic distinct from ordinary conviction relief.</x:v>
      </x:c>
      <x:c r="I312" s="142" t="str">
        <x:v>Mistaken-identity / correction routes</x:v>
      </x:c>
      <x:c r="J312" s="142" t="str">
        <x:v>Exact details, if needed, are collected after account creation in packet completion.</x:v>
      </x:c>
      <x:c r="K312" s="142" t="str">
        <x:v>special_pathways</x:v>
      </x:c>
      <x:c r="L312" s="142" t="str">
        <x:v>derived_from_state_rule_fields</x:v>
      </x:c>
      <x:c r="M312" s="56" t="str">
        <x:v>https://github.com/Roger-LegalEase/legalease-partner-dashboard-clean/blob/2f0ef0403f16e57544ad0bc86b2d1b1cd08861b3/src/lib/rcap-engine/compiled/profiles/NM-new-mexico.json</x:v>
      </x:c>
    </x:row>
    <x:row r="313">
      <x:c r="A313" s="55" t="str">
        <x:v>New Mexico</x:v>
      </x:c>
      <x:c r="B313" s="142" t="str">
        <x:v>NM</x:v>
      </x:c>
      <x:c r="C313" s="142" t="n">
        <x:v>8</x:v>
      </x:c>
      <x:c r="D313" s="142" t="str">
        <x:v>Timing / completion</x:v>
      </x:c>
      <x:c r="E313" s="142" t="str">
        <x:v>Do you currently have any pending criminal charge, open case, probation, parole, or other supervision?</x:v>
      </x:c>
      <x:c r="F313" s="142" t="str">
        <x:v>yes_no_unsure</x:v>
      </x:c>
      <x:c r="G313" s="142" t="str">
        <x:v>Ask only when pending cases or active supervision can block the candidate route.</x:v>
      </x:c>
      <x:c r="H313" s="142" t="str">
        <x:v>Pending/open matter may produce not-yet, review, or a different route.</x:v>
      </x:c>
      <x:c r="I313" s="142" t="str">
        <x:v>Pending-case-sensitive routes</x:v>
      </x:c>
      <x:c r="J313" s="142" t="str">
        <x:v>Exact details, if needed, are collected after account creation in packet completion.</x:v>
      </x:c>
      <x:c r="K313" s="142" t="str">
        <x:v>timing_and_completion</x:v>
      </x:c>
      <x:c r="L313" s="142" t="str">
        <x:v>derived_from_state_rule_fields</x:v>
      </x:c>
      <x:c r="M313" s="56" t="str">
        <x:v>https://github.com/Roger-LegalEase/legalease-partner-dashboard-clean/blob/2f0ef0403f16e57544ad0bc86b2d1b1cd08861b3/src/lib/rcap-engine/compiled/profiles/NM-new-mexico.json</x:v>
      </x:c>
    </x:row>
    <x:row r="314">
      <x:c r="A314" s="55" t="str">
        <x:v>New Mexico</x:v>
      </x:c>
      <x:c r="B314" s="142" t="str">
        <x:v>NM</x:v>
      </x:c>
      <x:c r="C314" s="142" t="n">
        <x:v>9</x:v>
      </x:c>
      <x:c r="D314" s="142" t="str">
        <x:v>Timing / completion</x:v>
      </x:c>
      <x:c r="E314" s="142" t="str">
        <x:v>Have you completed everything the court ordered in this case?</x:v>
      </x:c>
      <x:c r="F314" s="142" t="str">
        <x:v>single_choice</x:v>
      </x:c>
      <x:c r="G314" s="142" t="str">
        <x:v>Ask only when a viable route depends on sentence, supervision, program, restitution, or financial completion.</x:v>
      </x:c>
      <x:c r="H314" s="142" t="str">
        <x:v>No → usually not yet or needs more information; Yes → continue; Not sure → defer exact proof.</x:v>
      </x:c>
      <x:c r="I314" s="142" t="str">
        <x:v>Completion-dependent routes</x:v>
      </x:c>
      <x:c r="J314" s="142" t="str">
        <x:v>Exact details, if needed, are collected after account creation in packet completion.</x:v>
      </x:c>
      <x:c r="K314" s="142" t="str">
        <x:v>timing_and_completion</x:v>
      </x:c>
      <x:c r="L314" s="142" t="str">
        <x:v>normalized_free_check</x:v>
      </x:c>
      <x:c r="M314" s="56" t="str">
        <x:v>https://github.com/Roger-LegalEase/legalease-partner-dashboard-clean/blob/2f0ef0403f16e57544ad0bc86b2d1b1cd08861b3/src/lib/rcap-engine/compiled/profiles/NM-new-mexico.json</x:v>
      </x:c>
    </x:row>
    <x:row r="315">
      <x:c r="A315" s="55" t="str">
        <x:v>New Mexico</x:v>
      </x:c>
      <x:c r="B315" s="142" t="str">
        <x:v>NM</x:v>
      </x:c>
      <x:c r="C315" s="142" t="n">
        <x:v>10</x:v>
      </x:c>
      <x:c r="D315" s="142" t="str">
        <x:v>Timing / completion</x:v>
      </x:c>
      <x:c r="E315" s="142" t="str">
        <x:v>About how long ago did this case end or get resolved?</x:v>
      </x:c>
      <x:c r="F315" s="142" t="str">
        <x:v>single_choice</x:v>
      </x:c>
      <x:c r="G315" s="142" t="str">
        <x:v>Ask only when at least one viable route has a waiting period.</x:v>
      </x:c>
      <x:c r="H315" s="142" t="str">
        <x:v>Uses an approximate band for a preliminary result; exact dates are collected later.</x:v>
      </x:c>
      <x:c r="I315" s="142" t="str">
        <x:v>Timing-dependent routes</x:v>
      </x:c>
      <x:c r="J315" s="142" t="str">
        <x:v>Exact details, if needed, are collected after account creation in packet completion.</x:v>
      </x:c>
      <x:c r="K315" s="142" t="str">
        <x:v>timing_and_completion</x:v>
      </x:c>
      <x:c r="L315" s="142" t="str">
        <x:v>normalized_free_check</x:v>
      </x:c>
      <x:c r="M315" s="56" t="str">
        <x:v>https://github.com/Roger-LegalEase/legalease-partner-dashboard-clean/blob/2f0ef0403f16e57544ad0bc86b2d1b1cd08861b3/src/lib/rcap-engine/compiled/profiles/NM-new-mexico.json</x:v>
      </x:c>
    </x:row>
    <x:row r="316">
      <x:c r="A316" s="55" t="str">
        <x:v>Nevada</x:v>
      </x:c>
      <x:c r="B316" s="142" t="str">
        <x:v>NV</x:v>
      </x:c>
      <x:c r="C316" s="142" t="n">
        <x:v>1</x:v>
      </x:c>
      <x:c r="D316" s="142" t="str">
        <x:v>Scope</x:v>
      </x:c>
      <x:c r="E316" s="142" t="str">
        <x:v>Are you asking about your own record?</x:v>
      </x:c>
      <x:c r="F316" s="142" t="str">
        <x:v>single_choice</x:v>
      </x:c>
      <x:c r="G316" s="142" t="str">
        <x:v>Ask in every free check</x:v>
      </x:c>
      <x:c r="H316" s="142" t="str">
        <x:v>No → stop or redirect; Yes → continue.</x:v>
      </x:c>
      <x:c r="I316" s="142" t="str">
        <x:v>All routes</x:v>
      </x:c>
      <x:c r="J316" s="142" t="str">
        <x:v>Exact details, if needed, are collected after account creation in packet completion.</x:v>
      </x:c>
      <x:c r="K316" s="142" t="str">
        <x:v>scope</x:v>
      </x:c>
      <x:c r="L316" s="142" t="str">
        <x:v>shared_scope_boundary</x:v>
      </x:c>
      <x:c r="M316" s="56" t="str">
        <x:v>https://github.com/Roger-LegalEase/legalease-partner-dashboard-clean/blob/2f0ef0403f16e57544ad0bc86b2d1b1cd08861b3/src/lib/rcap-engine/compiled/profiles/NV-nevada.json</x:v>
      </x:c>
    </x:row>
    <x:row r="317">
      <x:c r="A317" s="55" t="str">
        <x:v>Nevada</x:v>
      </x:c>
      <x:c r="B317" s="142" t="str">
        <x:v>NV</x:v>
      </x:c>
      <x:c r="C317" s="142" t="n">
        <x:v>2</x:v>
      </x:c>
      <x:c r="D317" s="142" t="str">
        <x:v>Scope</x:v>
      </x:c>
      <x:c r="E317" s="142" t="str">
        <x:v>Is this a state or local matter from Nevada, rather than a federal matter?</x:v>
      </x:c>
      <x:c r="F317" s="142" t="str">
        <x:v>single_choice</x:v>
      </x:c>
      <x:c r="G317" s="142" t="str">
        <x:v>Ask in every free check</x:v>
      </x:c>
      <x:c r="H317" s="142" t="str">
        <x:v>Federal or wrong-state matter → outside this state flow; state/local matter → continue.</x:v>
      </x:c>
      <x:c r="I317" s="142" t="str">
        <x:v>All routes</x:v>
      </x:c>
      <x:c r="J317" s="142" t="str">
        <x:v>Exact details, if needed, are collected after account creation in packet completion.</x:v>
      </x:c>
      <x:c r="K317" s="142" t="str">
        <x:v>scope</x:v>
      </x:c>
      <x:c r="L317" s="142" t="str">
        <x:v>shared_scope_boundary</x:v>
      </x:c>
      <x:c r="M317" s="56" t="str">
        <x:v>https://github.com/Roger-LegalEase/legalease-partner-dashboard-clean/blob/2f0ef0403f16e57544ad0bc86b2d1b1cd08861b3/src/lib/rcap-engine/compiled/profiles/NV-nevada.json</x:v>
      </x:c>
    </x:row>
    <x:row r="318">
      <x:c r="A318" s="55" t="str">
        <x:v>Nevada</x:v>
      </x:c>
      <x:c r="B318" s="142" t="str">
        <x:v>NV</x:v>
      </x:c>
      <x:c r="C318" s="142" t="n">
        <x:v>3</x:v>
      </x:c>
      <x:c r="D318" s="142" t="str">
        <x:v>Route identification</x:v>
      </x:c>
      <x:c r="E318" s="142" t="str">
        <x:v>How did the Nevada case or record end?</x:v>
      </x:c>
      <x:c r="F318" s="142" t="str">
        <x:v>single_choice</x:v>
      </x:c>
      <x:c r="G318" s="142" t="str">
        <x:v>Ask after scope, before route-specific questions</x:v>
      </x:c>
      <x:c r="H318" s="142" t="str">
        <x:v>Splits nonconviction, conviction, diversion/deferred, juvenile, automatic, pardon, correction, and other route families.</x:v>
      </x:c>
      <x:c r="I318" s="142" t="str">
        <x:v>All routes</x:v>
      </x:c>
      <x:c r="J318" s="142" t="str">
        <x:v>Exact details, if needed, are collected after account creation in packet completion.</x:v>
      </x:c>
      <x:c r="K318" s="142" t="str">
        <x:v>pathway_routing</x:v>
      </x:c>
      <x:c r="L318" s="142" t="str">
        <x:v>state_case_outcome_rules</x:v>
      </x:c>
      <x:c r="M318" s="56" t="str">
        <x:v>https://github.com/Roger-LegalEase/legalease-partner-dashboard-clean/blob/2f0ef0403f16e57544ad0bc86b2d1b1cd08861b3/src/lib/rcap-engine/compiled/profiles/NV-nevada.json</x:v>
      </x:c>
    </x:row>
    <x:row r="319">
      <x:c r="A319" s="55" t="str">
        <x:v>Nevada</x:v>
      </x:c>
      <x:c r="B319" s="142" t="str">
        <x:v>NV</x:v>
      </x:c>
      <x:c r="C319" s="142" t="n">
        <x:v>4</x:v>
      </x:c>
      <x:c r="D319" s="142" t="str">
        <x:v>Route identification</x:v>
      </x:c>
      <x:c r="E319" s="142" t="str">
        <x:v>What level or type was the charge?</x:v>
      </x:c>
      <x:c r="F319" s="142" t="str">
        <x:v>single_choice</x:v>
      </x:c>
      <x:c r="G319" s="142" t="str">
        <x:v>Ask after scope, before route-specific questions</x:v>
      </x:c>
      <x:c r="H319" s="142" t="str">
        <x:v>Narrows offense-level routes, waiting-period bands, and obvious exclusions.</x:v>
      </x:c>
      <x:c r="I319" s="142" t="str">
        <x:v>All routes</x:v>
      </x:c>
      <x:c r="J319" s="142" t="str">
        <x:v>Exact details, if needed, are collected after account creation in packet completion.</x:v>
      </x:c>
      <x:c r="K319" s="142" t="str">
        <x:v>pathway_routing</x:v>
      </x:c>
      <x:c r="L319" s="142" t="str">
        <x:v>state_pathway_and_exclusion_rules</x:v>
      </x:c>
      <x:c r="M319" s="56" t="str">
        <x:v>https://github.com/Roger-LegalEase/legalease-partner-dashboard-clean/blob/2f0ef0403f16e57544ad0bc86b2d1b1cd08861b3/src/lib/rcap-engine/compiled/profiles/NV-nevada.json</x:v>
      </x:c>
    </x:row>
    <x:row r="320">
      <x:c r="A320" s="55" t="str">
        <x:v>Nevada</x:v>
      </x:c>
      <x:c r="B320" s="142" t="str">
        <x:v>NV</x:v>
      </x:c>
      <x:c r="C320" s="142" t="n">
        <x:v>5</x:v>
      </x:c>
      <x:c r="D320" s="142" t="str">
        <x:v>Route identification</x:v>
      </x:c>
      <x:c r="E320" s="142" t="str">
        <x:v>Do any of these Nevada descriptions sound close to your situation?</x:v>
      </x:c>
      <x:c r="F320" s="142" t="str">
        <x:v>single_choice</x:v>
      </x:c>
      <x:c r="G320" s="142" t="str">
        <x:v>Ask after scope, before route-specific questions</x:v>
      </x:c>
      <x:c r="H320" s="142" t="str">
        <x:v>Lets the participant select a likely remedy or “not sure”; selection prunes unrelated route-specific questions.</x:v>
      </x:c>
      <x:c r="I320" s="142" t="str">
        <x:v>All routes</x:v>
      </x:c>
      <x:c r="J320" s="142" t="str">
        <x:v>Exact details, if needed, are collected after account creation in packet completion.</x:v>
      </x:c>
      <x:c r="K320" s="142" t="str">
        <x:v>pathway_routing</x:v>
      </x:c>
      <x:c r="L320" s="142" t="str">
        <x:v>curated_state_pathway_catalog_from_reference</x:v>
      </x:c>
      <x:c r="M320" s="56" t="str">
        <x:v>https://github.com/Roger-LegalEase/legalease-partner-dashboard-clean/blob/2f0ef0403f16e57544ad0bc86b2d1b1cd08861b3/src/lib/rcap-engine/compiled/profiles/NV-nevada.json</x:v>
      </x:c>
    </x:row>
    <x:row r="321">
      <x:c r="A321" s="55" t="str">
        <x:v>Nevada</x:v>
      </x:c>
      <x:c r="B321" s="142" t="str">
        <x:v>NV</x:v>
      </x:c>
      <x:c r="C321" s="142" t="n">
        <x:v>6</x:v>
      </x:c>
      <x:c r="D321" s="142" t="str">
        <x:v>Special pathway</x:v>
      </x:c>
      <x:c r="E321" s="142" t="str">
        <x:v>Have you received a pardon, certificate of rehabilitation, or similar executive relief for this conviction?</x:v>
      </x:c>
      <x:c r="F321" s="142" t="str">
        <x:v>yes_no_unsure</x:v>
      </x:c>
      <x:c r="G321" s="142" t="str">
        <x:v>Ask only while a pardon or executive-relief route remains viable.</x:v>
      </x:c>
      <x:c r="H321" s="142" t="str">
        <x:v>Yes may open a pardon-based route; No preserves ordinary routes; Not sure defers proof.</x:v>
      </x:c>
      <x:c r="I321" s="142" t="str">
        <x:v>Pardon / executive-relief routes</x:v>
      </x:c>
      <x:c r="J321" s="142" t="str">
        <x:v>Exact details, if needed, are collected after account creation in packet completion.</x:v>
      </x:c>
      <x:c r="K321" s="142" t="str">
        <x:v>special_pathways</x:v>
      </x:c>
      <x:c r="L321" s="142" t="str">
        <x:v>derived_from_state_rule_fields</x:v>
      </x:c>
      <x:c r="M321" s="56" t="str">
        <x:v>https://github.com/Roger-LegalEase/legalease-partner-dashboard-clean/blob/2f0ef0403f16e57544ad0bc86b2d1b1cd08861b3/src/lib/rcap-engine/compiled/profiles/NV-nevada.json</x:v>
      </x:c>
    </x:row>
    <x:row r="322">
      <x:c r="A322" s="55" t="str">
        <x:v>Nevada</x:v>
      </x:c>
      <x:c r="B322" s="142" t="str">
        <x:v>NV</x:v>
      </x:c>
      <x:c r="C322" s="142" t="n">
        <x:v>7</x:v>
      </x:c>
      <x:c r="D322" s="142" t="str">
        <x:v>Timing / completion</x:v>
      </x:c>
      <x:c r="E322" s="142" t="str">
        <x:v>Do you currently have any pending criminal charge, open case, probation, parole, or other supervision?</x:v>
      </x:c>
      <x:c r="F322" s="142" t="str">
        <x:v>yes_no_unsure</x:v>
      </x:c>
      <x:c r="G322" s="142" t="str">
        <x:v>Ask only when pending cases or active supervision can block the candidate route.</x:v>
      </x:c>
      <x:c r="H322" s="142" t="str">
        <x:v>Pending/open matter may produce not-yet, review, or a different route.</x:v>
      </x:c>
      <x:c r="I322" s="142" t="str">
        <x:v>Pending-case-sensitive routes</x:v>
      </x:c>
      <x:c r="J322" s="142" t="str">
        <x:v>Exact details, if needed, are collected after account creation in packet completion.</x:v>
      </x:c>
      <x:c r="K322" s="142" t="str">
        <x:v>timing_and_completion</x:v>
      </x:c>
      <x:c r="L322" s="142" t="str">
        <x:v>derived_from_state_rule_fields</x:v>
      </x:c>
      <x:c r="M322" s="56" t="str">
        <x:v>https://github.com/Roger-LegalEase/legalease-partner-dashboard-clean/blob/2f0ef0403f16e57544ad0bc86b2d1b1cd08861b3/src/lib/rcap-engine/compiled/profiles/NV-nevada.json</x:v>
      </x:c>
    </x:row>
    <x:row r="323">
      <x:c r="A323" s="55" t="str">
        <x:v>Nevada</x:v>
      </x:c>
      <x:c r="B323" s="142" t="str">
        <x:v>NV</x:v>
      </x:c>
      <x:c r="C323" s="142" t="n">
        <x:v>8</x:v>
      </x:c>
      <x:c r="D323" s="142" t="str">
        <x:v>Timing / completion</x:v>
      </x:c>
      <x:c r="E323" s="142" t="str">
        <x:v>Have you completed everything the court ordered in this case?</x:v>
      </x:c>
      <x:c r="F323" s="142" t="str">
        <x:v>single_choice</x:v>
      </x:c>
      <x:c r="G323" s="142" t="str">
        <x:v>Ask only when a viable route depends on sentence, supervision, program, restitution, or financial completion.</x:v>
      </x:c>
      <x:c r="H323" s="142" t="str">
        <x:v>No → usually not yet or needs more information; Yes → continue; Not sure → defer exact proof.</x:v>
      </x:c>
      <x:c r="I323" s="142" t="str">
        <x:v>Completion-dependent routes</x:v>
      </x:c>
      <x:c r="J323" s="142" t="str">
        <x:v>Exact details, if needed, are collected after account creation in packet completion.</x:v>
      </x:c>
      <x:c r="K323" s="142" t="str">
        <x:v>timing_and_completion</x:v>
      </x:c>
      <x:c r="L323" s="142" t="str">
        <x:v>normalized_free_check</x:v>
      </x:c>
      <x:c r="M323" s="56" t="str">
        <x:v>https://github.com/Roger-LegalEase/legalease-partner-dashboard-clean/blob/2f0ef0403f16e57544ad0bc86b2d1b1cd08861b3/src/lib/rcap-engine/compiled/profiles/NV-nevada.json</x:v>
      </x:c>
    </x:row>
    <x:row r="324">
      <x:c r="A324" s="55" t="str">
        <x:v>Nevada</x:v>
      </x:c>
      <x:c r="B324" s="142" t="str">
        <x:v>NV</x:v>
      </x:c>
      <x:c r="C324" s="142" t="n">
        <x:v>9</x:v>
      </x:c>
      <x:c r="D324" s="142" t="str">
        <x:v>Timing / completion</x:v>
      </x:c>
      <x:c r="E324" s="142" t="str">
        <x:v>About how long ago did this case end or get resolved?</x:v>
      </x:c>
      <x:c r="F324" s="142" t="str">
        <x:v>single_choice</x:v>
      </x:c>
      <x:c r="G324" s="142" t="str">
        <x:v>Ask only when at least one viable route has a waiting period.</x:v>
      </x:c>
      <x:c r="H324" s="142" t="str">
        <x:v>Uses an approximate band for a preliminary result; exact dates are collected later.</x:v>
      </x:c>
      <x:c r="I324" s="142" t="str">
        <x:v>Timing-dependent routes</x:v>
      </x:c>
      <x:c r="J324" s="142" t="str">
        <x:v>Exact details, if needed, are collected after account creation in packet completion.</x:v>
      </x:c>
      <x:c r="K324" s="142" t="str">
        <x:v>timing_and_completion</x:v>
      </x:c>
      <x:c r="L324" s="142" t="str">
        <x:v>normalized_free_check</x:v>
      </x:c>
      <x:c r="M324" s="56" t="str">
        <x:v>https://github.com/Roger-LegalEase/legalease-partner-dashboard-clean/blob/2f0ef0403f16e57544ad0bc86b2d1b1cd08861b3/src/lib/rcap-engine/compiled/profiles/NV-nevada.json</x:v>
      </x:c>
    </x:row>
    <x:row r="325">
      <x:c r="A325" s="55" t="str">
        <x:v>New York</x:v>
      </x:c>
      <x:c r="B325" s="142" t="str">
        <x:v>NY</x:v>
      </x:c>
      <x:c r="C325" s="142" t="n">
        <x:v>1</x:v>
      </x:c>
      <x:c r="D325" s="142" t="str">
        <x:v>Scope</x:v>
      </x:c>
      <x:c r="E325" s="142" t="str">
        <x:v>Are you asking about your own record?</x:v>
      </x:c>
      <x:c r="F325" s="142" t="str">
        <x:v>single_choice</x:v>
      </x:c>
      <x:c r="G325" s="142" t="str">
        <x:v>Ask in every free check</x:v>
      </x:c>
      <x:c r="H325" s="142" t="str">
        <x:v>No → stop or redirect; Yes → continue.</x:v>
      </x:c>
      <x:c r="I325" s="142" t="str">
        <x:v>All routes</x:v>
      </x:c>
      <x:c r="J325" s="142" t="str">
        <x:v>Exact details, if needed, are collected after account creation in packet completion.</x:v>
      </x:c>
      <x:c r="K325" s="142" t="str">
        <x:v>scope</x:v>
      </x:c>
      <x:c r="L325" s="142" t="str">
        <x:v>shared_scope_boundary</x:v>
      </x:c>
      <x:c r="M325" s="56" t="str">
        <x:v>https://github.com/Roger-LegalEase/legalease-partner-dashboard-clean/blob/2f0ef0403f16e57544ad0bc86b2d1b1cd08861b3/src/lib/rcap-engine/compiled/profiles/NY-new-york.json</x:v>
      </x:c>
    </x:row>
    <x:row r="326">
      <x:c r="A326" s="55" t="str">
        <x:v>New York</x:v>
      </x:c>
      <x:c r="B326" s="142" t="str">
        <x:v>NY</x:v>
      </x:c>
      <x:c r="C326" s="142" t="n">
        <x:v>2</x:v>
      </x:c>
      <x:c r="D326" s="142" t="str">
        <x:v>Scope</x:v>
      </x:c>
      <x:c r="E326" s="142" t="str">
        <x:v>Is this a state or local matter from New York, rather than a federal matter?</x:v>
      </x:c>
      <x:c r="F326" s="142" t="str">
        <x:v>single_choice</x:v>
      </x:c>
      <x:c r="G326" s="142" t="str">
        <x:v>Ask in every free check</x:v>
      </x:c>
      <x:c r="H326" s="142" t="str">
        <x:v>Federal or wrong-state matter → outside this state flow; state/local matter → continue.</x:v>
      </x:c>
      <x:c r="I326" s="142" t="str">
        <x:v>All routes</x:v>
      </x:c>
      <x:c r="J326" s="142" t="str">
        <x:v>Exact details, if needed, are collected after account creation in packet completion.</x:v>
      </x:c>
      <x:c r="K326" s="142" t="str">
        <x:v>scope</x:v>
      </x:c>
      <x:c r="L326" s="142" t="str">
        <x:v>shared_scope_boundary</x:v>
      </x:c>
      <x:c r="M326" s="56" t="str">
        <x:v>https://github.com/Roger-LegalEase/legalease-partner-dashboard-clean/blob/2f0ef0403f16e57544ad0bc86b2d1b1cd08861b3/src/lib/rcap-engine/compiled/profiles/NY-new-york.json</x:v>
      </x:c>
    </x:row>
    <x:row r="327">
      <x:c r="A327" s="55" t="str">
        <x:v>New York</x:v>
      </x:c>
      <x:c r="B327" s="142" t="str">
        <x:v>NY</x:v>
      </x:c>
      <x:c r="C327" s="142" t="n">
        <x:v>3</x:v>
      </x:c>
      <x:c r="D327" s="142" t="str">
        <x:v>Route identification</x:v>
      </x:c>
      <x:c r="E327" s="142" t="str">
        <x:v>How did the New York case or record end?</x:v>
      </x:c>
      <x:c r="F327" s="142" t="str">
        <x:v>single_choice</x:v>
      </x:c>
      <x:c r="G327" s="142" t="str">
        <x:v>Ask after scope, before route-specific questions</x:v>
      </x:c>
      <x:c r="H327" s="142" t="str">
        <x:v>Splits nonconviction, conviction, diversion/deferred, juvenile, automatic, pardon, correction, and other route families.</x:v>
      </x:c>
      <x:c r="I327" s="142" t="str">
        <x:v>All routes</x:v>
      </x:c>
      <x:c r="J327" s="142" t="str">
        <x:v>Exact details, if needed, are collected after account creation in packet completion.</x:v>
      </x:c>
      <x:c r="K327" s="142" t="str">
        <x:v>pathway_routing</x:v>
      </x:c>
      <x:c r="L327" s="142" t="str">
        <x:v>state_case_outcome_rules</x:v>
      </x:c>
      <x:c r="M327" s="56" t="str">
        <x:v>https://github.com/Roger-LegalEase/legalease-partner-dashboard-clean/blob/2f0ef0403f16e57544ad0bc86b2d1b1cd08861b3/src/lib/rcap-engine/compiled/profiles/NY-new-york.json</x:v>
      </x:c>
    </x:row>
    <x:row r="328">
      <x:c r="A328" s="55" t="str">
        <x:v>New York</x:v>
      </x:c>
      <x:c r="B328" s="142" t="str">
        <x:v>NY</x:v>
      </x:c>
      <x:c r="C328" s="142" t="n">
        <x:v>4</x:v>
      </x:c>
      <x:c r="D328" s="142" t="str">
        <x:v>Route identification</x:v>
      </x:c>
      <x:c r="E328" s="142" t="str">
        <x:v>What level or type was the charge?</x:v>
      </x:c>
      <x:c r="F328" s="142" t="str">
        <x:v>single_choice</x:v>
      </x:c>
      <x:c r="G328" s="142" t="str">
        <x:v>Ask after scope, before route-specific questions</x:v>
      </x:c>
      <x:c r="H328" s="142" t="str">
        <x:v>Narrows offense-level routes, waiting-period bands, and obvious exclusions.</x:v>
      </x:c>
      <x:c r="I328" s="142" t="str">
        <x:v>All routes</x:v>
      </x:c>
      <x:c r="J328" s="142" t="str">
        <x:v>Exact details, if needed, are collected after account creation in packet completion.</x:v>
      </x:c>
      <x:c r="K328" s="142" t="str">
        <x:v>pathway_routing</x:v>
      </x:c>
      <x:c r="L328" s="142" t="str">
        <x:v>state_pathway_and_exclusion_rules</x:v>
      </x:c>
      <x:c r="M328" s="56" t="str">
        <x:v>https://github.com/Roger-LegalEase/legalease-partner-dashboard-clean/blob/2f0ef0403f16e57544ad0bc86b2d1b1cd08861b3/src/lib/rcap-engine/compiled/profiles/NY-new-york.json</x:v>
      </x:c>
    </x:row>
    <x:row r="329">
      <x:c r="A329" s="55" t="str">
        <x:v>New York</x:v>
      </x:c>
      <x:c r="B329" s="142" t="str">
        <x:v>NY</x:v>
      </x:c>
      <x:c r="C329" s="142" t="n">
        <x:v>5</x:v>
      </x:c>
      <x:c r="D329" s="142" t="str">
        <x:v>Route identification</x:v>
      </x:c>
      <x:c r="E329" s="142" t="str">
        <x:v>Do any of these New York descriptions sound close to your situation?</x:v>
      </x:c>
      <x:c r="F329" s="142" t="str">
        <x:v>single_choice</x:v>
      </x:c>
      <x:c r="G329" s="142" t="str">
        <x:v>Ask after scope, before route-specific questions</x:v>
      </x:c>
      <x:c r="H329" s="142" t="str">
        <x:v>Lets the participant select a likely remedy or “not sure”; selection prunes unrelated route-specific questions.</x:v>
      </x:c>
      <x:c r="I329" s="142" t="str">
        <x:v>All routes</x:v>
      </x:c>
      <x:c r="J329" s="142" t="str">
        <x:v>Exact details, if needed, are collected after account creation in packet completion.</x:v>
      </x:c>
      <x:c r="K329" s="142" t="str">
        <x:v>pathway_routing</x:v>
      </x:c>
      <x:c r="L329" s="142" t="str">
        <x:v>curated_state_pathway_catalog_from_reference</x:v>
      </x:c>
      <x:c r="M329" s="56" t="str">
        <x:v>https://github.com/Roger-LegalEase/legalease-partner-dashboard-clean/blob/2f0ef0403f16e57544ad0bc86b2d1b1cd08861b3/src/lib/rcap-engine/compiled/profiles/NY-new-york.json</x:v>
      </x:c>
    </x:row>
    <x:row r="330">
      <x:c r="A330" s="55" t="str">
        <x:v>New York</x:v>
      </x:c>
      <x:c r="B330" s="142" t="str">
        <x:v>NY</x:v>
      </x:c>
      <x:c r="C330" s="142" t="n">
        <x:v>6</x:v>
      </x:c>
      <x:c r="D330" s="142" t="str">
        <x:v>Timing / completion</x:v>
      </x:c>
      <x:c r="E330" s="142" t="str">
        <x:v>Do you currently have any pending criminal charge, open case, probation, parole, or other supervision?</x:v>
      </x:c>
      <x:c r="F330" s="142" t="str">
        <x:v>yes_no_unsure</x:v>
      </x:c>
      <x:c r="G330" s="142" t="str">
        <x:v>Ask only when pending cases or active supervision can block the candidate route.</x:v>
      </x:c>
      <x:c r="H330" s="142" t="str">
        <x:v>Pending/open matter may produce not-yet, review, or a different route.</x:v>
      </x:c>
      <x:c r="I330" s="142" t="str">
        <x:v>Pending-case-sensitive routes</x:v>
      </x:c>
      <x:c r="J330" s="142" t="str">
        <x:v>Exact details, if needed, are collected after account creation in packet completion.</x:v>
      </x:c>
      <x:c r="K330" s="142" t="str">
        <x:v>timing_and_completion</x:v>
      </x:c>
      <x:c r="L330" s="142" t="str">
        <x:v>derived_from_state_rule_fields</x:v>
      </x:c>
      <x:c r="M330" s="56" t="str">
        <x:v>https://github.com/Roger-LegalEase/legalease-partner-dashboard-clean/blob/2f0ef0403f16e57544ad0bc86b2d1b1cd08861b3/src/lib/rcap-engine/compiled/profiles/NY-new-york.json</x:v>
      </x:c>
    </x:row>
    <x:row r="331">
      <x:c r="A331" s="55" t="str">
        <x:v>New York</x:v>
      </x:c>
      <x:c r="B331" s="142" t="str">
        <x:v>NY</x:v>
      </x:c>
      <x:c r="C331" s="142" t="n">
        <x:v>7</x:v>
      </x:c>
      <x:c r="D331" s="142" t="str">
        <x:v>Timing / completion</x:v>
      </x:c>
      <x:c r="E331" s="142" t="str">
        <x:v>Have you completed everything the court ordered in this case?</x:v>
      </x:c>
      <x:c r="F331" s="142" t="str">
        <x:v>single_choice</x:v>
      </x:c>
      <x:c r="G331" s="142" t="str">
        <x:v>Ask only when a viable route depends on sentence, supervision, program, restitution, or financial completion.</x:v>
      </x:c>
      <x:c r="H331" s="142" t="str">
        <x:v>No → usually not yet or needs more information; Yes → continue; Not sure → defer exact proof.</x:v>
      </x:c>
      <x:c r="I331" s="142" t="str">
        <x:v>Completion-dependent routes</x:v>
      </x:c>
      <x:c r="J331" s="142" t="str">
        <x:v>Exact details, if needed, are collected after account creation in packet completion.</x:v>
      </x:c>
      <x:c r="K331" s="142" t="str">
        <x:v>timing_and_completion</x:v>
      </x:c>
      <x:c r="L331" s="142" t="str">
        <x:v>normalized_free_check</x:v>
      </x:c>
      <x:c r="M331" s="56" t="str">
        <x:v>https://github.com/Roger-LegalEase/legalease-partner-dashboard-clean/blob/2f0ef0403f16e57544ad0bc86b2d1b1cd08861b3/src/lib/rcap-engine/compiled/profiles/NY-new-york.json</x:v>
      </x:c>
    </x:row>
    <x:row r="332">
      <x:c r="A332" s="55" t="str">
        <x:v>New York</x:v>
      </x:c>
      <x:c r="B332" s="142" t="str">
        <x:v>NY</x:v>
      </x:c>
      <x:c r="C332" s="142" t="n">
        <x:v>8</x:v>
      </x:c>
      <x:c r="D332" s="142" t="str">
        <x:v>Timing / completion</x:v>
      </x:c>
      <x:c r="E332" s="142" t="str">
        <x:v>About how long ago did this case end or get resolved?</x:v>
      </x:c>
      <x:c r="F332" s="142" t="str">
        <x:v>single_choice</x:v>
      </x:c>
      <x:c r="G332" s="142" t="str">
        <x:v>Ask only when at least one viable route has a waiting period.</x:v>
      </x:c>
      <x:c r="H332" s="142" t="str">
        <x:v>Uses an approximate band for a preliminary result; exact dates are collected later.</x:v>
      </x:c>
      <x:c r="I332" s="142" t="str">
        <x:v>Timing-dependent routes</x:v>
      </x:c>
      <x:c r="J332" s="142" t="str">
        <x:v>Exact details, if needed, are collected after account creation in packet completion.</x:v>
      </x:c>
      <x:c r="K332" s="142" t="str">
        <x:v>timing_and_completion</x:v>
      </x:c>
      <x:c r="L332" s="142" t="str">
        <x:v>normalized_free_check</x:v>
      </x:c>
      <x:c r="M332" s="56" t="str">
        <x:v>https://github.com/Roger-LegalEase/legalease-partner-dashboard-clean/blob/2f0ef0403f16e57544ad0bc86b2d1b1cd08861b3/src/lib/rcap-engine/compiled/profiles/NY-new-york.json</x:v>
      </x:c>
    </x:row>
    <x:row r="333">
      <x:c r="A333" s="55" t="str">
        <x:v>New York</x:v>
      </x:c>
      <x:c r="B333" s="142" t="str">
        <x:v>NY</x:v>
      </x:c>
      <x:c r="C333" s="142" t="n">
        <x:v>9</x:v>
      </x:c>
      <x:c r="D333" s="142" t="str">
        <x:v>Exclusions / review</x:v>
      </x:c>
      <x:c r="E333" s="142" t="str">
        <x:v>Does the record involve any New York category that the source identifies as excluded or review-required?</x:v>
      </x:c>
      <x:c r="F333" s="142" t="str">
        <x:v>multi_select</x:v>
      </x:c>
      <x:c r="G333" s="142" t="str">
        <x:v>Ask after the route is narrowed; show only categories relevant to the remaining route.</x:v>
      </x:c>
      <x:c r="H333" s="142" t="str">
        <x:v>Matching category → hard stop or review; none → continue.</x:v>
      </x:c>
      <x:c r="I333" s="142" t="str">
        <x:v>Route-specific exclusions</x:v>
      </x:c>
      <x:c r="J333" s="142" t="str">
        <x:v>Exact details, if needed, are collected after account creation in packet completion.</x:v>
      </x:c>
      <x:c r="K333" s="142" t="str">
        <x:v>exclusion_screen</x:v>
      </x:c>
      <x:c r="L333" s="142" t="str">
        <x:v>state_exclusion_section</x:v>
      </x:c>
      <x:c r="M333" s="56" t="str">
        <x:v>https://github.com/Roger-LegalEase/legalease-partner-dashboard-clean/blob/2f0ef0403f16e57544ad0bc86b2d1b1cd08861b3/src/lib/rcap-engine/compiled/profiles/NY-new-york.json</x:v>
      </x:c>
    </x:row>
    <x:row r="334">
      <x:c r="A334" s="55" t="str">
        <x:v>Ohio</x:v>
      </x:c>
      <x:c r="B334" s="142" t="str">
        <x:v>OH</x:v>
      </x:c>
      <x:c r="C334" s="142" t="n">
        <x:v>1</x:v>
      </x:c>
      <x:c r="D334" s="142" t="str">
        <x:v>Scope</x:v>
      </x:c>
      <x:c r="E334" s="142" t="str">
        <x:v>Are you asking about your own record?</x:v>
      </x:c>
      <x:c r="F334" s="142" t="str">
        <x:v>single_choice</x:v>
      </x:c>
      <x:c r="G334" s="142" t="str">
        <x:v>Ask in every free check</x:v>
      </x:c>
      <x:c r="H334" s="142" t="str">
        <x:v>No → stop or redirect; Yes → continue.</x:v>
      </x:c>
      <x:c r="I334" s="142" t="str">
        <x:v>All routes</x:v>
      </x:c>
      <x:c r="J334" s="142" t="str">
        <x:v>Exact details, if needed, are collected after account creation in packet completion.</x:v>
      </x:c>
      <x:c r="K334" s="142" t="str">
        <x:v>scope</x:v>
      </x:c>
      <x:c r="L334" s="142" t="str">
        <x:v>shared_scope_boundary</x:v>
      </x:c>
      <x:c r="M334" s="56" t="str">
        <x:v>https://github.com/Roger-LegalEase/legalease-partner-dashboard-clean/blob/2f0ef0403f16e57544ad0bc86b2d1b1cd08861b3/src/lib/rcap-engine/compiled/profiles/OH-ohio.json</x:v>
      </x:c>
    </x:row>
    <x:row r="335">
      <x:c r="A335" s="55" t="str">
        <x:v>Ohio</x:v>
      </x:c>
      <x:c r="B335" s="142" t="str">
        <x:v>OH</x:v>
      </x:c>
      <x:c r="C335" s="142" t="n">
        <x:v>2</x:v>
      </x:c>
      <x:c r="D335" s="142" t="str">
        <x:v>Scope</x:v>
      </x:c>
      <x:c r="E335" s="142" t="str">
        <x:v>Is this a state or local matter from Ohio, rather than a federal matter?</x:v>
      </x:c>
      <x:c r="F335" s="142" t="str">
        <x:v>single_choice</x:v>
      </x:c>
      <x:c r="G335" s="142" t="str">
        <x:v>Ask in every free check</x:v>
      </x:c>
      <x:c r="H335" s="142" t="str">
        <x:v>Federal or wrong-state matter → outside this state flow; state/local matter → continue.</x:v>
      </x:c>
      <x:c r="I335" s="142" t="str">
        <x:v>All routes</x:v>
      </x:c>
      <x:c r="J335" s="142" t="str">
        <x:v>Exact details, if needed, are collected after account creation in packet completion.</x:v>
      </x:c>
      <x:c r="K335" s="142" t="str">
        <x:v>scope</x:v>
      </x:c>
      <x:c r="L335" s="142" t="str">
        <x:v>shared_scope_boundary</x:v>
      </x:c>
      <x:c r="M335" s="56" t="str">
        <x:v>https://github.com/Roger-LegalEase/legalease-partner-dashboard-clean/blob/2f0ef0403f16e57544ad0bc86b2d1b1cd08861b3/src/lib/rcap-engine/compiled/profiles/OH-ohio.json</x:v>
      </x:c>
    </x:row>
    <x:row r="336">
      <x:c r="A336" s="55" t="str">
        <x:v>Ohio</x:v>
      </x:c>
      <x:c r="B336" s="142" t="str">
        <x:v>OH</x:v>
      </x:c>
      <x:c r="C336" s="142" t="n">
        <x:v>3</x:v>
      </x:c>
      <x:c r="D336" s="142" t="str">
        <x:v>Route identification</x:v>
      </x:c>
      <x:c r="E336" s="142" t="str">
        <x:v>How did the Ohio case or record end?</x:v>
      </x:c>
      <x:c r="F336" s="142" t="str">
        <x:v>single_choice</x:v>
      </x:c>
      <x:c r="G336" s="142" t="str">
        <x:v>Ask after scope, before route-specific questions</x:v>
      </x:c>
      <x:c r="H336" s="142" t="str">
        <x:v>Splits nonconviction, conviction, diversion/deferred, juvenile, automatic, pardon, correction, and other route families.</x:v>
      </x:c>
      <x:c r="I336" s="142" t="str">
        <x:v>All routes</x:v>
      </x:c>
      <x:c r="J336" s="142" t="str">
        <x:v>Exact details, if needed, are collected after account creation in packet completion.</x:v>
      </x:c>
      <x:c r="K336" s="142" t="str">
        <x:v>pathway_routing</x:v>
      </x:c>
      <x:c r="L336" s="142" t="str">
        <x:v>state_case_outcome_rules</x:v>
      </x:c>
      <x:c r="M336" s="56" t="str">
        <x:v>https://github.com/Roger-LegalEase/legalease-partner-dashboard-clean/blob/2f0ef0403f16e57544ad0bc86b2d1b1cd08861b3/src/lib/rcap-engine/compiled/profiles/OH-ohio.json</x:v>
      </x:c>
    </x:row>
    <x:row r="337">
      <x:c r="A337" s="55" t="str">
        <x:v>Ohio</x:v>
      </x:c>
      <x:c r="B337" s="142" t="str">
        <x:v>OH</x:v>
      </x:c>
      <x:c r="C337" s="142" t="n">
        <x:v>4</x:v>
      </x:c>
      <x:c r="D337" s="142" t="str">
        <x:v>Route identification</x:v>
      </x:c>
      <x:c r="E337" s="142" t="str">
        <x:v>What level or type was the charge?</x:v>
      </x:c>
      <x:c r="F337" s="142" t="str">
        <x:v>single_choice</x:v>
      </x:c>
      <x:c r="G337" s="142" t="str">
        <x:v>Ask after scope, before route-specific questions</x:v>
      </x:c>
      <x:c r="H337" s="142" t="str">
        <x:v>Narrows offense-level routes, waiting-period bands, and obvious exclusions.</x:v>
      </x:c>
      <x:c r="I337" s="142" t="str">
        <x:v>All routes</x:v>
      </x:c>
      <x:c r="J337" s="142" t="str">
        <x:v>Exact details, if needed, are collected after account creation in packet completion.</x:v>
      </x:c>
      <x:c r="K337" s="142" t="str">
        <x:v>pathway_routing</x:v>
      </x:c>
      <x:c r="L337" s="142" t="str">
        <x:v>state_pathway_and_exclusion_rules</x:v>
      </x:c>
      <x:c r="M337" s="56" t="str">
        <x:v>https://github.com/Roger-LegalEase/legalease-partner-dashboard-clean/blob/2f0ef0403f16e57544ad0bc86b2d1b1cd08861b3/src/lib/rcap-engine/compiled/profiles/OH-ohio.json</x:v>
      </x:c>
    </x:row>
    <x:row r="338">
      <x:c r="A338" s="55" t="str">
        <x:v>Ohio</x:v>
      </x:c>
      <x:c r="B338" s="142" t="str">
        <x:v>OH</x:v>
      </x:c>
      <x:c r="C338" s="142" t="n">
        <x:v>5</x:v>
      </x:c>
      <x:c r="D338" s="142" t="str">
        <x:v>Route identification</x:v>
      </x:c>
      <x:c r="E338" s="142" t="str">
        <x:v>Do any of these Ohio descriptions sound close to your situation?</x:v>
      </x:c>
      <x:c r="F338" s="142" t="str">
        <x:v>single_choice</x:v>
      </x:c>
      <x:c r="G338" s="142" t="str">
        <x:v>Ask after scope, before route-specific questions</x:v>
      </x:c>
      <x:c r="H338" s="142" t="str">
        <x:v>Lets the participant select a likely remedy or “not sure”; selection prunes unrelated route-specific questions.</x:v>
      </x:c>
      <x:c r="I338" s="142" t="str">
        <x:v>All routes</x:v>
      </x:c>
      <x:c r="J338" s="142" t="str">
        <x:v>Exact details, if needed, are collected after account creation in packet completion.</x:v>
      </x:c>
      <x:c r="K338" s="142" t="str">
        <x:v>pathway_routing</x:v>
      </x:c>
      <x:c r="L338" s="142" t="str">
        <x:v>curated_state_pathway_catalog_from_reference</x:v>
      </x:c>
      <x:c r="M338" s="56" t="str">
        <x:v>https://github.com/Roger-LegalEase/legalease-partner-dashboard-clean/blob/2f0ef0403f16e57544ad0bc86b2d1b1cd08861b3/src/lib/rcap-engine/compiled/profiles/OH-ohio.json</x:v>
      </x:c>
    </x:row>
    <x:row r="339">
      <x:c r="A339" s="55" t="str">
        <x:v>Ohio</x:v>
      </x:c>
      <x:c r="B339" s="142" t="str">
        <x:v>OH</x:v>
      </x:c>
      <x:c r="C339" s="142" t="n">
        <x:v>6</x:v>
      </x:c>
      <x:c r="D339" s="142" t="str">
        <x:v>Route identification</x:v>
      </x:c>
      <x:c r="E339" s="142" t="str">
        <x:v>How old were you when the offense or case began?</x:v>
      </x:c>
      <x:c r="F339" s="142" t="str">
        <x:v>number_or_range</x:v>
      </x:c>
      <x:c r="G339" s="142" t="str">
        <x:v>Ask only when adult-versus-juvenile or youthful-offender treatment may change the route.</x:v>
      </x:c>
      <x:c r="H339" s="142" t="str">
        <x:v>Routes to juvenile/youthful-offender logic or keeps the adult route.</x:v>
      </x:c>
      <x:c r="I339" s="142" t="str">
        <x:v>Age-sensitive routes</x:v>
      </x:c>
      <x:c r="J339" s="142" t="str">
        <x:v>Exact details, if needed, are collected after account creation in packet completion.</x:v>
      </x:c>
      <x:c r="K339" s="142" t="str">
        <x:v>pathway_routing</x:v>
      </x:c>
      <x:c r="L339" s="142" t="str">
        <x:v>derived_from_state_rule_fields</x:v>
      </x:c>
      <x:c r="M339" s="56" t="str">
        <x:v>https://github.com/Roger-LegalEase/legalease-partner-dashboard-clean/blob/2f0ef0403f16e57544ad0bc86b2d1b1cd08861b3/src/lib/rcap-engine/compiled/profiles/OH-ohio.json</x:v>
      </x:c>
    </x:row>
    <x:row r="340">
      <x:c r="A340" s="55" t="str">
        <x:v>Ohio</x:v>
      </x:c>
      <x:c r="B340" s="142" t="str">
        <x:v>OH</x:v>
      </x:c>
      <x:c r="C340" s="142" t="n">
        <x:v>7</x:v>
      </x:c>
      <x:c r="D340" s="142" t="str">
        <x:v>Special pathway</x:v>
      </x:c>
      <x:c r="E340" s="142" t="str">
        <x:v>Was this offense connected to your status as a human-trafficking or sex-trafficking survivor?</x:v>
      </x:c>
      <x:c r="F340" s="142" t="str">
        <x:v>yes_no_prefer_not_to_say</x:v>
      </x:c>
      <x:c r="G340" s="142" t="str">
        <x:v>Ask only while trafficking-survivor relief remains viable; allow “prefer not to say.”</x:v>
      </x:c>
      <x:c r="H340" s="142" t="str">
        <x:v>May open vacatur/expungement or review treatment.</x:v>
      </x:c>
      <x:c r="I340" s="142" t="str">
        <x:v>Trafficking-survivor routes</x:v>
      </x:c>
      <x:c r="J340" s="142" t="str">
        <x:v>Exact details, if needed, are collected after account creation in packet completion.</x:v>
      </x:c>
      <x:c r="K340" s="142" t="str">
        <x:v>special_pathways</x:v>
      </x:c>
      <x:c r="L340" s="142" t="str">
        <x:v>derived_from_state_rule_fields</x:v>
      </x:c>
      <x:c r="M340" s="56" t="str">
        <x:v>https://github.com/Roger-LegalEase/legalease-partner-dashboard-clean/blob/2f0ef0403f16e57544ad0bc86b2d1b1cd08861b3/src/lib/rcap-engine/compiled/profiles/OH-ohio.json</x:v>
      </x:c>
    </x:row>
    <x:row r="341">
      <x:c r="A341" s="55" t="str">
        <x:v>Ohio</x:v>
      </x:c>
      <x:c r="B341" s="142" t="str">
        <x:v>OH</x:v>
      </x:c>
      <x:c r="C341" s="142" t="n">
        <x:v>8</x:v>
      </x:c>
      <x:c r="D341" s="142" t="str">
        <x:v>Special pathway</x:v>
      </x:c>
      <x:c r="E341" s="142" t="str">
        <x:v>Have you received a pardon, certificate of rehabilitation, or similar executive relief for this conviction?</x:v>
      </x:c>
      <x:c r="F341" s="142" t="str">
        <x:v>yes_no_unsure</x:v>
      </x:c>
      <x:c r="G341" s="142" t="str">
        <x:v>Ask only while a pardon or executive-relief route remains viable.</x:v>
      </x:c>
      <x:c r="H341" s="142" t="str">
        <x:v>Yes may open a pardon-based route; No preserves ordinary routes; Not sure defers proof.</x:v>
      </x:c>
      <x:c r="I341" s="142" t="str">
        <x:v>Pardon / executive-relief routes</x:v>
      </x:c>
      <x:c r="J341" s="142" t="str">
        <x:v>Exact details, if needed, are collected after account creation in packet completion.</x:v>
      </x:c>
      <x:c r="K341" s="142" t="str">
        <x:v>special_pathways</x:v>
      </x:c>
      <x:c r="L341" s="142" t="str">
        <x:v>derived_from_state_rule_fields</x:v>
      </x:c>
      <x:c r="M341" s="56" t="str">
        <x:v>https://github.com/Roger-LegalEase/legalease-partner-dashboard-clean/blob/2f0ef0403f16e57544ad0bc86b2d1b1cd08861b3/src/lib/rcap-engine/compiled/profiles/OH-ohio.json</x:v>
      </x:c>
    </x:row>
    <x:row r="342">
      <x:c r="A342" s="55" t="str">
        <x:v>Ohio</x:v>
      </x:c>
      <x:c r="B342" s="142" t="str">
        <x:v>OH</x:v>
      </x:c>
      <x:c r="C342" s="142" t="n">
        <x:v>9</x:v>
      </x:c>
      <x:c r="D342" s="142" t="str">
        <x:v>Timing / completion</x:v>
      </x:c>
      <x:c r="E342" s="142" t="str">
        <x:v>Do you currently have any pending criminal charge, open case, probation, parole, or other supervision?</x:v>
      </x:c>
      <x:c r="F342" s="142" t="str">
        <x:v>yes_no_unsure</x:v>
      </x:c>
      <x:c r="G342" s="142" t="str">
        <x:v>Ask only when pending cases or active supervision can block the candidate route.</x:v>
      </x:c>
      <x:c r="H342" s="142" t="str">
        <x:v>Pending/open matter may produce not-yet, review, or a different route.</x:v>
      </x:c>
      <x:c r="I342" s="142" t="str">
        <x:v>Pending-case-sensitive routes</x:v>
      </x:c>
      <x:c r="J342" s="142" t="str">
        <x:v>Exact details, if needed, are collected after account creation in packet completion.</x:v>
      </x:c>
      <x:c r="K342" s="142" t="str">
        <x:v>timing_and_completion</x:v>
      </x:c>
      <x:c r="L342" s="142" t="str">
        <x:v>derived_from_state_rule_fields</x:v>
      </x:c>
      <x:c r="M342" s="56" t="str">
        <x:v>https://github.com/Roger-LegalEase/legalease-partner-dashboard-clean/blob/2f0ef0403f16e57544ad0bc86b2d1b1cd08861b3/src/lib/rcap-engine/compiled/profiles/OH-ohio.json</x:v>
      </x:c>
    </x:row>
    <x:row r="343">
      <x:c r="A343" s="55" t="str">
        <x:v>Ohio</x:v>
      </x:c>
      <x:c r="B343" s="142" t="str">
        <x:v>OH</x:v>
      </x:c>
      <x:c r="C343" s="142" t="n">
        <x:v>10</x:v>
      </x:c>
      <x:c r="D343" s="142" t="str">
        <x:v>Timing / completion</x:v>
      </x:c>
      <x:c r="E343" s="142" t="str">
        <x:v>Have you completed everything the court ordered in this case?</x:v>
      </x:c>
      <x:c r="F343" s="142" t="str">
        <x:v>single_choice</x:v>
      </x:c>
      <x:c r="G343" s="142" t="str">
        <x:v>Ask only when a viable route depends on sentence, supervision, program, restitution, or financial completion.</x:v>
      </x:c>
      <x:c r="H343" s="142" t="str">
        <x:v>No → usually not yet or needs more information; Yes → continue; Not sure → defer exact proof.</x:v>
      </x:c>
      <x:c r="I343" s="142" t="str">
        <x:v>Completion-dependent routes</x:v>
      </x:c>
      <x:c r="J343" s="142" t="str">
        <x:v>Exact details, if needed, are collected after account creation in packet completion.</x:v>
      </x:c>
      <x:c r="K343" s="142" t="str">
        <x:v>timing_and_completion</x:v>
      </x:c>
      <x:c r="L343" s="142" t="str">
        <x:v>normalized_free_check</x:v>
      </x:c>
      <x:c r="M343" s="56" t="str">
        <x:v>https://github.com/Roger-LegalEase/legalease-partner-dashboard-clean/blob/2f0ef0403f16e57544ad0bc86b2d1b1cd08861b3/src/lib/rcap-engine/compiled/profiles/OH-ohio.json</x:v>
      </x:c>
    </x:row>
    <x:row r="344">
      <x:c r="A344" s="55" t="str">
        <x:v>Ohio</x:v>
      </x:c>
      <x:c r="B344" s="142" t="str">
        <x:v>OH</x:v>
      </x:c>
      <x:c r="C344" s="142" t="n">
        <x:v>11</x:v>
      </x:c>
      <x:c r="D344" s="142" t="str">
        <x:v>Timing / completion</x:v>
      </x:c>
      <x:c r="E344" s="142" t="str">
        <x:v>About how long ago did this case end or get resolved?</x:v>
      </x:c>
      <x:c r="F344" s="142" t="str">
        <x:v>single_choice</x:v>
      </x:c>
      <x:c r="G344" s="142" t="str">
        <x:v>Ask only when at least one viable route has a waiting period.</x:v>
      </x:c>
      <x:c r="H344" s="142" t="str">
        <x:v>Uses an approximate band for a preliminary result; exact dates are collected later.</x:v>
      </x:c>
      <x:c r="I344" s="142" t="str">
        <x:v>Timing-dependent routes</x:v>
      </x:c>
      <x:c r="J344" s="142" t="str">
        <x:v>Exact details, if needed, are collected after account creation in packet completion.</x:v>
      </x:c>
      <x:c r="K344" s="142" t="str">
        <x:v>timing_and_completion</x:v>
      </x:c>
      <x:c r="L344" s="142" t="str">
        <x:v>normalized_free_check</x:v>
      </x:c>
      <x:c r="M344" s="56" t="str">
        <x:v>https://github.com/Roger-LegalEase/legalease-partner-dashboard-clean/blob/2f0ef0403f16e57544ad0bc86b2d1b1cd08861b3/src/lib/rcap-engine/compiled/profiles/OH-ohio.json</x:v>
      </x:c>
    </x:row>
    <x:row r="345">
      <x:c r="A345" s="55" t="str">
        <x:v>Oklahoma</x:v>
      </x:c>
      <x:c r="B345" s="142" t="str">
        <x:v>OK</x:v>
      </x:c>
      <x:c r="C345" s="142" t="n">
        <x:v>1</x:v>
      </x:c>
      <x:c r="D345" s="142" t="str">
        <x:v>Scope</x:v>
      </x:c>
      <x:c r="E345" s="142" t="str">
        <x:v>Are you asking about your own record?</x:v>
      </x:c>
      <x:c r="F345" s="142" t="str">
        <x:v>single_choice</x:v>
      </x:c>
      <x:c r="G345" s="142" t="str">
        <x:v>Ask in every free check</x:v>
      </x:c>
      <x:c r="H345" s="142" t="str">
        <x:v>No → stop or redirect; Yes → continue.</x:v>
      </x:c>
      <x:c r="I345" s="142" t="str">
        <x:v>All routes</x:v>
      </x:c>
      <x:c r="J345" s="142" t="str">
        <x:v>Exact details, if needed, are collected after account creation in packet completion.</x:v>
      </x:c>
      <x:c r="K345" s="142" t="str">
        <x:v>scope</x:v>
      </x:c>
      <x:c r="L345" s="142" t="str">
        <x:v>shared_scope_boundary</x:v>
      </x:c>
      <x:c r="M345" s="56" t="str">
        <x:v>https://github.com/Roger-LegalEase/legalease-partner-dashboard-clean/blob/2f0ef0403f16e57544ad0bc86b2d1b1cd08861b3/src/lib/rcap-engine/compiled/profiles/OK-oklahoma.json</x:v>
      </x:c>
    </x:row>
    <x:row r="346">
      <x:c r="A346" s="55" t="str">
        <x:v>Oklahoma</x:v>
      </x:c>
      <x:c r="B346" s="142" t="str">
        <x:v>OK</x:v>
      </x:c>
      <x:c r="C346" s="142" t="n">
        <x:v>2</x:v>
      </x:c>
      <x:c r="D346" s="142" t="str">
        <x:v>Scope</x:v>
      </x:c>
      <x:c r="E346" s="142" t="str">
        <x:v>Is this a state or local matter from Oklahoma, rather than a federal matter?</x:v>
      </x:c>
      <x:c r="F346" s="142" t="str">
        <x:v>single_choice</x:v>
      </x:c>
      <x:c r="G346" s="142" t="str">
        <x:v>Ask in every free check</x:v>
      </x:c>
      <x:c r="H346" s="142" t="str">
        <x:v>Federal or wrong-state matter → outside this state flow; state/local matter → continue.</x:v>
      </x:c>
      <x:c r="I346" s="142" t="str">
        <x:v>All routes</x:v>
      </x:c>
      <x:c r="J346" s="142" t="str">
        <x:v>Exact details, if needed, are collected after account creation in packet completion.</x:v>
      </x:c>
      <x:c r="K346" s="142" t="str">
        <x:v>scope</x:v>
      </x:c>
      <x:c r="L346" s="142" t="str">
        <x:v>shared_scope_boundary</x:v>
      </x:c>
      <x:c r="M346" s="56" t="str">
        <x:v>https://github.com/Roger-LegalEase/legalease-partner-dashboard-clean/blob/2f0ef0403f16e57544ad0bc86b2d1b1cd08861b3/src/lib/rcap-engine/compiled/profiles/OK-oklahoma.json</x:v>
      </x:c>
    </x:row>
    <x:row r="347">
      <x:c r="A347" s="55" t="str">
        <x:v>Oklahoma</x:v>
      </x:c>
      <x:c r="B347" s="142" t="str">
        <x:v>OK</x:v>
      </x:c>
      <x:c r="C347" s="142" t="n">
        <x:v>3</x:v>
      </x:c>
      <x:c r="D347" s="142" t="str">
        <x:v>Route identification</x:v>
      </x:c>
      <x:c r="E347" s="142" t="str">
        <x:v>How did the Oklahoma case or record end?</x:v>
      </x:c>
      <x:c r="F347" s="142" t="str">
        <x:v>single_choice</x:v>
      </x:c>
      <x:c r="G347" s="142" t="str">
        <x:v>Ask after scope, before route-specific questions</x:v>
      </x:c>
      <x:c r="H347" s="142" t="str">
        <x:v>Splits nonconviction, conviction, diversion/deferred, juvenile, automatic, pardon, correction, and other route families.</x:v>
      </x:c>
      <x:c r="I347" s="142" t="str">
        <x:v>All routes</x:v>
      </x:c>
      <x:c r="J347" s="142" t="str">
        <x:v>Exact details, if needed, are collected after account creation in packet completion.</x:v>
      </x:c>
      <x:c r="K347" s="142" t="str">
        <x:v>pathway_routing</x:v>
      </x:c>
      <x:c r="L347" s="142" t="str">
        <x:v>state_case_outcome_rules</x:v>
      </x:c>
      <x:c r="M347" s="56" t="str">
        <x:v>https://github.com/Roger-LegalEase/legalease-partner-dashboard-clean/blob/2f0ef0403f16e57544ad0bc86b2d1b1cd08861b3/src/lib/rcap-engine/compiled/profiles/OK-oklahoma.json</x:v>
      </x:c>
    </x:row>
    <x:row r="348">
      <x:c r="A348" s="55" t="str">
        <x:v>Oklahoma</x:v>
      </x:c>
      <x:c r="B348" s="142" t="str">
        <x:v>OK</x:v>
      </x:c>
      <x:c r="C348" s="142" t="n">
        <x:v>4</x:v>
      </x:c>
      <x:c r="D348" s="142" t="str">
        <x:v>Route identification</x:v>
      </x:c>
      <x:c r="E348" s="142" t="str">
        <x:v>What level or type was the charge?</x:v>
      </x:c>
      <x:c r="F348" s="142" t="str">
        <x:v>single_choice</x:v>
      </x:c>
      <x:c r="G348" s="142" t="str">
        <x:v>Ask after scope, before route-specific questions</x:v>
      </x:c>
      <x:c r="H348" s="142" t="str">
        <x:v>Narrows offense-level routes, waiting-period bands, and obvious exclusions.</x:v>
      </x:c>
      <x:c r="I348" s="142" t="str">
        <x:v>All routes</x:v>
      </x:c>
      <x:c r="J348" s="142" t="str">
        <x:v>Exact details, if needed, are collected after account creation in packet completion.</x:v>
      </x:c>
      <x:c r="K348" s="142" t="str">
        <x:v>pathway_routing</x:v>
      </x:c>
      <x:c r="L348" s="142" t="str">
        <x:v>state_pathway_and_exclusion_rules</x:v>
      </x:c>
      <x:c r="M348" s="56" t="str">
        <x:v>https://github.com/Roger-LegalEase/legalease-partner-dashboard-clean/blob/2f0ef0403f16e57544ad0bc86b2d1b1cd08861b3/src/lib/rcap-engine/compiled/profiles/OK-oklahoma.json</x:v>
      </x:c>
    </x:row>
    <x:row r="349">
      <x:c r="A349" s="55" t="str">
        <x:v>Oklahoma</x:v>
      </x:c>
      <x:c r="B349" s="142" t="str">
        <x:v>OK</x:v>
      </x:c>
      <x:c r="C349" s="142" t="n">
        <x:v>5</x:v>
      </x:c>
      <x:c r="D349" s="142" t="str">
        <x:v>Route identification</x:v>
      </x:c>
      <x:c r="E349" s="142" t="str">
        <x:v>Do any of these Oklahoma descriptions sound close to your situation?</x:v>
      </x:c>
      <x:c r="F349" s="142" t="str">
        <x:v>single_choice</x:v>
      </x:c>
      <x:c r="G349" s="142" t="str">
        <x:v>Ask after scope, before route-specific questions</x:v>
      </x:c>
      <x:c r="H349" s="142" t="str">
        <x:v>Lets the participant select a likely remedy or “not sure”; selection prunes unrelated route-specific questions.</x:v>
      </x:c>
      <x:c r="I349" s="142" t="str">
        <x:v>All routes</x:v>
      </x:c>
      <x:c r="J349" s="142" t="str">
        <x:v>Exact details, if needed, are collected after account creation in packet completion.</x:v>
      </x:c>
      <x:c r="K349" s="142" t="str">
        <x:v>pathway_routing</x:v>
      </x:c>
      <x:c r="L349" s="142" t="str">
        <x:v>curated_state_pathway_catalog_from_reference</x:v>
      </x:c>
      <x:c r="M349" s="56" t="str">
        <x:v>https://github.com/Roger-LegalEase/legalease-partner-dashboard-clean/blob/2f0ef0403f16e57544ad0bc86b2d1b1cd08861b3/src/lib/rcap-engine/compiled/profiles/OK-oklahoma.json</x:v>
      </x:c>
    </x:row>
    <x:row r="350">
      <x:c r="A350" s="55" t="str">
        <x:v>Oklahoma</x:v>
      </x:c>
      <x:c r="B350" s="142" t="str">
        <x:v>OK</x:v>
      </x:c>
      <x:c r="C350" s="142" t="n">
        <x:v>6</x:v>
      </x:c>
      <x:c r="D350" s="142" t="str">
        <x:v>Route identification</x:v>
      </x:c>
      <x:c r="E350" s="142" t="str">
        <x:v>How old were you when the offense or case began?</x:v>
      </x:c>
      <x:c r="F350" s="142" t="str">
        <x:v>number_or_range</x:v>
      </x:c>
      <x:c r="G350" s="142" t="str">
        <x:v>Ask only when adult-versus-juvenile or youthful-offender treatment may change the route.</x:v>
      </x:c>
      <x:c r="H350" s="142" t="str">
        <x:v>Routes to juvenile/youthful-offender logic or keeps the adult route.</x:v>
      </x:c>
      <x:c r="I350" s="142" t="str">
        <x:v>Age-sensitive routes</x:v>
      </x:c>
      <x:c r="J350" s="142" t="str">
        <x:v>Exact details, if needed, are collected after account creation in packet completion.</x:v>
      </x:c>
      <x:c r="K350" s="142" t="str">
        <x:v>pathway_routing</x:v>
      </x:c>
      <x:c r="L350" s="142" t="str">
        <x:v>derived_from_state_rule_fields</x:v>
      </x:c>
      <x:c r="M350" s="56" t="str">
        <x:v>https://github.com/Roger-LegalEase/legalease-partner-dashboard-clean/blob/2f0ef0403f16e57544ad0bc86b2d1b1cd08861b3/src/lib/rcap-engine/compiled/profiles/OK-oklahoma.json</x:v>
      </x:c>
    </x:row>
    <x:row r="351">
      <x:c r="A351" s="55" t="str">
        <x:v>Oklahoma</x:v>
      </x:c>
      <x:c r="B351" s="142" t="str">
        <x:v>OK</x:v>
      </x:c>
      <x:c r="C351" s="142" t="n">
        <x:v>7</x:v>
      </x:c>
      <x:c r="D351" s="142" t="str">
        <x:v>Special pathway</x:v>
      </x:c>
      <x:c r="E351" s="142" t="str">
        <x:v>Was this offense connected to your status as a human-trafficking or sex-trafficking survivor?</x:v>
      </x:c>
      <x:c r="F351" s="142" t="str">
        <x:v>yes_no_prefer_not_to_say</x:v>
      </x:c>
      <x:c r="G351" s="142" t="str">
        <x:v>Ask only while trafficking-survivor relief remains viable; allow “prefer not to say.”</x:v>
      </x:c>
      <x:c r="H351" s="142" t="str">
        <x:v>May open vacatur/expungement or review treatment.</x:v>
      </x:c>
      <x:c r="I351" s="142" t="str">
        <x:v>Trafficking-survivor routes</x:v>
      </x:c>
      <x:c r="J351" s="142" t="str">
        <x:v>Exact details, if needed, are collected after account creation in packet completion.</x:v>
      </x:c>
      <x:c r="K351" s="142" t="str">
        <x:v>special_pathways</x:v>
      </x:c>
      <x:c r="L351" s="142" t="str">
        <x:v>derived_from_state_rule_fields</x:v>
      </x:c>
      <x:c r="M351" s="56" t="str">
        <x:v>https://github.com/Roger-LegalEase/legalease-partner-dashboard-clean/blob/2f0ef0403f16e57544ad0bc86b2d1b1cd08861b3/src/lib/rcap-engine/compiled/profiles/OK-oklahoma.json</x:v>
      </x:c>
    </x:row>
    <x:row r="352">
      <x:c r="A352" s="55" t="str">
        <x:v>Oklahoma</x:v>
      </x:c>
      <x:c r="B352" s="142" t="str">
        <x:v>OK</x:v>
      </x:c>
      <x:c r="C352" s="142" t="n">
        <x:v>8</x:v>
      </x:c>
      <x:c r="D352" s="142" t="str">
        <x:v>Special pathway</x:v>
      </x:c>
      <x:c r="E352" s="142" t="str">
        <x:v>Have you received a pardon, certificate of rehabilitation, or similar executive relief for this conviction?</x:v>
      </x:c>
      <x:c r="F352" s="142" t="str">
        <x:v>yes_no_unsure</x:v>
      </x:c>
      <x:c r="G352" s="142" t="str">
        <x:v>Ask only while a pardon or executive-relief route remains viable.</x:v>
      </x:c>
      <x:c r="H352" s="142" t="str">
        <x:v>Yes may open a pardon-based route; No preserves ordinary routes; Not sure defers proof.</x:v>
      </x:c>
      <x:c r="I352" s="142" t="str">
        <x:v>Pardon / executive-relief routes</x:v>
      </x:c>
      <x:c r="J352" s="142" t="str">
        <x:v>Exact details, if needed, are collected after account creation in packet completion.</x:v>
      </x:c>
      <x:c r="K352" s="142" t="str">
        <x:v>special_pathways</x:v>
      </x:c>
      <x:c r="L352" s="142" t="str">
        <x:v>derived_from_state_rule_fields</x:v>
      </x:c>
      <x:c r="M352" s="56" t="str">
        <x:v>https://github.com/Roger-LegalEase/legalease-partner-dashboard-clean/blob/2f0ef0403f16e57544ad0bc86b2d1b1cd08861b3/src/lib/rcap-engine/compiled/profiles/OK-oklahoma.json</x:v>
      </x:c>
    </x:row>
    <x:row r="353">
      <x:c r="A353" s="55" t="str">
        <x:v>Oklahoma</x:v>
      </x:c>
      <x:c r="B353" s="142" t="str">
        <x:v>OK</x:v>
      </x:c>
      <x:c r="C353" s="142" t="n">
        <x:v>9</x:v>
      </x:c>
      <x:c r="D353" s="142" t="str">
        <x:v>Timing / completion</x:v>
      </x:c>
      <x:c r="E353" s="142" t="str">
        <x:v>Have you completed everything the court ordered in this case?</x:v>
      </x:c>
      <x:c r="F353" s="142" t="str">
        <x:v>single_choice</x:v>
      </x:c>
      <x:c r="G353" s="142" t="str">
        <x:v>Ask only when a viable route depends on sentence, supervision, program, restitution, or financial completion.</x:v>
      </x:c>
      <x:c r="H353" s="142" t="str">
        <x:v>No → usually not yet or needs more information; Yes → continue; Not sure → defer exact proof.</x:v>
      </x:c>
      <x:c r="I353" s="142" t="str">
        <x:v>Completion-dependent routes</x:v>
      </x:c>
      <x:c r="J353" s="142" t="str">
        <x:v>Exact details, if needed, are collected after account creation in packet completion.</x:v>
      </x:c>
      <x:c r="K353" s="142" t="str">
        <x:v>timing_and_completion</x:v>
      </x:c>
      <x:c r="L353" s="142" t="str">
        <x:v>normalized_free_check</x:v>
      </x:c>
      <x:c r="M353" s="56" t="str">
        <x:v>https://github.com/Roger-LegalEase/legalease-partner-dashboard-clean/blob/2f0ef0403f16e57544ad0bc86b2d1b1cd08861b3/src/lib/rcap-engine/compiled/profiles/OK-oklahoma.json</x:v>
      </x:c>
    </x:row>
    <x:row r="354">
      <x:c r="A354" s="55" t="str">
        <x:v>Oklahoma</x:v>
      </x:c>
      <x:c r="B354" s="142" t="str">
        <x:v>OK</x:v>
      </x:c>
      <x:c r="C354" s="142" t="n">
        <x:v>10</x:v>
      </x:c>
      <x:c r="D354" s="142" t="str">
        <x:v>Timing / completion</x:v>
      </x:c>
      <x:c r="E354" s="142" t="str">
        <x:v>About how long ago did this case end or get resolved?</x:v>
      </x:c>
      <x:c r="F354" s="142" t="str">
        <x:v>single_choice</x:v>
      </x:c>
      <x:c r="G354" s="142" t="str">
        <x:v>Ask only when at least one viable route has a waiting period.</x:v>
      </x:c>
      <x:c r="H354" s="142" t="str">
        <x:v>Uses an approximate band for a preliminary result; exact dates are collected later.</x:v>
      </x:c>
      <x:c r="I354" s="142" t="str">
        <x:v>Timing-dependent routes</x:v>
      </x:c>
      <x:c r="J354" s="142" t="str">
        <x:v>Exact details, if needed, are collected after account creation in packet completion.</x:v>
      </x:c>
      <x:c r="K354" s="142" t="str">
        <x:v>timing_and_completion</x:v>
      </x:c>
      <x:c r="L354" s="142" t="str">
        <x:v>normalized_free_check</x:v>
      </x:c>
      <x:c r="M354" s="56" t="str">
        <x:v>https://github.com/Roger-LegalEase/legalease-partner-dashboard-clean/blob/2f0ef0403f16e57544ad0bc86b2d1b1cd08861b3/src/lib/rcap-engine/compiled/profiles/OK-oklahoma.json</x:v>
      </x:c>
    </x:row>
    <x:row r="355">
      <x:c r="A355" s="55" t="str">
        <x:v>Oregon</x:v>
      </x:c>
      <x:c r="B355" s="142" t="str">
        <x:v>OR</x:v>
      </x:c>
      <x:c r="C355" s="142" t="n">
        <x:v>1</x:v>
      </x:c>
      <x:c r="D355" s="142" t="str">
        <x:v>Scope</x:v>
      </x:c>
      <x:c r="E355" s="142" t="str">
        <x:v>Are you asking about your own record?</x:v>
      </x:c>
      <x:c r="F355" s="142" t="str">
        <x:v>single_choice</x:v>
      </x:c>
      <x:c r="G355" s="142" t="str">
        <x:v>Ask in every free check</x:v>
      </x:c>
      <x:c r="H355" s="142" t="str">
        <x:v>No → stop or redirect; Yes → continue.</x:v>
      </x:c>
      <x:c r="I355" s="142" t="str">
        <x:v>All routes</x:v>
      </x:c>
      <x:c r="J355" s="142" t="str">
        <x:v>Exact details, if needed, are collected after account creation in packet completion.</x:v>
      </x:c>
      <x:c r="K355" s="142" t="str">
        <x:v>scope</x:v>
      </x:c>
      <x:c r="L355" s="142" t="str">
        <x:v>shared_scope_boundary</x:v>
      </x:c>
      <x:c r="M355" s="56" t="str">
        <x:v>https://github.com/Roger-LegalEase/legalease-partner-dashboard-clean/blob/2f0ef0403f16e57544ad0bc86b2d1b1cd08861b3/src/lib/rcap-engine/compiled/profiles/OR-oregon.json</x:v>
      </x:c>
    </x:row>
    <x:row r="356">
      <x:c r="A356" s="55" t="str">
        <x:v>Oregon</x:v>
      </x:c>
      <x:c r="B356" s="142" t="str">
        <x:v>OR</x:v>
      </x:c>
      <x:c r="C356" s="142" t="n">
        <x:v>2</x:v>
      </x:c>
      <x:c r="D356" s="142" t="str">
        <x:v>Scope</x:v>
      </x:c>
      <x:c r="E356" s="142" t="str">
        <x:v>Is this a state or local matter from Oregon, rather than a federal matter?</x:v>
      </x:c>
      <x:c r="F356" s="142" t="str">
        <x:v>single_choice</x:v>
      </x:c>
      <x:c r="G356" s="142" t="str">
        <x:v>Ask in every free check</x:v>
      </x:c>
      <x:c r="H356" s="142" t="str">
        <x:v>Federal or wrong-state matter → outside this state flow; state/local matter → continue.</x:v>
      </x:c>
      <x:c r="I356" s="142" t="str">
        <x:v>All routes</x:v>
      </x:c>
      <x:c r="J356" s="142" t="str">
        <x:v>Exact details, if needed, are collected after account creation in packet completion.</x:v>
      </x:c>
      <x:c r="K356" s="142" t="str">
        <x:v>scope</x:v>
      </x:c>
      <x:c r="L356" s="142" t="str">
        <x:v>shared_scope_boundary</x:v>
      </x:c>
      <x:c r="M356" s="56" t="str">
        <x:v>https://github.com/Roger-LegalEase/legalease-partner-dashboard-clean/blob/2f0ef0403f16e57544ad0bc86b2d1b1cd08861b3/src/lib/rcap-engine/compiled/profiles/OR-oregon.json</x:v>
      </x:c>
    </x:row>
    <x:row r="357">
      <x:c r="A357" s="55" t="str">
        <x:v>Oregon</x:v>
      </x:c>
      <x:c r="B357" s="142" t="str">
        <x:v>OR</x:v>
      </x:c>
      <x:c r="C357" s="142" t="n">
        <x:v>3</x:v>
      </x:c>
      <x:c r="D357" s="142" t="str">
        <x:v>Route identification</x:v>
      </x:c>
      <x:c r="E357" s="142" t="str">
        <x:v>How did the Oregon case or record end?</x:v>
      </x:c>
      <x:c r="F357" s="142" t="str">
        <x:v>single_choice</x:v>
      </x:c>
      <x:c r="G357" s="142" t="str">
        <x:v>Ask after scope, before route-specific questions</x:v>
      </x:c>
      <x:c r="H357" s="142" t="str">
        <x:v>Splits nonconviction, conviction, diversion/deferred, juvenile, automatic, pardon, correction, and other route families.</x:v>
      </x:c>
      <x:c r="I357" s="142" t="str">
        <x:v>All routes</x:v>
      </x:c>
      <x:c r="J357" s="142" t="str">
        <x:v>Exact details, if needed, are collected after account creation in packet completion.</x:v>
      </x:c>
      <x:c r="K357" s="142" t="str">
        <x:v>pathway_routing</x:v>
      </x:c>
      <x:c r="L357" s="142" t="str">
        <x:v>state_case_outcome_rules</x:v>
      </x:c>
      <x:c r="M357" s="56" t="str">
        <x:v>https://github.com/Roger-LegalEase/legalease-partner-dashboard-clean/blob/2f0ef0403f16e57544ad0bc86b2d1b1cd08861b3/src/lib/rcap-engine/compiled/profiles/OR-oregon.json</x:v>
      </x:c>
    </x:row>
    <x:row r="358">
      <x:c r="A358" s="55" t="str">
        <x:v>Oregon</x:v>
      </x:c>
      <x:c r="B358" s="142" t="str">
        <x:v>OR</x:v>
      </x:c>
      <x:c r="C358" s="142" t="n">
        <x:v>4</x:v>
      </x:c>
      <x:c r="D358" s="142" t="str">
        <x:v>Route identification</x:v>
      </x:c>
      <x:c r="E358" s="142" t="str">
        <x:v>What level or type was the charge?</x:v>
      </x:c>
      <x:c r="F358" s="142" t="str">
        <x:v>single_choice</x:v>
      </x:c>
      <x:c r="G358" s="142" t="str">
        <x:v>Ask after scope, before route-specific questions</x:v>
      </x:c>
      <x:c r="H358" s="142" t="str">
        <x:v>Narrows offense-level routes, waiting-period bands, and obvious exclusions.</x:v>
      </x:c>
      <x:c r="I358" s="142" t="str">
        <x:v>All routes</x:v>
      </x:c>
      <x:c r="J358" s="142" t="str">
        <x:v>Exact details, if needed, are collected after account creation in packet completion.</x:v>
      </x:c>
      <x:c r="K358" s="142" t="str">
        <x:v>pathway_routing</x:v>
      </x:c>
      <x:c r="L358" s="142" t="str">
        <x:v>state_pathway_and_exclusion_rules</x:v>
      </x:c>
      <x:c r="M358" s="56" t="str">
        <x:v>https://github.com/Roger-LegalEase/legalease-partner-dashboard-clean/blob/2f0ef0403f16e57544ad0bc86b2d1b1cd08861b3/src/lib/rcap-engine/compiled/profiles/OR-oregon.json</x:v>
      </x:c>
    </x:row>
    <x:row r="359">
      <x:c r="A359" s="55" t="str">
        <x:v>Oregon</x:v>
      </x:c>
      <x:c r="B359" s="142" t="str">
        <x:v>OR</x:v>
      </x:c>
      <x:c r="C359" s="142" t="n">
        <x:v>5</x:v>
      </x:c>
      <x:c r="D359" s="142" t="str">
        <x:v>Route identification</x:v>
      </x:c>
      <x:c r="E359" s="142" t="str">
        <x:v>Do any of these Oregon descriptions sound close to your situation?</x:v>
      </x:c>
      <x:c r="F359" s="142" t="str">
        <x:v>single_choice</x:v>
      </x:c>
      <x:c r="G359" s="142" t="str">
        <x:v>Ask after scope, before route-specific questions</x:v>
      </x:c>
      <x:c r="H359" s="142" t="str">
        <x:v>Lets the participant select a likely remedy or “not sure”; selection prunes unrelated route-specific questions.</x:v>
      </x:c>
      <x:c r="I359" s="142" t="str">
        <x:v>All routes</x:v>
      </x:c>
      <x:c r="J359" s="142" t="str">
        <x:v>Exact details, if needed, are collected after account creation in packet completion.</x:v>
      </x:c>
      <x:c r="K359" s="142" t="str">
        <x:v>pathway_routing</x:v>
      </x:c>
      <x:c r="L359" s="142" t="str">
        <x:v>curated_state_pathway_catalog_from_reference</x:v>
      </x:c>
      <x:c r="M359" s="56" t="str">
        <x:v>https://github.com/Roger-LegalEase/legalease-partner-dashboard-clean/blob/2f0ef0403f16e57544ad0bc86b2d1b1cd08861b3/src/lib/rcap-engine/compiled/profiles/OR-oregon.json</x:v>
      </x:c>
    </x:row>
    <x:row r="360">
      <x:c r="A360" s="55" t="str">
        <x:v>Oregon</x:v>
      </x:c>
      <x:c r="B360" s="142" t="str">
        <x:v>OR</x:v>
      </x:c>
      <x:c r="C360" s="142" t="n">
        <x:v>6</x:v>
      </x:c>
      <x:c r="D360" s="142" t="str">
        <x:v>Timing / completion</x:v>
      </x:c>
      <x:c r="E360" s="142" t="str">
        <x:v>Do you currently have any pending criminal charge, open case, probation, parole, or other supervision?</x:v>
      </x:c>
      <x:c r="F360" s="142" t="str">
        <x:v>yes_no_unsure</x:v>
      </x:c>
      <x:c r="G360" s="142" t="str">
        <x:v>Ask only when pending cases or active supervision can block the candidate route.</x:v>
      </x:c>
      <x:c r="H360" s="142" t="str">
        <x:v>Pending/open matter may produce not-yet, review, or a different route.</x:v>
      </x:c>
      <x:c r="I360" s="142" t="str">
        <x:v>Pending-case-sensitive routes</x:v>
      </x:c>
      <x:c r="J360" s="142" t="str">
        <x:v>Exact details, if needed, are collected after account creation in packet completion.</x:v>
      </x:c>
      <x:c r="K360" s="142" t="str">
        <x:v>timing_and_completion</x:v>
      </x:c>
      <x:c r="L360" s="142" t="str">
        <x:v>derived_from_state_rule_fields</x:v>
      </x:c>
      <x:c r="M360" s="56" t="str">
        <x:v>https://github.com/Roger-LegalEase/legalease-partner-dashboard-clean/blob/2f0ef0403f16e57544ad0bc86b2d1b1cd08861b3/src/lib/rcap-engine/compiled/profiles/OR-oregon.json</x:v>
      </x:c>
    </x:row>
    <x:row r="361">
      <x:c r="A361" s="55" t="str">
        <x:v>Oregon</x:v>
      </x:c>
      <x:c r="B361" s="142" t="str">
        <x:v>OR</x:v>
      </x:c>
      <x:c r="C361" s="142" t="n">
        <x:v>7</x:v>
      </x:c>
      <x:c r="D361" s="142" t="str">
        <x:v>Timing / completion</x:v>
      </x:c>
      <x:c r="E361" s="142" t="str">
        <x:v>Have you completed everything the court ordered in this case?</x:v>
      </x:c>
      <x:c r="F361" s="142" t="str">
        <x:v>single_choice</x:v>
      </x:c>
      <x:c r="G361" s="142" t="str">
        <x:v>Ask only when a viable route depends on sentence, supervision, program, restitution, or financial completion.</x:v>
      </x:c>
      <x:c r="H361" s="142" t="str">
        <x:v>No → usually not yet or needs more information; Yes → continue; Not sure → defer exact proof.</x:v>
      </x:c>
      <x:c r="I361" s="142" t="str">
        <x:v>Completion-dependent routes</x:v>
      </x:c>
      <x:c r="J361" s="142" t="str">
        <x:v>Exact details, if needed, are collected after account creation in packet completion.</x:v>
      </x:c>
      <x:c r="K361" s="142" t="str">
        <x:v>timing_and_completion</x:v>
      </x:c>
      <x:c r="L361" s="142" t="str">
        <x:v>normalized_free_check</x:v>
      </x:c>
      <x:c r="M361" s="56" t="str">
        <x:v>https://github.com/Roger-LegalEase/legalease-partner-dashboard-clean/blob/2f0ef0403f16e57544ad0bc86b2d1b1cd08861b3/src/lib/rcap-engine/compiled/profiles/OR-oregon.json</x:v>
      </x:c>
    </x:row>
    <x:row r="362">
      <x:c r="A362" s="55" t="str">
        <x:v>Oregon</x:v>
      </x:c>
      <x:c r="B362" s="142" t="str">
        <x:v>OR</x:v>
      </x:c>
      <x:c r="C362" s="142" t="n">
        <x:v>8</x:v>
      </x:c>
      <x:c r="D362" s="142" t="str">
        <x:v>Timing / completion</x:v>
      </x:c>
      <x:c r="E362" s="142" t="str">
        <x:v>About how long ago did this case end or get resolved?</x:v>
      </x:c>
      <x:c r="F362" s="142" t="str">
        <x:v>single_choice</x:v>
      </x:c>
      <x:c r="G362" s="142" t="str">
        <x:v>Ask only when at least one viable route has a waiting period.</x:v>
      </x:c>
      <x:c r="H362" s="142" t="str">
        <x:v>Uses an approximate band for a preliminary result; exact dates are collected later.</x:v>
      </x:c>
      <x:c r="I362" s="142" t="str">
        <x:v>Timing-dependent routes</x:v>
      </x:c>
      <x:c r="J362" s="142" t="str">
        <x:v>Exact details, if needed, are collected after account creation in packet completion.</x:v>
      </x:c>
      <x:c r="K362" s="142" t="str">
        <x:v>timing_and_completion</x:v>
      </x:c>
      <x:c r="L362" s="142" t="str">
        <x:v>normalized_free_check</x:v>
      </x:c>
      <x:c r="M362" s="56" t="str">
        <x:v>https://github.com/Roger-LegalEase/legalease-partner-dashboard-clean/blob/2f0ef0403f16e57544ad0bc86b2d1b1cd08861b3/src/lib/rcap-engine/compiled/profiles/OR-oregon.json</x:v>
      </x:c>
    </x:row>
    <x:row r="363">
      <x:c r="A363" s="55" t="str">
        <x:v>Oregon</x:v>
      </x:c>
      <x:c r="B363" s="142" t="str">
        <x:v>OR</x:v>
      </x:c>
      <x:c r="C363" s="142" t="n">
        <x:v>9</x:v>
      </x:c>
      <x:c r="D363" s="142" t="str">
        <x:v>Exclusions / review</x:v>
      </x:c>
      <x:c r="E363" s="142" t="str">
        <x:v>Does the record involve any Oregon category that the source identifies as excluded or review-required?</x:v>
      </x:c>
      <x:c r="F363" s="142" t="str">
        <x:v>multi_select</x:v>
      </x:c>
      <x:c r="G363" s="142" t="str">
        <x:v>Ask after the route is narrowed; show only categories relevant to the remaining route.</x:v>
      </x:c>
      <x:c r="H363" s="142" t="str">
        <x:v>Matching category → hard stop or review; none → continue.</x:v>
      </x:c>
      <x:c r="I363" s="142" t="str">
        <x:v>Route-specific exclusions</x:v>
      </x:c>
      <x:c r="J363" s="142" t="str">
        <x:v>Exact details, if needed, are collected after account creation in packet completion.</x:v>
      </x:c>
      <x:c r="K363" s="142" t="str">
        <x:v>exclusion_screen</x:v>
      </x:c>
      <x:c r="L363" s="142" t="str">
        <x:v>state_exclusion_section</x:v>
      </x:c>
      <x:c r="M363" s="56" t="str">
        <x:v>https://github.com/Roger-LegalEase/legalease-partner-dashboard-clean/blob/2f0ef0403f16e57544ad0bc86b2d1b1cd08861b3/src/lib/rcap-engine/compiled/profiles/OR-oregon.json</x:v>
      </x:c>
    </x:row>
    <x:row r="364">
      <x:c r="A364" s="55" t="str">
        <x:v>Pennsylvania</x:v>
      </x:c>
      <x:c r="B364" s="142" t="str">
        <x:v>PA</x:v>
      </x:c>
      <x:c r="C364" s="142" t="n">
        <x:v>1</x:v>
      </x:c>
      <x:c r="D364" s="142" t="str">
        <x:v>Scope</x:v>
      </x:c>
      <x:c r="E364" s="142" t="str">
        <x:v>Are you asking about your own record?</x:v>
      </x:c>
      <x:c r="F364" s="142" t="str">
        <x:v>single_choice</x:v>
      </x:c>
      <x:c r="G364" s="142" t="str">
        <x:v>Ask in every free check</x:v>
      </x:c>
      <x:c r="H364" s="142" t="str">
        <x:v>No → stop or redirect; Yes → continue.</x:v>
      </x:c>
      <x:c r="I364" s="142" t="str">
        <x:v>All routes</x:v>
      </x:c>
      <x:c r="J364" s="142" t="str">
        <x:v>Exact details, if needed, are collected after account creation in packet completion.</x:v>
      </x:c>
      <x:c r="K364" s="142" t="str">
        <x:v>scope</x:v>
      </x:c>
      <x:c r="L364" s="142" t="str">
        <x:v>shared_scope_boundary</x:v>
      </x:c>
      <x:c r="M364" s="56" t="str">
        <x:v>https://github.com/Roger-LegalEase/legalease-partner-dashboard-clean/blob/2f0ef0403f16e57544ad0bc86b2d1b1cd08861b3/src/lib/rcap-engine/compiled/profiles/PA-pennsylvania.json</x:v>
      </x:c>
    </x:row>
    <x:row r="365">
      <x:c r="A365" s="55" t="str">
        <x:v>Pennsylvania</x:v>
      </x:c>
      <x:c r="B365" s="142" t="str">
        <x:v>PA</x:v>
      </x:c>
      <x:c r="C365" s="142" t="n">
        <x:v>2</x:v>
      </x:c>
      <x:c r="D365" s="142" t="str">
        <x:v>Scope</x:v>
      </x:c>
      <x:c r="E365" s="142" t="str">
        <x:v>Is this a state or local matter from Pennsylvania, rather than a federal matter?</x:v>
      </x:c>
      <x:c r="F365" s="142" t="str">
        <x:v>single_choice</x:v>
      </x:c>
      <x:c r="G365" s="142" t="str">
        <x:v>Ask in every free check</x:v>
      </x:c>
      <x:c r="H365" s="142" t="str">
        <x:v>Federal or wrong-state matter → outside this state flow; state/local matter → continue.</x:v>
      </x:c>
      <x:c r="I365" s="142" t="str">
        <x:v>All routes</x:v>
      </x:c>
      <x:c r="J365" s="142" t="str">
        <x:v>Exact details, if needed, are collected after account creation in packet completion.</x:v>
      </x:c>
      <x:c r="K365" s="142" t="str">
        <x:v>scope</x:v>
      </x:c>
      <x:c r="L365" s="142" t="str">
        <x:v>shared_scope_boundary</x:v>
      </x:c>
      <x:c r="M365" s="56" t="str">
        <x:v>https://github.com/Roger-LegalEase/legalease-partner-dashboard-clean/blob/2f0ef0403f16e57544ad0bc86b2d1b1cd08861b3/src/lib/rcap-engine/compiled/profiles/PA-pennsylvania.json</x:v>
      </x:c>
    </x:row>
    <x:row r="366">
      <x:c r="A366" s="55" t="str">
        <x:v>Pennsylvania</x:v>
      </x:c>
      <x:c r="B366" s="142" t="str">
        <x:v>PA</x:v>
      </x:c>
      <x:c r="C366" s="142" t="n">
        <x:v>3</x:v>
      </x:c>
      <x:c r="D366" s="142" t="str">
        <x:v>Route identification</x:v>
      </x:c>
      <x:c r="E366" s="142" t="str">
        <x:v>How did the Pennsylvania case or record end?</x:v>
      </x:c>
      <x:c r="F366" s="142" t="str">
        <x:v>single_choice</x:v>
      </x:c>
      <x:c r="G366" s="142" t="str">
        <x:v>Ask after scope, before route-specific questions</x:v>
      </x:c>
      <x:c r="H366" s="142" t="str">
        <x:v>Splits nonconviction, conviction, diversion/deferred, juvenile, automatic, pardon, correction, and other route families.</x:v>
      </x:c>
      <x:c r="I366" s="142" t="str">
        <x:v>All routes</x:v>
      </x:c>
      <x:c r="J366" s="142" t="str">
        <x:v>Exact details, if needed, are collected after account creation in packet completion.</x:v>
      </x:c>
      <x:c r="K366" s="142" t="str">
        <x:v>pathway_routing</x:v>
      </x:c>
      <x:c r="L366" s="142" t="str">
        <x:v>state_case_outcome_rules</x:v>
      </x:c>
      <x:c r="M366" s="56" t="str">
        <x:v>https://github.com/Roger-LegalEase/legalease-partner-dashboard-clean/blob/2f0ef0403f16e57544ad0bc86b2d1b1cd08861b3/src/lib/rcap-engine/compiled/profiles/PA-pennsylvania.json</x:v>
      </x:c>
    </x:row>
    <x:row r="367">
      <x:c r="A367" s="55" t="str">
        <x:v>Pennsylvania</x:v>
      </x:c>
      <x:c r="B367" s="142" t="str">
        <x:v>PA</x:v>
      </x:c>
      <x:c r="C367" s="142" t="n">
        <x:v>4</x:v>
      </x:c>
      <x:c r="D367" s="142" t="str">
        <x:v>Route identification</x:v>
      </x:c>
      <x:c r="E367" s="142" t="str">
        <x:v>What level or type was the charge?</x:v>
      </x:c>
      <x:c r="F367" s="142" t="str">
        <x:v>single_choice</x:v>
      </x:c>
      <x:c r="G367" s="142" t="str">
        <x:v>Ask after scope, before route-specific questions</x:v>
      </x:c>
      <x:c r="H367" s="142" t="str">
        <x:v>Narrows offense-level routes, waiting-period bands, and obvious exclusions.</x:v>
      </x:c>
      <x:c r="I367" s="142" t="str">
        <x:v>All routes</x:v>
      </x:c>
      <x:c r="J367" s="142" t="str">
        <x:v>Exact details, if needed, are collected after account creation in packet completion.</x:v>
      </x:c>
      <x:c r="K367" s="142" t="str">
        <x:v>pathway_routing</x:v>
      </x:c>
      <x:c r="L367" s="142" t="str">
        <x:v>state_pathway_and_exclusion_rules</x:v>
      </x:c>
      <x:c r="M367" s="56" t="str">
        <x:v>https://github.com/Roger-LegalEase/legalease-partner-dashboard-clean/blob/2f0ef0403f16e57544ad0bc86b2d1b1cd08861b3/src/lib/rcap-engine/compiled/profiles/PA-pennsylvania.json</x:v>
      </x:c>
    </x:row>
    <x:row r="368">
      <x:c r="A368" s="55" t="str">
        <x:v>Pennsylvania</x:v>
      </x:c>
      <x:c r="B368" s="142" t="str">
        <x:v>PA</x:v>
      </x:c>
      <x:c r="C368" s="142" t="n">
        <x:v>5</x:v>
      </x:c>
      <x:c r="D368" s="142" t="str">
        <x:v>Route identification</x:v>
      </x:c>
      <x:c r="E368" s="142" t="str">
        <x:v>Do any of these Pennsylvania descriptions sound close to your situation?</x:v>
      </x:c>
      <x:c r="F368" s="142" t="str">
        <x:v>single_choice</x:v>
      </x:c>
      <x:c r="G368" s="142" t="str">
        <x:v>Ask after scope, before route-specific questions</x:v>
      </x:c>
      <x:c r="H368" s="142" t="str">
        <x:v>Lets the participant select a likely remedy or “not sure”; selection prunes unrelated route-specific questions.</x:v>
      </x:c>
      <x:c r="I368" s="142" t="str">
        <x:v>All routes</x:v>
      </x:c>
      <x:c r="J368" s="142" t="str">
        <x:v>Exact details, if needed, are collected after account creation in packet completion.</x:v>
      </x:c>
      <x:c r="K368" s="142" t="str">
        <x:v>pathway_routing</x:v>
      </x:c>
      <x:c r="L368" s="142" t="str">
        <x:v>curated_state_pathway_catalog_from_reference</x:v>
      </x:c>
      <x:c r="M368" s="56" t="str">
        <x:v>https://github.com/Roger-LegalEase/legalease-partner-dashboard-clean/blob/2f0ef0403f16e57544ad0bc86b2d1b1cd08861b3/src/lib/rcap-engine/compiled/profiles/PA-pennsylvania.json</x:v>
      </x:c>
    </x:row>
    <x:row r="369">
      <x:c r="A369" s="55" t="str">
        <x:v>Pennsylvania</x:v>
      </x:c>
      <x:c r="B369" s="142" t="str">
        <x:v>PA</x:v>
      </x:c>
      <x:c r="C369" s="142" t="n">
        <x:v>6</x:v>
      </x:c>
      <x:c r="D369" s="142" t="str">
        <x:v>Timing / completion</x:v>
      </x:c>
      <x:c r="E369" s="142" t="str">
        <x:v>About how long ago did this case end or get resolved?</x:v>
      </x:c>
      <x:c r="F369" s="142" t="str">
        <x:v>single_choice</x:v>
      </x:c>
      <x:c r="G369" s="142" t="str">
        <x:v>Ask only when at least one viable route has a waiting period.</x:v>
      </x:c>
      <x:c r="H369" s="142" t="str">
        <x:v>Uses an approximate band for a preliminary result; exact dates are collected later.</x:v>
      </x:c>
      <x:c r="I369" s="142" t="str">
        <x:v>Timing-dependent routes</x:v>
      </x:c>
      <x:c r="J369" s="142" t="str">
        <x:v>Exact details, if needed, are collected after account creation in packet completion.</x:v>
      </x:c>
      <x:c r="K369" s="142" t="str">
        <x:v>timing_and_completion</x:v>
      </x:c>
      <x:c r="L369" s="142" t="str">
        <x:v>normalized_free_check</x:v>
      </x:c>
      <x:c r="M369" s="56" t="str">
        <x:v>https://github.com/Roger-LegalEase/legalease-partner-dashboard-clean/blob/2f0ef0403f16e57544ad0bc86b2d1b1cd08861b3/src/lib/rcap-engine/compiled/profiles/PA-pennsylvania.json</x:v>
      </x:c>
    </x:row>
    <x:row r="370">
      <x:c r="A370" s="55" t="str">
        <x:v>Rhode Island</x:v>
      </x:c>
      <x:c r="B370" s="142" t="str">
        <x:v>RI</x:v>
      </x:c>
      <x:c r="C370" s="142" t="n">
        <x:v>1</x:v>
      </x:c>
      <x:c r="D370" s="142" t="str">
        <x:v>Scope</x:v>
      </x:c>
      <x:c r="E370" s="142" t="str">
        <x:v>Are you asking about your own record?</x:v>
      </x:c>
      <x:c r="F370" s="142" t="str">
        <x:v>single_choice</x:v>
      </x:c>
      <x:c r="G370" s="142" t="str">
        <x:v>Ask in every free check</x:v>
      </x:c>
      <x:c r="H370" s="142" t="str">
        <x:v>No → stop or redirect; Yes → continue.</x:v>
      </x:c>
      <x:c r="I370" s="142" t="str">
        <x:v>All routes</x:v>
      </x:c>
      <x:c r="J370" s="142" t="str">
        <x:v>Exact details, if needed, are collected after account creation in packet completion.</x:v>
      </x:c>
      <x:c r="K370" s="142" t="str">
        <x:v>scope</x:v>
      </x:c>
      <x:c r="L370" s="142" t="str">
        <x:v>shared_scope_boundary</x:v>
      </x:c>
      <x:c r="M370" s="56" t="str">
        <x:v>https://github.com/Roger-LegalEase/legalease-partner-dashboard-clean/blob/2f0ef0403f16e57544ad0bc86b2d1b1cd08861b3/src/lib/rcap-engine/compiled/profiles/RI-rhode-island.json</x:v>
      </x:c>
    </x:row>
    <x:row r="371">
      <x:c r="A371" s="55" t="str">
        <x:v>Rhode Island</x:v>
      </x:c>
      <x:c r="B371" s="142" t="str">
        <x:v>RI</x:v>
      </x:c>
      <x:c r="C371" s="142" t="n">
        <x:v>2</x:v>
      </x:c>
      <x:c r="D371" s="142" t="str">
        <x:v>Scope</x:v>
      </x:c>
      <x:c r="E371" s="142" t="str">
        <x:v>Is this a state or local matter from Rhode Island, rather than a federal matter?</x:v>
      </x:c>
      <x:c r="F371" s="142" t="str">
        <x:v>single_choice</x:v>
      </x:c>
      <x:c r="G371" s="142" t="str">
        <x:v>Ask in every free check</x:v>
      </x:c>
      <x:c r="H371" s="142" t="str">
        <x:v>Federal or wrong-state matter → outside this state flow; state/local matter → continue.</x:v>
      </x:c>
      <x:c r="I371" s="142" t="str">
        <x:v>All routes</x:v>
      </x:c>
      <x:c r="J371" s="142" t="str">
        <x:v>Exact details, if needed, are collected after account creation in packet completion.</x:v>
      </x:c>
      <x:c r="K371" s="142" t="str">
        <x:v>scope</x:v>
      </x:c>
      <x:c r="L371" s="142" t="str">
        <x:v>shared_scope_boundary</x:v>
      </x:c>
      <x:c r="M371" s="56" t="str">
        <x:v>https://github.com/Roger-LegalEase/legalease-partner-dashboard-clean/blob/2f0ef0403f16e57544ad0bc86b2d1b1cd08861b3/src/lib/rcap-engine/compiled/profiles/RI-rhode-island.json</x:v>
      </x:c>
    </x:row>
    <x:row r="372">
      <x:c r="A372" s="55" t="str">
        <x:v>Rhode Island</x:v>
      </x:c>
      <x:c r="B372" s="142" t="str">
        <x:v>RI</x:v>
      </x:c>
      <x:c r="C372" s="142" t="n">
        <x:v>3</x:v>
      </x:c>
      <x:c r="D372" s="142" t="str">
        <x:v>Route identification</x:v>
      </x:c>
      <x:c r="E372" s="142" t="str">
        <x:v>How did the Rhode Island case or record end?</x:v>
      </x:c>
      <x:c r="F372" s="142" t="str">
        <x:v>single_choice</x:v>
      </x:c>
      <x:c r="G372" s="142" t="str">
        <x:v>Ask after scope, before route-specific questions</x:v>
      </x:c>
      <x:c r="H372" s="142" t="str">
        <x:v>Splits nonconviction, conviction, diversion/deferred, juvenile, automatic, pardon, correction, and other route families.</x:v>
      </x:c>
      <x:c r="I372" s="142" t="str">
        <x:v>All routes</x:v>
      </x:c>
      <x:c r="J372" s="142" t="str">
        <x:v>Exact details, if needed, are collected after account creation in packet completion.</x:v>
      </x:c>
      <x:c r="K372" s="142" t="str">
        <x:v>pathway_routing</x:v>
      </x:c>
      <x:c r="L372" s="142" t="str">
        <x:v>state_case_outcome_rules</x:v>
      </x:c>
      <x:c r="M372" s="56" t="str">
        <x:v>https://github.com/Roger-LegalEase/legalease-partner-dashboard-clean/blob/2f0ef0403f16e57544ad0bc86b2d1b1cd08861b3/src/lib/rcap-engine/compiled/profiles/RI-rhode-island.json</x:v>
      </x:c>
    </x:row>
    <x:row r="373">
      <x:c r="A373" s="55" t="str">
        <x:v>Rhode Island</x:v>
      </x:c>
      <x:c r="B373" s="142" t="str">
        <x:v>RI</x:v>
      </x:c>
      <x:c r="C373" s="142" t="n">
        <x:v>4</x:v>
      </x:c>
      <x:c r="D373" s="142" t="str">
        <x:v>Route identification</x:v>
      </x:c>
      <x:c r="E373" s="142" t="str">
        <x:v>What level or type was the charge?</x:v>
      </x:c>
      <x:c r="F373" s="142" t="str">
        <x:v>single_choice</x:v>
      </x:c>
      <x:c r="G373" s="142" t="str">
        <x:v>Ask after scope, before route-specific questions</x:v>
      </x:c>
      <x:c r="H373" s="142" t="str">
        <x:v>Narrows offense-level routes, waiting-period bands, and obvious exclusions.</x:v>
      </x:c>
      <x:c r="I373" s="142" t="str">
        <x:v>All routes</x:v>
      </x:c>
      <x:c r="J373" s="142" t="str">
        <x:v>Exact details, if needed, are collected after account creation in packet completion.</x:v>
      </x:c>
      <x:c r="K373" s="142" t="str">
        <x:v>pathway_routing</x:v>
      </x:c>
      <x:c r="L373" s="142" t="str">
        <x:v>state_pathway_and_exclusion_rules</x:v>
      </x:c>
      <x:c r="M373" s="56" t="str">
        <x:v>https://github.com/Roger-LegalEase/legalease-partner-dashboard-clean/blob/2f0ef0403f16e57544ad0bc86b2d1b1cd08861b3/src/lib/rcap-engine/compiled/profiles/RI-rhode-island.json</x:v>
      </x:c>
    </x:row>
    <x:row r="374">
      <x:c r="A374" s="55" t="str">
        <x:v>Rhode Island</x:v>
      </x:c>
      <x:c r="B374" s="142" t="str">
        <x:v>RI</x:v>
      </x:c>
      <x:c r="C374" s="142" t="n">
        <x:v>5</x:v>
      </x:c>
      <x:c r="D374" s="142" t="str">
        <x:v>Route identification</x:v>
      </x:c>
      <x:c r="E374" s="142" t="str">
        <x:v>Do any of these Rhode Island descriptions sound close to your situation?</x:v>
      </x:c>
      <x:c r="F374" s="142" t="str">
        <x:v>single_choice</x:v>
      </x:c>
      <x:c r="G374" s="142" t="str">
        <x:v>Ask after scope, before route-specific questions</x:v>
      </x:c>
      <x:c r="H374" s="142" t="str">
        <x:v>Lets the participant select a likely remedy or “not sure”; selection prunes unrelated route-specific questions.</x:v>
      </x:c>
      <x:c r="I374" s="142" t="str">
        <x:v>All routes</x:v>
      </x:c>
      <x:c r="J374" s="142" t="str">
        <x:v>Exact details, if needed, are collected after account creation in packet completion.</x:v>
      </x:c>
      <x:c r="K374" s="142" t="str">
        <x:v>pathway_routing</x:v>
      </x:c>
      <x:c r="L374" s="142" t="str">
        <x:v>curated_state_pathway_catalog_from_reference</x:v>
      </x:c>
      <x:c r="M374" s="56" t="str">
        <x:v>https://github.com/Roger-LegalEase/legalease-partner-dashboard-clean/blob/2f0ef0403f16e57544ad0bc86b2d1b1cd08861b3/src/lib/rcap-engine/compiled/profiles/RI-rhode-island.json</x:v>
      </x:c>
    </x:row>
    <x:row r="375">
      <x:c r="A375" s="55" t="str">
        <x:v>Rhode Island</x:v>
      </x:c>
      <x:c r="B375" s="142" t="str">
        <x:v>RI</x:v>
      </x:c>
      <x:c r="C375" s="142" t="n">
        <x:v>6</x:v>
      </x:c>
      <x:c r="D375" s="142" t="str">
        <x:v>Timing / completion</x:v>
      </x:c>
      <x:c r="E375" s="142" t="str">
        <x:v>About how long ago did this case end or get resolved?</x:v>
      </x:c>
      <x:c r="F375" s="142" t="str">
        <x:v>single_choice</x:v>
      </x:c>
      <x:c r="G375" s="142" t="str">
        <x:v>Ask only when at least one viable route has a waiting period.</x:v>
      </x:c>
      <x:c r="H375" s="142" t="str">
        <x:v>Uses an approximate band for a preliminary result; exact dates are collected later.</x:v>
      </x:c>
      <x:c r="I375" s="142" t="str">
        <x:v>Timing-dependent routes</x:v>
      </x:c>
      <x:c r="J375" s="142" t="str">
        <x:v>Exact details, if needed, are collected after account creation in packet completion.</x:v>
      </x:c>
      <x:c r="K375" s="142" t="str">
        <x:v>timing_and_completion</x:v>
      </x:c>
      <x:c r="L375" s="142" t="str">
        <x:v>normalized_free_check</x:v>
      </x:c>
      <x:c r="M375" s="56" t="str">
        <x:v>https://github.com/Roger-LegalEase/legalease-partner-dashboard-clean/blob/2f0ef0403f16e57544ad0bc86b2d1b1cd08861b3/src/lib/rcap-engine/compiled/profiles/RI-rhode-island.json</x:v>
      </x:c>
    </x:row>
    <x:row r="376">
      <x:c r="A376" s="55" t="str">
        <x:v>South Carolina</x:v>
      </x:c>
      <x:c r="B376" s="142" t="str">
        <x:v>SC</x:v>
      </x:c>
      <x:c r="C376" s="142" t="n">
        <x:v>1</x:v>
      </x:c>
      <x:c r="D376" s="142" t="str">
        <x:v>Scope</x:v>
      </x:c>
      <x:c r="E376" s="142" t="str">
        <x:v>Are you asking about your own record?</x:v>
      </x:c>
      <x:c r="F376" s="142" t="str">
        <x:v>single_choice</x:v>
      </x:c>
      <x:c r="G376" s="142" t="str">
        <x:v>Ask in every free check</x:v>
      </x:c>
      <x:c r="H376" s="142" t="str">
        <x:v>No → stop or redirect; Yes → continue.</x:v>
      </x:c>
      <x:c r="I376" s="142" t="str">
        <x:v>All routes</x:v>
      </x:c>
      <x:c r="J376" s="142" t="str">
        <x:v>Exact details, if needed, are collected after account creation in packet completion.</x:v>
      </x:c>
      <x:c r="K376" s="142" t="str">
        <x:v>scope</x:v>
      </x:c>
      <x:c r="L376" s="142" t="str">
        <x:v>shared_scope_boundary</x:v>
      </x:c>
      <x:c r="M376" s="56" t="str">
        <x:v>https://github.com/Roger-LegalEase/legalease-partner-dashboard-clean/blob/2f0ef0403f16e57544ad0bc86b2d1b1cd08861b3/src/lib/rcap-engine/compiled/profiles/SC-south-carolina.json</x:v>
      </x:c>
    </x:row>
    <x:row r="377">
      <x:c r="A377" s="55" t="str">
        <x:v>South Carolina</x:v>
      </x:c>
      <x:c r="B377" s="142" t="str">
        <x:v>SC</x:v>
      </x:c>
      <x:c r="C377" s="142" t="n">
        <x:v>2</x:v>
      </x:c>
      <x:c r="D377" s="142" t="str">
        <x:v>Scope</x:v>
      </x:c>
      <x:c r="E377" s="142" t="str">
        <x:v>Is this a state or local matter from South Carolina, rather than a federal matter?</x:v>
      </x:c>
      <x:c r="F377" s="142" t="str">
        <x:v>single_choice</x:v>
      </x:c>
      <x:c r="G377" s="142" t="str">
        <x:v>Ask in every free check</x:v>
      </x:c>
      <x:c r="H377" s="142" t="str">
        <x:v>Federal or wrong-state matter → outside this state flow; state/local matter → continue.</x:v>
      </x:c>
      <x:c r="I377" s="142" t="str">
        <x:v>All routes</x:v>
      </x:c>
      <x:c r="J377" s="142" t="str">
        <x:v>Exact details, if needed, are collected after account creation in packet completion.</x:v>
      </x:c>
      <x:c r="K377" s="142" t="str">
        <x:v>scope</x:v>
      </x:c>
      <x:c r="L377" s="142" t="str">
        <x:v>shared_scope_boundary</x:v>
      </x:c>
      <x:c r="M377" s="56" t="str">
        <x:v>https://github.com/Roger-LegalEase/legalease-partner-dashboard-clean/blob/2f0ef0403f16e57544ad0bc86b2d1b1cd08861b3/src/lib/rcap-engine/compiled/profiles/SC-south-carolina.json</x:v>
      </x:c>
    </x:row>
    <x:row r="378">
      <x:c r="A378" s="55" t="str">
        <x:v>South Carolina</x:v>
      </x:c>
      <x:c r="B378" s="142" t="str">
        <x:v>SC</x:v>
      </x:c>
      <x:c r="C378" s="142" t="n">
        <x:v>3</x:v>
      </x:c>
      <x:c r="D378" s="142" t="str">
        <x:v>Route identification</x:v>
      </x:c>
      <x:c r="E378" s="142" t="str">
        <x:v>How did the South Carolina case or record end?</x:v>
      </x:c>
      <x:c r="F378" s="142" t="str">
        <x:v>single_choice</x:v>
      </x:c>
      <x:c r="G378" s="142" t="str">
        <x:v>Ask after scope, before route-specific questions</x:v>
      </x:c>
      <x:c r="H378" s="142" t="str">
        <x:v>Splits nonconviction, conviction, diversion/deferred, juvenile, automatic, pardon, correction, and other route families.</x:v>
      </x:c>
      <x:c r="I378" s="142" t="str">
        <x:v>All routes</x:v>
      </x:c>
      <x:c r="J378" s="142" t="str">
        <x:v>Exact details, if needed, are collected after account creation in packet completion.</x:v>
      </x:c>
      <x:c r="K378" s="142" t="str">
        <x:v>pathway_routing</x:v>
      </x:c>
      <x:c r="L378" s="142" t="str">
        <x:v>state_case_outcome_rules</x:v>
      </x:c>
      <x:c r="M378" s="56" t="str">
        <x:v>https://github.com/Roger-LegalEase/legalease-partner-dashboard-clean/blob/2f0ef0403f16e57544ad0bc86b2d1b1cd08861b3/src/lib/rcap-engine/compiled/profiles/SC-south-carolina.json</x:v>
      </x:c>
    </x:row>
    <x:row r="379">
      <x:c r="A379" s="55" t="str">
        <x:v>South Carolina</x:v>
      </x:c>
      <x:c r="B379" s="142" t="str">
        <x:v>SC</x:v>
      </x:c>
      <x:c r="C379" s="142" t="n">
        <x:v>4</x:v>
      </x:c>
      <x:c r="D379" s="142" t="str">
        <x:v>Route identification</x:v>
      </x:c>
      <x:c r="E379" s="142" t="str">
        <x:v>What level or type was the charge?</x:v>
      </x:c>
      <x:c r="F379" s="142" t="str">
        <x:v>single_choice</x:v>
      </x:c>
      <x:c r="G379" s="142" t="str">
        <x:v>Ask after scope, before route-specific questions</x:v>
      </x:c>
      <x:c r="H379" s="142" t="str">
        <x:v>Narrows offense-level routes, waiting-period bands, and obvious exclusions.</x:v>
      </x:c>
      <x:c r="I379" s="142" t="str">
        <x:v>All routes</x:v>
      </x:c>
      <x:c r="J379" s="142" t="str">
        <x:v>Exact details, if needed, are collected after account creation in packet completion.</x:v>
      </x:c>
      <x:c r="K379" s="142" t="str">
        <x:v>pathway_routing</x:v>
      </x:c>
      <x:c r="L379" s="142" t="str">
        <x:v>state_pathway_and_exclusion_rules</x:v>
      </x:c>
      <x:c r="M379" s="56" t="str">
        <x:v>https://github.com/Roger-LegalEase/legalease-partner-dashboard-clean/blob/2f0ef0403f16e57544ad0bc86b2d1b1cd08861b3/src/lib/rcap-engine/compiled/profiles/SC-south-carolina.json</x:v>
      </x:c>
    </x:row>
    <x:row r="380">
      <x:c r="A380" s="55" t="str">
        <x:v>South Carolina</x:v>
      </x:c>
      <x:c r="B380" s="142" t="str">
        <x:v>SC</x:v>
      </x:c>
      <x:c r="C380" s="142" t="n">
        <x:v>5</x:v>
      </x:c>
      <x:c r="D380" s="142" t="str">
        <x:v>Route identification</x:v>
      </x:c>
      <x:c r="E380" s="142" t="str">
        <x:v>Do any of these South Carolina descriptions sound close to your situation?</x:v>
      </x:c>
      <x:c r="F380" s="142" t="str">
        <x:v>single_choice</x:v>
      </x:c>
      <x:c r="G380" s="142" t="str">
        <x:v>Ask after scope, before route-specific questions</x:v>
      </x:c>
      <x:c r="H380" s="142" t="str">
        <x:v>Lets the participant select a likely remedy or “not sure”; selection prunes unrelated route-specific questions.</x:v>
      </x:c>
      <x:c r="I380" s="142" t="str">
        <x:v>All routes</x:v>
      </x:c>
      <x:c r="J380" s="142" t="str">
        <x:v>Exact details, if needed, are collected after account creation in packet completion.</x:v>
      </x:c>
      <x:c r="K380" s="142" t="str">
        <x:v>pathway_routing</x:v>
      </x:c>
      <x:c r="L380" s="142" t="str">
        <x:v>curated_state_pathway_catalog_from_reference</x:v>
      </x:c>
      <x:c r="M380" s="56" t="str">
        <x:v>https://github.com/Roger-LegalEase/legalease-partner-dashboard-clean/blob/2f0ef0403f16e57544ad0bc86b2d1b1cd08861b3/src/lib/rcap-engine/compiled/profiles/SC-south-carolina.json</x:v>
      </x:c>
    </x:row>
    <x:row r="381">
      <x:c r="A381" s="55" t="str">
        <x:v>South Carolina</x:v>
      </x:c>
      <x:c r="B381" s="142" t="str">
        <x:v>SC</x:v>
      </x:c>
      <x:c r="C381" s="142" t="n">
        <x:v>6</x:v>
      </x:c>
      <x:c r="D381" s="142" t="str">
        <x:v>Route identification</x:v>
      </x:c>
      <x:c r="E381" s="142" t="str">
        <x:v>How old were you when the offense or case began?</x:v>
      </x:c>
      <x:c r="F381" s="142" t="str">
        <x:v>number_or_range</x:v>
      </x:c>
      <x:c r="G381" s="142" t="str">
        <x:v>Ask only when adult-versus-juvenile or youthful-offender treatment may change the route.</x:v>
      </x:c>
      <x:c r="H381" s="142" t="str">
        <x:v>Routes to juvenile/youthful-offender logic or keeps the adult route.</x:v>
      </x:c>
      <x:c r="I381" s="142" t="str">
        <x:v>Age-sensitive routes</x:v>
      </x:c>
      <x:c r="J381" s="142" t="str">
        <x:v>Exact details, if needed, are collected after account creation in packet completion.</x:v>
      </x:c>
      <x:c r="K381" s="142" t="str">
        <x:v>pathway_routing</x:v>
      </x:c>
      <x:c r="L381" s="142" t="str">
        <x:v>derived_from_state_rule_fields</x:v>
      </x:c>
      <x:c r="M381" s="56" t="str">
        <x:v>https://github.com/Roger-LegalEase/legalease-partner-dashboard-clean/blob/2f0ef0403f16e57544ad0bc86b2d1b1cd08861b3/src/lib/rcap-engine/compiled/profiles/SC-south-carolina.json</x:v>
      </x:c>
    </x:row>
    <x:row r="382">
      <x:c r="A382" s="55" t="str">
        <x:v>South Carolina</x:v>
      </x:c>
      <x:c r="B382" s="142" t="str">
        <x:v>SC</x:v>
      </x:c>
      <x:c r="C382" s="142" t="n">
        <x:v>7</x:v>
      </x:c>
      <x:c r="D382" s="142" t="str">
        <x:v>State-specific eligibility</x:v>
      </x:c>
      <x:c r="E382" s="142" t="str">
        <x:v>Have you previously received record-clearing relief in South Carolina or elsewhere?</x:v>
      </x:c>
      <x:c r="F382" s="142" t="str">
        <x:v>yes_no_unsure</x:v>
      </x:c>
      <x:c r="G382" s="142" t="str">
        <x:v>Ask only when prior use of relief affects the candidate route.</x:v>
      </x:c>
      <x:c r="H382" s="142" t="str">
        <x:v>Prior relief may limit the route, change the packet, or require review.</x:v>
      </x:c>
      <x:c r="I382" s="142" t="str">
        <x:v>Prior-relief-limited routes</x:v>
      </x:c>
      <x:c r="J382" s="142" t="str">
        <x:v>Exact details, if needed, are collected after account creation in packet completion.</x:v>
      </x:c>
      <x:c r="K382" s="142" t="str">
        <x:v>state_specific_eligibility</x:v>
      </x:c>
      <x:c r="L382" s="142" t="str">
        <x:v>derived_from_state_rule_fields</x:v>
      </x:c>
      <x:c r="M382" s="56" t="str">
        <x:v>https://github.com/Roger-LegalEase/legalease-partner-dashboard-clean/blob/2f0ef0403f16e57544ad0bc86b2d1b1cd08861b3/src/lib/rcap-engine/compiled/profiles/SC-south-carolina.json</x:v>
      </x:c>
    </x:row>
    <x:row r="383">
      <x:c r="A383" s="55" t="str">
        <x:v>South Carolina</x:v>
      </x:c>
      <x:c r="B383" s="142" t="str">
        <x:v>SC</x:v>
      </x:c>
      <x:c r="C383" s="142" t="n">
        <x:v>8</x:v>
      </x:c>
      <x:c r="D383" s="142" t="str">
        <x:v>Special pathway</x:v>
      </x:c>
      <x:c r="E383" s="142" t="str">
        <x:v>Was this offense connected to your status as a human-trafficking or sex-trafficking survivor?</x:v>
      </x:c>
      <x:c r="F383" s="142" t="str">
        <x:v>yes_no_prefer_not_to_say</x:v>
      </x:c>
      <x:c r="G383" s="142" t="str">
        <x:v>Ask only while trafficking-survivor relief remains viable; allow “prefer not to say.”</x:v>
      </x:c>
      <x:c r="H383" s="142" t="str">
        <x:v>May open vacatur/expungement or review treatment.</x:v>
      </x:c>
      <x:c r="I383" s="142" t="str">
        <x:v>Trafficking-survivor routes</x:v>
      </x:c>
      <x:c r="J383" s="142" t="str">
        <x:v>Exact details, if needed, are collected after account creation in packet completion.</x:v>
      </x:c>
      <x:c r="K383" s="142" t="str">
        <x:v>special_pathways</x:v>
      </x:c>
      <x:c r="L383" s="142" t="str">
        <x:v>derived_from_state_rule_fields</x:v>
      </x:c>
      <x:c r="M383" s="56" t="str">
        <x:v>https://github.com/Roger-LegalEase/legalease-partner-dashboard-clean/blob/2f0ef0403f16e57544ad0bc86b2d1b1cd08861b3/src/lib/rcap-engine/compiled/profiles/SC-south-carolina.json</x:v>
      </x:c>
    </x:row>
    <x:row r="384">
      <x:c r="A384" s="55" t="str">
        <x:v>South Carolina</x:v>
      </x:c>
      <x:c r="B384" s="142" t="str">
        <x:v>SC</x:v>
      </x:c>
      <x:c r="C384" s="142" t="n">
        <x:v>9</x:v>
      </x:c>
      <x:c r="D384" s="142" t="str">
        <x:v>Special pathway</x:v>
      </x:c>
      <x:c r="E384" s="142" t="str">
        <x:v>Have you received a pardon, certificate of rehabilitation, or similar executive relief for this conviction?</x:v>
      </x:c>
      <x:c r="F384" s="142" t="str">
        <x:v>yes_no_unsure</x:v>
      </x:c>
      <x:c r="G384" s="142" t="str">
        <x:v>Ask only while a pardon or executive-relief route remains viable.</x:v>
      </x:c>
      <x:c r="H384" s="142" t="str">
        <x:v>Yes may open a pardon-based route; No preserves ordinary routes; Not sure defers proof.</x:v>
      </x:c>
      <x:c r="I384" s="142" t="str">
        <x:v>Pardon / executive-relief routes</x:v>
      </x:c>
      <x:c r="J384" s="142" t="str">
        <x:v>Exact details, if needed, are collected after account creation in packet completion.</x:v>
      </x:c>
      <x:c r="K384" s="142" t="str">
        <x:v>special_pathways</x:v>
      </x:c>
      <x:c r="L384" s="142" t="str">
        <x:v>derived_from_state_rule_fields</x:v>
      </x:c>
      <x:c r="M384" s="56" t="str">
        <x:v>https://github.com/Roger-LegalEase/legalease-partner-dashboard-clean/blob/2f0ef0403f16e57544ad0bc86b2d1b1cd08861b3/src/lib/rcap-engine/compiled/profiles/SC-south-carolina.json</x:v>
      </x:c>
    </x:row>
    <x:row r="385">
      <x:c r="A385" s="55" t="str">
        <x:v>South Carolina</x:v>
      </x:c>
      <x:c r="B385" s="142" t="str">
        <x:v>SC</x:v>
      </x:c>
      <x:c r="C385" s="142" t="n">
        <x:v>10</x:v>
      </x:c>
      <x:c r="D385" s="142" t="str">
        <x:v>Timing / completion</x:v>
      </x:c>
      <x:c r="E385" s="142" t="str">
        <x:v>Do you currently have any pending criminal charge, open case, probation, parole, or other supervision?</x:v>
      </x:c>
      <x:c r="F385" s="142" t="str">
        <x:v>yes_no_unsure</x:v>
      </x:c>
      <x:c r="G385" s="142" t="str">
        <x:v>Ask only when pending cases or active supervision can block the candidate route.</x:v>
      </x:c>
      <x:c r="H385" s="142" t="str">
        <x:v>Pending/open matter may produce not-yet, review, or a different route.</x:v>
      </x:c>
      <x:c r="I385" s="142" t="str">
        <x:v>Pending-case-sensitive routes</x:v>
      </x:c>
      <x:c r="J385" s="142" t="str">
        <x:v>Exact details, if needed, are collected after account creation in packet completion.</x:v>
      </x:c>
      <x:c r="K385" s="142" t="str">
        <x:v>timing_and_completion</x:v>
      </x:c>
      <x:c r="L385" s="142" t="str">
        <x:v>derived_from_state_rule_fields</x:v>
      </x:c>
      <x:c r="M385" s="56" t="str">
        <x:v>https://github.com/Roger-LegalEase/legalease-partner-dashboard-clean/blob/2f0ef0403f16e57544ad0bc86b2d1b1cd08861b3/src/lib/rcap-engine/compiled/profiles/SC-south-carolina.json</x:v>
      </x:c>
    </x:row>
    <x:row r="386">
      <x:c r="A386" s="55" t="str">
        <x:v>South Carolina</x:v>
      </x:c>
      <x:c r="B386" s="142" t="str">
        <x:v>SC</x:v>
      </x:c>
      <x:c r="C386" s="142" t="n">
        <x:v>11</x:v>
      </x:c>
      <x:c r="D386" s="142" t="str">
        <x:v>Timing / completion</x:v>
      </x:c>
      <x:c r="E386" s="142" t="str">
        <x:v>Have you completed everything the court ordered in this case?</x:v>
      </x:c>
      <x:c r="F386" s="142" t="str">
        <x:v>single_choice</x:v>
      </x:c>
      <x:c r="G386" s="142" t="str">
        <x:v>Ask only when a viable route depends on sentence, supervision, program, restitution, or financial completion.</x:v>
      </x:c>
      <x:c r="H386" s="142" t="str">
        <x:v>No → usually not yet or needs more information; Yes → continue; Not sure → defer exact proof.</x:v>
      </x:c>
      <x:c r="I386" s="142" t="str">
        <x:v>Completion-dependent routes</x:v>
      </x:c>
      <x:c r="J386" s="142" t="str">
        <x:v>Exact details, if needed, are collected after account creation in packet completion.</x:v>
      </x:c>
      <x:c r="K386" s="142" t="str">
        <x:v>timing_and_completion</x:v>
      </x:c>
      <x:c r="L386" s="142" t="str">
        <x:v>normalized_free_check</x:v>
      </x:c>
      <x:c r="M386" s="56" t="str">
        <x:v>https://github.com/Roger-LegalEase/legalease-partner-dashboard-clean/blob/2f0ef0403f16e57544ad0bc86b2d1b1cd08861b3/src/lib/rcap-engine/compiled/profiles/SC-south-carolina.json</x:v>
      </x:c>
    </x:row>
    <x:row r="387">
      <x:c r="A387" s="55" t="str">
        <x:v>South Carolina</x:v>
      </x:c>
      <x:c r="B387" s="142" t="str">
        <x:v>SC</x:v>
      </x:c>
      <x:c r="C387" s="142" t="n">
        <x:v>12</x:v>
      </x:c>
      <x:c r="D387" s="142" t="str">
        <x:v>Timing / completion</x:v>
      </x:c>
      <x:c r="E387" s="142" t="str">
        <x:v>About how long ago did this case end or get resolved?</x:v>
      </x:c>
      <x:c r="F387" s="142" t="str">
        <x:v>single_choice</x:v>
      </x:c>
      <x:c r="G387" s="142" t="str">
        <x:v>Ask only when at least one viable route has a waiting period.</x:v>
      </x:c>
      <x:c r="H387" s="142" t="str">
        <x:v>Uses an approximate band for a preliminary result; exact dates are collected later.</x:v>
      </x:c>
      <x:c r="I387" s="142" t="str">
        <x:v>Timing-dependent routes</x:v>
      </x:c>
      <x:c r="J387" s="142" t="str">
        <x:v>Exact details, if needed, are collected after account creation in packet completion.</x:v>
      </x:c>
      <x:c r="K387" s="142" t="str">
        <x:v>timing_and_completion</x:v>
      </x:c>
      <x:c r="L387" s="142" t="str">
        <x:v>normalized_free_check</x:v>
      </x:c>
      <x:c r="M387" s="56" t="str">
        <x:v>https://github.com/Roger-LegalEase/legalease-partner-dashboard-clean/blob/2f0ef0403f16e57544ad0bc86b2d1b1cd08861b3/src/lib/rcap-engine/compiled/profiles/SC-south-carolina.json</x:v>
      </x:c>
    </x:row>
    <x:row r="388">
      <x:c r="A388" s="55" t="str">
        <x:v>South Dakota</x:v>
      </x:c>
      <x:c r="B388" s="142" t="str">
        <x:v>SD</x:v>
      </x:c>
      <x:c r="C388" s="142" t="n">
        <x:v>1</x:v>
      </x:c>
      <x:c r="D388" s="142" t="str">
        <x:v>Scope</x:v>
      </x:c>
      <x:c r="E388" s="142" t="str">
        <x:v>Are you asking about your own record?</x:v>
      </x:c>
      <x:c r="F388" s="142" t="str">
        <x:v>single_choice</x:v>
      </x:c>
      <x:c r="G388" s="142" t="str">
        <x:v>Ask in every free check</x:v>
      </x:c>
      <x:c r="H388" s="142" t="str">
        <x:v>No → stop or redirect; Yes → continue.</x:v>
      </x:c>
      <x:c r="I388" s="142" t="str">
        <x:v>All routes</x:v>
      </x:c>
      <x:c r="J388" s="142" t="str">
        <x:v>Exact details, if needed, are collected after account creation in packet completion.</x:v>
      </x:c>
      <x:c r="K388" s="142" t="str">
        <x:v>scope</x:v>
      </x:c>
      <x:c r="L388" s="142" t="str">
        <x:v>shared_scope_boundary</x:v>
      </x:c>
      <x:c r="M388" s="56" t="str">
        <x:v>https://github.com/Roger-LegalEase/legalease-partner-dashboard-clean/blob/2f0ef0403f16e57544ad0bc86b2d1b1cd08861b3/src/lib/rcap-engine/compiled/profiles/SD-south-dakota.json</x:v>
      </x:c>
    </x:row>
    <x:row r="389">
      <x:c r="A389" s="55" t="str">
        <x:v>South Dakota</x:v>
      </x:c>
      <x:c r="B389" s="142" t="str">
        <x:v>SD</x:v>
      </x:c>
      <x:c r="C389" s="142" t="n">
        <x:v>2</x:v>
      </x:c>
      <x:c r="D389" s="142" t="str">
        <x:v>Scope</x:v>
      </x:c>
      <x:c r="E389" s="142" t="str">
        <x:v>Is this a state or local matter from South Dakota, rather than a federal matter?</x:v>
      </x:c>
      <x:c r="F389" s="142" t="str">
        <x:v>single_choice</x:v>
      </x:c>
      <x:c r="G389" s="142" t="str">
        <x:v>Ask in every free check</x:v>
      </x:c>
      <x:c r="H389" s="142" t="str">
        <x:v>Federal or wrong-state matter → outside this state flow; state/local matter → continue.</x:v>
      </x:c>
      <x:c r="I389" s="142" t="str">
        <x:v>All routes</x:v>
      </x:c>
      <x:c r="J389" s="142" t="str">
        <x:v>Exact details, if needed, are collected after account creation in packet completion.</x:v>
      </x:c>
      <x:c r="K389" s="142" t="str">
        <x:v>scope</x:v>
      </x:c>
      <x:c r="L389" s="142" t="str">
        <x:v>shared_scope_boundary</x:v>
      </x:c>
      <x:c r="M389" s="56" t="str">
        <x:v>https://github.com/Roger-LegalEase/legalease-partner-dashboard-clean/blob/2f0ef0403f16e57544ad0bc86b2d1b1cd08861b3/src/lib/rcap-engine/compiled/profiles/SD-south-dakota.json</x:v>
      </x:c>
    </x:row>
    <x:row r="390">
      <x:c r="A390" s="55" t="str">
        <x:v>South Dakota</x:v>
      </x:c>
      <x:c r="B390" s="142" t="str">
        <x:v>SD</x:v>
      </x:c>
      <x:c r="C390" s="142" t="n">
        <x:v>3</x:v>
      </x:c>
      <x:c r="D390" s="142" t="str">
        <x:v>Route identification</x:v>
      </x:c>
      <x:c r="E390" s="142" t="str">
        <x:v>How did the South Dakota case or record end?</x:v>
      </x:c>
      <x:c r="F390" s="142" t="str">
        <x:v>single_choice</x:v>
      </x:c>
      <x:c r="G390" s="142" t="str">
        <x:v>Ask after scope, before route-specific questions</x:v>
      </x:c>
      <x:c r="H390" s="142" t="str">
        <x:v>Splits nonconviction, conviction, diversion/deferred, juvenile, automatic, pardon, correction, and other route families.</x:v>
      </x:c>
      <x:c r="I390" s="142" t="str">
        <x:v>All routes</x:v>
      </x:c>
      <x:c r="J390" s="142" t="str">
        <x:v>Exact details, if needed, are collected after account creation in packet completion.</x:v>
      </x:c>
      <x:c r="K390" s="142" t="str">
        <x:v>pathway_routing</x:v>
      </x:c>
      <x:c r="L390" s="142" t="str">
        <x:v>state_case_outcome_rules</x:v>
      </x:c>
      <x:c r="M390" s="56" t="str">
        <x:v>https://github.com/Roger-LegalEase/legalease-partner-dashboard-clean/blob/2f0ef0403f16e57544ad0bc86b2d1b1cd08861b3/src/lib/rcap-engine/compiled/profiles/SD-south-dakota.json</x:v>
      </x:c>
    </x:row>
    <x:row r="391">
      <x:c r="A391" s="55" t="str">
        <x:v>South Dakota</x:v>
      </x:c>
      <x:c r="B391" s="142" t="str">
        <x:v>SD</x:v>
      </x:c>
      <x:c r="C391" s="142" t="n">
        <x:v>4</x:v>
      </x:c>
      <x:c r="D391" s="142" t="str">
        <x:v>Route identification</x:v>
      </x:c>
      <x:c r="E391" s="142" t="str">
        <x:v>What level or type was the charge?</x:v>
      </x:c>
      <x:c r="F391" s="142" t="str">
        <x:v>single_choice</x:v>
      </x:c>
      <x:c r="G391" s="142" t="str">
        <x:v>Ask after scope, before route-specific questions</x:v>
      </x:c>
      <x:c r="H391" s="142" t="str">
        <x:v>Narrows offense-level routes, waiting-period bands, and obvious exclusions.</x:v>
      </x:c>
      <x:c r="I391" s="142" t="str">
        <x:v>All routes</x:v>
      </x:c>
      <x:c r="J391" s="142" t="str">
        <x:v>Exact details, if needed, are collected after account creation in packet completion.</x:v>
      </x:c>
      <x:c r="K391" s="142" t="str">
        <x:v>pathway_routing</x:v>
      </x:c>
      <x:c r="L391" s="142" t="str">
        <x:v>state_pathway_and_exclusion_rules</x:v>
      </x:c>
      <x:c r="M391" s="56" t="str">
        <x:v>https://github.com/Roger-LegalEase/legalease-partner-dashboard-clean/blob/2f0ef0403f16e57544ad0bc86b2d1b1cd08861b3/src/lib/rcap-engine/compiled/profiles/SD-south-dakota.json</x:v>
      </x:c>
    </x:row>
    <x:row r="392">
      <x:c r="A392" s="55" t="str">
        <x:v>South Dakota</x:v>
      </x:c>
      <x:c r="B392" s="142" t="str">
        <x:v>SD</x:v>
      </x:c>
      <x:c r="C392" s="142" t="n">
        <x:v>5</x:v>
      </x:c>
      <x:c r="D392" s="142" t="str">
        <x:v>Route identification</x:v>
      </x:c>
      <x:c r="E392" s="142" t="str">
        <x:v>Do any of these South Dakota descriptions sound close to your situation?</x:v>
      </x:c>
      <x:c r="F392" s="142" t="str">
        <x:v>single_choice</x:v>
      </x:c>
      <x:c r="G392" s="142" t="str">
        <x:v>Ask after scope, before route-specific questions</x:v>
      </x:c>
      <x:c r="H392" s="142" t="str">
        <x:v>Lets the participant select a likely remedy or “not sure”; selection prunes unrelated route-specific questions.</x:v>
      </x:c>
      <x:c r="I392" s="142" t="str">
        <x:v>All routes</x:v>
      </x:c>
      <x:c r="J392" s="142" t="str">
        <x:v>Exact details, if needed, are collected after account creation in packet completion.</x:v>
      </x:c>
      <x:c r="K392" s="142" t="str">
        <x:v>pathway_routing</x:v>
      </x:c>
      <x:c r="L392" s="142" t="str">
        <x:v>curated_state_pathway_catalog_from_reference</x:v>
      </x:c>
      <x:c r="M392" s="56" t="str">
        <x:v>https://github.com/Roger-LegalEase/legalease-partner-dashboard-clean/blob/2f0ef0403f16e57544ad0bc86b2d1b1cd08861b3/src/lib/rcap-engine/compiled/profiles/SD-south-dakota.json</x:v>
      </x:c>
    </x:row>
    <x:row r="393">
      <x:c r="A393" s="55" t="str">
        <x:v>South Dakota</x:v>
      </x:c>
      <x:c r="B393" s="142" t="str">
        <x:v>SD</x:v>
      </x:c>
      <x:c r="C393" s="142" t="n">
        <x:v>6</x:v>
      </x:c>
      <x:c r="D393" s="142" t="str">
        <x:v>Route identification</x:v>
      </x:c>
      <x:c r="E393" s="142" t="str">
        <x:v>How old were you when the offense or case began?</x:v>
      </x:c>
      <x:c r="F393" s="142" t="str">
        <x:v>number_or_range</x:v>
      </x:c>
      <x:c r="G393" s="142" t="str">
        <x:v>Ask only when adult-versus-juvenile or youthful-offender treatment may change the route.</x:v>
      </x:c>
      <x:c r="H393" s="142" t="str">
        <x:v>Routes to juvenile/youthful-offender logic or keeps the adult route.</x:v>
      </x:c>
      <x:c r="I393" s="142" t="str">
        <x:v>Age-sensitive routes</x:v>
      </x:c>
      <x:c r="J393" s="142" t="str">
        <x:v>Exact details, if needed, are collected after account creation in packet completion.</x:v>
      </x:c>
      <x:c r="K393" s="142" t="str">
        <x:v>pathway_routing</x:v>
      </x:c>
      <x:c r="L393" s="142" t="str">
        <x:v>derived_from_state_rule_fields</x:v>
      </x:c>
      <x:c r="M393" s="56" t="str">
        <x:v>https://github.com/Roger-LegalEase/legalease-partner-dashboard-clean/blob/2f0ef0403f16e57544ad0bc86b2d1b1cd08861b3/src/lib/rcap-engine/compiled/profiles/SD-south-dakota.json</x:v>
      </x:c>
    </x:row>
    <x:row r="394">
      <x:c r="A394" s="55" t="str">
        <x:v>South Dakota</x:v>
      </x:c>
      <x:c r="B394" s="142" t="str">
        <x:v>SD</x:v>
      </x:c>
      <x:c r="C394" s="142" t="n">
        <x:v>7</x:v>
      </x:c>
      <x:c r="D394" s="142" t="str">
        <x:v>Special pathway</x:v>
      </x:c>
      <x:c r="E394" s="142" t="str">
        <x:v>Was this offense connected to your status as a human-trafficking or sex-trafficking survivor?</x:v>
      </x:c>
      <x:c r="F394" s="142" t="str">
        <x:v>yes_no_prefer_not_to_say</x:v>
      </x:c>
      <x:c r="G394" s="142" t="str">
        <x:v>Ask only while trafficking-survivor relief remains viable; allow “prefer not to say.”</x:v>
      </x:c>
      <x:c r="H394" s="142" t="str">
        <x:v>May open vacatur/expungement or review treatment.</x:v>
      </x:c>
      <x:c r="I394" s="142" t="str">
        <x:v>Trafficking-survivor routes</x:v>
      </x:c>
      <x:c r="J394" s="142" t="str">
        <x:v>Exact details, if needed, are collected after account creation in packet completion.</x:v>
      </x:c>
      <x:c r="K394" s="142" t="str">
        <x:v>special_pathways</x:v>
      </x:c>
      <x:c r="L394" s="142" t="str">
        <x:v>derived_from_state_rule_fields</x:v>
      </x:c>
      <x:c r="M394" s="56" t="str">
        <x:v>https://github.com/Roger-LegalEase/legalease-partner-dashboard-clean/blob/2f0ef0403f16e57544ad0bc86b2d1b1cd08861b3/src/lib/rcap-engine/compiled/profiles/SD-south-dakota.json</x:v>
      </x:c>
    </x:row>
    <x:row r="395">
      <x:c r="A395" s="55" t="str">
        <x:v>South Dakota</x:v>
      </x:c>
      <x:c r="B395" s="142" t="str">
        <x:v>SD</x:v>
      </x:c>
      <x:c r="C395" s="142" t="n">
        <x:v>8</x:v>
      </x:c>
      <x:c r="D395" s="142" t="str">
        <x:v>Special pathway</x:v>
      </x:c>
      <x:c r="E395" s="142" t="str">
        <x:v>Have you received a pardon, certificate of rehabilitation, or similar executive relief for this conviction?</x:v>
      </x:c>
      <x:c r="F395" s="142" t="str">
        <x:v>yes_no_unsure</x:v>
      </x:c>
      <x:c r="G395" s="142" t="str">
        <x:v>Ask only while a pardon or executive-relief route remains viable.</x:v>
      </x:c>
      <x:c r="H395" s="142" t="str">
        <x:v>Yes may open a pardon-based route; No preserves ordinary routes; Not sure defers proof.</x:v>
      </x:c>
      <x:c r="I395" s="142" t="str">
        <x:v>Pardon / executive-relief routes</x:v>
      </x:c>
      <x:c r="J395" s="142" t="str">
        <x:v>Exact details, if needed, are collected after account creation in packet completion.</x:v>
      </x:c>
      <x:c r="K395" s="142" t="str">
        <x:v>special_pathways</x:v>
      </x:c>
      <x:c r="L395" s="142" t="str">
        <x:v>derived_from_state_rule_fields</x:v>
      </x:c>
      <x:c r="M395" s="56" t="str">
        <x:v>https://github.com/Roger-LegalEase/legalease-partner-dashboard-clean/blob/2f0ef0403f16e57544ad0bc86b2d1b1cd08861b3/src/lib/rcap-engine/compiled/profiles/SD-south-dakota.json</x:v>
      </x:c>
    </x:row>
    <x:row r="396">
      <x:c r="A396" s="55" t="str">
        <x:v>South Dakota</x:v>
      </x:c>
      <x:c r="B396" s="142" t="str">
        <x:v>SD</x:v>
      </x:c>
      <x:c r="C396" s="142" t="n">
        <x:v>9</x:v>
      </x:c>
      <x:c r="D396" s="142" t="str">
        <x:v>Timing / completion</x:v>
      </x:c>
      <x:c r="E396" s="142" t="str">
        <x:v>Have you completed everything the court ordered in this case?</x:v>
      </x:c>
      <x:c r="F396" s="142" t="str">
        <x:v>single_choice</x:v>
      </x:c>
      <x:c r="G396" s="142" t="str">
        <x:v>Ask only when a viable route depends on sentence, supervision, program, restitution, or financial completion.</x:v>
      </x:c>
      <x:c r="H396" s="142" t="str">
        <x:v>No → usually not yet or needs more information; Yes → continue; Not sure → defer exact proof.</x:v>
      </x:c>
      <x:c r="I396" s="142" t="str">
        <x:v>Completion-dependent routes</x:v>
      </x:c>
      <x:c r="J396" s="142" t="str">
        <x:v>Exact details, if needed, are collected after account creation in packet completion.</x:v>
      </x:c>
      <x:c r="K396" s="142" t="str">
        <x:v>timing_and_completion</x:v>
      </x:c>
      <x:c r="L396" s="142" t="str">
        <x:v>normalized_free_check</x:v>
      </x:c>
      <x:c r="M396" s="56" t="str">
        <x:v>https://github.com/Roger-LegalEase/legalease-partner-dashboard-clean/blob/2f0ef0403f16e57544ad0bc86b2d1b1cd08861b3/src/lib/rcap-engine/compiled/profiles/SD-south-dakota.json</x:v>
      </x:c>
    </x:row>
    <x:row r="397">
      <x:c r="A397" s="55" t="str">
        <x:v>South Dakota</x:v>
      </x:c>
      <x:c r="B397" s="142" t="str">
        <x:v>SD</x:v>
      </x:c>
      <x:c r="C397" s="142" t="n">
        <x:v>10</x:v>
      </x:c>
      <x:c r="D397" s="142" t="str">
        <x:v>Timing / completion</x:v>
      </x:c>
      <x:c r="E397" s="142" t="str">
        <x:v>About how long ago did this case end or get resolved?</x:v>
      </x:c>
      <x:c r="F397" s="142" t="str">
        <x:v>single_choice</x:v>
      </x:c>
      <x:c r="G397" s="142" t="str">
        <x:v>Ask only when at least one viable route has a waiting period.</x:v>
      </x:c>
      <x:c r="H397" s="142" t="str">
        <x:v>Uses an approximate band for a preliminary result; exact dates are collected later.</x:v>
      </x:c>
      <x:c r="I397" s="142" t="str">
        <x:v>Timing-dependent routes</x:v>
      </x:c>
      <x:c r="J397" s="142" t="str">
        <x:v>Exact details, if needed, are collected after account creation in packet completion.</x:v>
      </x:c>
      <x:c r="K397" s="142" t="str">
        <x:v>timing_and_completion</x:v>
      </x:c>
      <x:c r="L397" s="142" t="str">
        <x:v>normalized_free_check</x:v>
      </x:c>
      <x:c r="M397" s="56" t="str">
        <x:v>https://github.com/Roger-LegalEase/legalease-partner-dashboard-clean/blob/2f0ef0403f16e57544ad0bc86b2d1b1cd08861b3/src/lib/rcap-engine/compiled/profiles/SD-south-dakota.json</x:v>
      </x:c>
    </x:row>
    <x:row r="398">
      <x:c r="A398" s="55" t="str">
        <x:v>Tennessee</x:v>
      </x:c>
      <x:c r="B398" s="142" t="str">
        <x:v>TN</x:v>
      </x:c>
      <x:c r="C398" s="142" t="n">
        <x:v>1</x:v>
      </x:c>
      <x:c r="D398" s="142" t="str">
        <x:v>Scope</x:v>
      </x:c>
      <x:c r="E398" s="142" t="str">
        <x:v>Are you asking about your own record?</x:v>
      </x:c>
      <x:c r="F398" s="142" t="str">
        <x:v>single_choice</x:v>
      </x:c>
      <x:c r="G398" s="142" t="str">
        <x:v>Ask in every free check</x:v>
      </x:c>
      <x:c r="H398" s="142" t="str">
        <x:v>No → stop or redirect; Yes → continue.</x:v>
      </x:c>
      <x:c r="I398" s="142" t="str">
        <x:v>All routes</x:v>
      </x:c>
      <x:c r="J398" s="142" t="str">
        <x:v>Exact details, if needed, are collected after account creation in packet completion.</x:v>
      </x:c>
      <x:c r="K398" s="142" t="str">
        <x:v>scope</x:v>
      </x:c>
      <x:c r="L398" s="142" t="str">
        <x:v>shared_scope_boundary</x:v>
      </x:c>
      <x:c r="M398" s="56" t="str">
        <x:v>https://github.com/Roger-LegalEase/legalease-partner-dashboard-clean/blob/2f0ef0403f16e57544ad0bc86b2d1b1cd08861b3/src/lib/rcap-engine/compiled/profiles/TN-tennessee.json</x:v>
      </x:c>
    </x:row>
    <x:row r="399">
      <x:c r="A399" s="55" t="str">
        <x:v>Tennessee</x:v>
      </x:c>
      <x:c r="B399" s="142" t="str">
        <x:v>TN</x:v>
      </x:c>
      <x:c r="C399" s="142" t="n">
        <x:v>2</x:v>
      </x:c>
      <x:c r="D399" s="142" t="str">
        <x:v>Scope</x:v>
      </x:c>
      <x:c r="E399" s="142" t="str">
        <x:v>Is this a state or local matter from Tennessee, rather than a federal matter?</x:v>
      </x:c>
      <x:c r="F399" s="142" t="str">
        <x:v>single_choice</x:v>
      </x:c>
      <x:c r="G399" s="142" t="str">
        <x:v>Ask in every free check</x:v>
      </x:c>
      <x:c r="H399" s="142" t="str">
        <x:v>Federal or wrong-state matter → outside this state flow; state/local matter → continue.</x:v>
      </x:c>
      <x:c r="I399" s="142" t="str">
        <x:v>All routes</x:v>
      </x:c>
      <x:c r="J399" s="142" t="str">
        <x:v>Exact details, if needed, are collected after account creation in packet completion.</x:v>
      </x:c>
      <x:c r="K399" s="142" t="str">
        <x:v>scope</x:v>
      </x:c>
      <x:c r="L399" s="142" t="str">
        <x:v>shared_scope_boundary</x:v>
      </x:c>
      <x:c r="M399" s="56" t="str">
        <x:v>https://github.com/Roger-LegalEase/legalease-partner-dashboard-clean/blob/2f0ef0403f16e57544ad0bc86b2d1b1cd08861b3/src/lib/rcap-engine/compiled/profiles/TN-tennessee.json</x:v>
      </x:c>
    </x:row>
    <x:row r="400">
      <x:c r="A400" s="55" t="str">
        <x:v>Tennessee</x:v>
      </x:c>
      <x:c r="B400" s="142" t="str">
        <x:v>TN</x:v>
      </x:c>
      <x:c r="C400" s="142" t="n">
        <x:v>3</x:v>
      </x:c>
      <x:c r="D400" s="142" t="str">
        <x:v>Route identification</x:v>
      </x:c>
      <x:c r="E400" s="142" t="str">
        <x:v>How did the Tennessee case or record end?</x:v>
      </x:c>
      <x:c r="F400" s="142" t="str">
        <x:v>single_choice</x:v>
      </x:c>
      <x:c r="G400" s="142" t="str">
        <x:v>Ask after scope, before route-specific questions</x:v>
      </x:c>
      <x:c r="H400" s="142" t="str">
        <x:v>Splits nonconviction, conviction, diversion/deferred, juvenile, automatic, pardon, correction, and other route families.</x:v>
      </x:c>
      <x:c r="I400" s="142" t="str">
        <x:v>All routes</x:v>
      </x:c>
      <x:c r="J400" s="142" t="str">
        <x:v>Exact details, if needed, are collected after account creation in packet completion.</x:v>
      </x:c>
      <x:c r="K400" s="142" t="str">
        <x:v>pathway_routing</x:v>
      </x:c>
      <x:c r="L400" s="142" t="str">
        <x:v>state_case_outcome_rules</x:v>
      </x:c>
      <x:c r="M400" s="56" t="str">
        <x:v>https://github.com/Roger-LegalEase/legalease-partner-dashboard-clean/blob/2f0ef0403f16e57544ad0bc86b2d1b1cd08861b3/src/lib/rcap-engine/compiled/profiles/TN-tennessee.json</x:v>
      </x:c>
    </x:row>
    <x:row r="401">
      <x:c r="A401" s="55" t="str">
        <x:v>Tennessee</x:v>
      </x:c>
      <x:c r="B401" s="142" t="str">
        <x:v>TN</x:v>
      </x:c>
      <x:c r="C401" s="142" t="n">
        <x:v>4</x:v>
      </x:c>
      <x:c r="D401" s="142" t="str">
        <x:v>Route identification</x:v>
      </x:c>
      <x:c r="E401" s="142" t="str">
        <x:v>What level or type was the charge?</x:v>
      </x:c>
      <x:c r="F401" s="142" t="str">
        <x:v>single_choice</x:v>
      </x:c>
      <x:c r="G401" s="142" t="str">
        <x:v>Ask after scope, before route-specific questions</x:v>
      </x:c>
      <x:c r="H401" s="142" t="str">
        <x:v>Narrows offense-level routes, waiting-period bands, and obvious exclusions.</x:v>
      </x:c>
      <x:c r="I401" s="142" t="str">
        <x:v>All routes</x:v>
      </x:c>
      <x:c r="J401" s="142" t="str">
        <x:v>Exact details, if needed, are collected after account creation in packet completion.</x:v>
      </x:c>
      <x:c r="K401" s="142" t="str">
        <x:v>pathway_routing</x:v>
      </x:c>
      <x:c r="L401" s="142" t="str">
        <x:v>state_pathway_and_exclusion_rules</x:v>
      </x:c>
      <x:c r="M401" s="56" t="str">
        <x:v>https://github.com/Roger-LegalEase/legalease-partner-dashboard-clean/blob/2f0ef0403f16e57544ad0bc86b2d1b1cd08861b3/src/lib/rcap-engine/compiled/profiles/TN-tennessee.json</x:v>
      </x:c>
    </x:row>
    <x:row r="402">
      <x:c r="A402" s="55" t="str">
        <x:v>Tennessee</x:v>
      </x:c>
      <x:c r="B402" s="142" t="str">
        <x:v>TN</x:v>
      </x:c>
      <x:c r="C402" s="142" t="n">
        <x:v>5</x:v>
      </x:c>
      <x:c r="D402" s="142" t="str">
        <x:v>Route identification</x:v>
      </x:c>
      <x:c r="E402" s="142" t="str">
        <x:v>Do any of these Tennessee descriptions sound close to your situation?</x:v>
      </x:c>
      <x:c r="F402" s="142" t="str">
        <x:v>single_choice</x:v>
      </x:c>
      <x:c r="G402" s="142" t="str">
        <x:v>Ask after scope, before route-specific questions</x:v>
      </x:c>
      <x:c r="H402" s="142" t="str">
        <x:v>Lets the participant select a likely remedy or “not sure”; selection prunes unrelated route-specific questions.</x:v>
      </x:c>
      <x:c r="I402" s="142" t="str">
        <x:v>All routes</x:v>
      </x:c>
      <x:c r="J402" s="142" t="str">
        <x:v>Exact details, if needed, are collected after account creation in packet completion.</x:v>
      </x:c>
      <x:c r="K402" s="142" t="str">
        <x:v>pathway_routing</x:v>
      </x:c>
      <x:c r="L402" s="142" t="str">
        <x:v>curated_state_pathway_catalog_from_reference</x:v>
      </x:c>
      <x:c r="M402" s="56" t="str">
        <x:v>https://github.com/Roger-LegalEase/legalease-partner-dashboard-clean/blob/2f0ef0403f16e57544ad0bc86b2d1b1cd08861b3/src/lib/rcap-engine/compiled/profiles/TN-tennessee.json</x:v>
      </x:c>
    </x:row>
    <x:row r="403">
      <x:c r="A403" s="55" t="str">
        <x:v>Tennessee</x:v>
      </x:c>
      <x:c r="B403" s="142" t="str">
        <x:v>TN</x:v>
      </x:c>
      <x:c r="C403" s="142" t="n">
        <x:v>6</x:v>
      </x:c>
      <x:c r="D403" s="142" t="str">
        <x:v>State-specific eligibility</x:v>
      </x:c>
      <x:c r="E403" s="142" t="str">
        <x:v>Have you previously received record-clearing relief in Tennessee or elsewhere?</x:v>
      </x:c>
      <x:c r="F403" s="142" t="str">
        <x:v>yes_no_unsure</x:v>
      </x:c>
      <x:c r="G403" s="142" t="str">
        <x:v>Ask only when prior use of relief affects the candidate route.</x:v>
      </x:c>
      <x:c r="H403" s="142" t="str">
        <x:v>Prior relief may limit the route, change the packet, or require review.</x:v>
      </x:c>
      <x:c r="I403" s="142" t="str">
        <x:v>Prior-relief-limited routes</x:v>
      </x:c>
      <x:c r="J403" s="142" t="str">
        <x:v>Exact details, if needed, are collected after account creation in packet completion.</x:v>
      </x:c>
      <x:c r="K403" s="142" t="str">
        <x:v>state_specific_eligibility</x:v>
      </x:c>
      <x:c r="L403" s="142" t="str">
        <x:v>derived_from_state_rule_fields</x:v>
      </x:c>
      <x:c r="M403" s="56" t="str">
        <x:v>https://github.com/Roger-LegalEase/legalease-partner-dashboard-clean/blob/2f0ef0403f16e57544ad0bc86b2d1b1cd08861b3/src/lib/rcap-engine/compiled/profiles/TN-tennessee.json</x:v>
      </x:c>
    </x:row>
    <x:row r="404">
      <x:c r="A404" s="55" t="str">
        <x:v>Tennessee</x:v>
      </x:c>
      <x:c r="B404" s="142" t="str">
        <x:v>TN</x:v>
      </x:c>
      <x:c r="C404" s="142" t="n">
        <x:v>7</x:v>
      </x:c>
      <x:c r="D404" s="142" t="str">
        <x:v>Timing / completion</x:v>
      </x:c>
      <x:c r="E404" s="142" t="str">
        <x:v>Have you completed everything the court ordered in this case?</x:v>
      </x:c>
      <x:c r="F404" s="142" t="str">
        <x:v>single_choice</x:v>
      </x:c>
      <x:c r="G404" s="142" t="str">
        <x:v>Ask only when a viable route depends on sentence, supervision, program, restitution, or financial completion.</x:v>
      </x:c>
      <x:c r="H404" s="142" t="str">
        <x:v>No → usually not yet or needs more information; Yes → continue; Not sure → defer exact proof.</x:v>
      </x:c>
      <x:c r="I404" s="142" t="str">
        <x:v>Completion-dependent routes</x:v>
      </x:c>
      <x:c r="J404" s="142" t="str">
        <x:v>Exact details, if needed, are collected after account creation in packet completion.</x:v>
      </x:c>
      <x:c r="K404" s="142" t="str">
        <x:v>timing_and_completion</x:v>
      </x:c>
      <x:c r="L404" s="142" t="str">
        <x:v>normalized_free_check</x:v>
      </x:c>
      <x:c r="M404" s="56" t="str">
        <x:v>https://github.com/Roger-LegalEase/legalease-partner-dashboard-clean/blob/2f0ef0403f16e57544ad0bc86b2d1b1cd08861b3/src/lib/rcap-engine/compiled/profiles/TN-tennessee.json</x:v>
      </x:c>
    </x:row>
    <x:row r="405">
      <x:c r="A405" s="55" t="str">
        <x:v>Tennessee</x:v>
      </x:c>
      <x:c r="B405" s="142" t="str">
        <x:v>TN</x:v>
      </x:c>
      <x:c r="C405" s="142" t="n">
        <x:v>8</x:v>
      </x:c>
      <x:c r="D405" s="142" t="str">
        <x:v>Timing / completion</x:v>
      </x:c>
      <x:c r="E405" s="142" t="str">
        <x:v>About how long ago did this case end or get resolved?</x:v>
      </x:c>
      <x:c r="F405" s="142" t="str">
        <x:v>single_choice</x:v>
      </x:c>
      <x:c r="G405" s="142" t="str">
        <x:v>Ask only when at least one viable route has a waiting period.</x:v>
      </x:c>
      <x:c r="H405" s="142" t="str">
        <x:v>Uses an approximate band for a preliminary result; exact dates are collected later.</x:v>
      </x:c>
      <x:c r="I405" s="142" t="str">
        <x:v>Timing-dependent routes</x:v>
      </x:c>
      <x:c r="J405" s="142" t="str">
        <x:v>Exact details, if needed, are collected after account creation in packet completion.</x:v>
      </x:c>
      <x:c r="K405" s="142" t="str">
        <x:v>timing_and_completion</x:v>
      </x:c>
      <x:c r="L405" s="142" t="str">
        <x:v>normalized_free_check</x:v>
      </x:c>
      <x:c r="M405" s="56" t="str">
        <x:v>https://github.com/Roger-LegalEase/legalease-partner-dashboard-clean/blob/2f0ef0403f16e57544ad0bc86b2d1b1cd08861b3/src/lib/rcap-engine/compiled/profiles/TN-tennessee.json</x:v>
      </x:c>
    </x:row>
    <x:row r="406">
      <x:c r="A406" s="55" t="str">
        <x:v>Tennessee</x:v>
      </x:c>
      <x:c r="B406" s="142" t="str">
        <x:v>TN</x:v>
      </x:c>
      <x:c r="C406" s="142" t="n">
        <x:v>9</x:v>
      </x:c>
      <x:c r="D406" s="142" t="str">
        <x:v>Exclusions / review</x:v>
      </x:c>
      <x:c r="E406" s="142" t="str">
        <x:v>Does the record involve any Tennessee category that the source identifies as excluded or review-required?</x:v>
      </x:c>
      <x:c r="F406" s="142" t="str">
        <x:v>multi_select</x:v>
      </x:c>
      <x:c r="G406" s="142" t="str">
        <x:v>Ask after the route is narrowed; show only categories relevant to the remaining route.</x:v>
      </x:c>
      <x:c r="H406" s="142" t="str">
        <x:v>Matching category → hard stop or review; none → continue.</x:v>
      </x:c>
      <x:c r="I406" s="142" t="str">
        <x:v>Route-specific exclusions</x:v>
      </x:c>
      <x:c r="J406" s="142" t="str">
        <x:v>Exact details, if needed, are collected after account creation in packet completion.</x:v>
      </x:c>
      <x:c r="K406" s="142" t="str">
        <x:v>exclusion_screen</x:v>
      </x:c>
      <x:c r="L406" s="142" t="str">
        <x:v>state_exclusion_section</x:v>
      </x:c>
      <x:c r="M406" s="56" t="str">
        <x:v>https://github.com/Roger-LegalEase/legalease-partner-dashboard-clean/blob/2f0ef0403f16e57544ad0bc86b2d1b1cd08861b3/src/lib/rcap-engine/compiled/profiles/TN-tennessee.json</x:v>
      </x:c>
    </x:row>
    <x:row r="407">
      <x:c r="A407" s="55" t="str">
        <x:v>Texas</x:v>
      </x:c>
      <x:c r="B407" s="142" t="str">
        <x:v>TX</x:v>
      </x:c>
      <x:c r="C407" s="142" t="n">
        <x:v>1</x:v>
      </x:c>
      <x:c r="D407" s="142" t="str">
        <x:v>Scope</x:v>
      </x:c>
      <x:c r="E407" s="142" t="str">
        <x:v>Are you asking about your own record?</x:v>
      </x:c>
      <x:c r="F407" s="142" t="str">
        <x:v>single_choice</x:v>
      </x:c>
      <x:c r="G407" s="142" t="str">
        <x:v>Ask in every free check</x:v>
      </x:c>
      <x:c r="H407" s="142" t="str">
        <x:v>No → stop or redirect; Yes → continue.</x:v>
      </x:c>
      <x:c r="I407" s="142" t="str">
        <x:v>All routes</x:v>
      </x:c>
      <x:c r="J407" s="142" t="str">
        <x:v>Exact details, if needed, are collected after account creation in packet completion.</x:v>
      </x:c>
      <x:c r="K407" s="142" t="str">
        <x:v>scope</x:v>
      </x:c>
      <x:c r="L407" s="142" t="str">
        <x:v>shared_scope_boundary</x:v>
      </x:c>
      <x:c r="M407" s="56" t="str">
        <x:v>https://github.com/Roger-LegalEase/legalease-partner-dashboard-clean/blob/2f0ef0403f16e57544ad0bc86b2d1b1cd08861b3/src/lib/rcap-engine/compiled/profiles/TX-texas.json</x:v>
      </x:c>
    </x:row>
    <x:row r="408">
      <x:c r="A408" s="55" t="str">
        <x:v>Texas</x:v>
      </x:c>
      <x:c r="B408" s="142" t="str">
        <x:v>TX</x:v>
      </x:c>
      <x:c r="C408" s="142" t="n">
        <x:v>2</x:v>
      </x:c>
      <x:c r="D408" s="142" t="str">
        <x:v>Scope</x:v>
      </x:c>
      <x:c r="E408" s="142" t="str">
        <x:v>Is this a state or local matter from Texas, rather than a federal matter?</x:v>
      </x:c>
      <x:c r="F408" s="142" t="str">
        <x:v>single_choice</x:v>
      </x:c>
      <x:c r="G408" s="142" t="str">
        <x:v>Ask in every free check</x:v>
      </x:c>
      <x:c r="H408" s="142" t="str">
        <x:v>Federal or wrong-state matter → outside this state flow; state/local matter → continue.</x:v>
      </x:c>
      <x:c r="I408" s="142" t="str">
        <x:v>All routes</x:v>
      </x:c>
      <x:c r="J408" s="142" t="str">
        <x:v>Exact details, if needed, are collected after account creation in packet completion.</x:v>
      </x:c>
      <x:c r="K408" s="142" t="str">
        <x:v>scope</x:v>
      </x:c>
      <x:c r="L408" s="142" t="str">
        <x:v>shared_scope_boundary</x:v>
      </x:c>
      <x:c r="M408" s="56" t="str">
        <x:v>https://github.com/Roger-LegalEase/legalease-partner-dashboard-clean/blob/2f0ef0403f16e57544ad0bc86b2d1b1cd08861b3/src/lib/rcap-engine/compiled/profiles/TX-texas.json</x:v>
      </x:c>
    </x:row>
    <x:row r="409">
      <x:c r="A409" s="55" t="str">
        <x:v>Texas</x:v>
      </x:c>
      <x:c r="B409" s="142" t="str">
        <x:v>TX</x:v>
      </x:c>
      <x:c r="C409" s="142" t="n">
        <x:v>3</x:v>
      </x:c>
      <x:c r="D409" s="142" t="str">
        <x:v>Route identification</x:v>
      </x:c>
      <x:c r="E409" s="142" t="str">
        <x:v>How did the Texas case or record end?</x:v>
      </x:c>
      <x:c r="F409" s="142" t="str">
        <x:v>single_choice</x:v>
      </x:c>
      <x:c r="G409" s="142" t="str">
        <x:v>Ask after scope, before route-specific questions</x:v>
      </x:c>
      <x:c r="H409" s="142" t="str">
        <x:v>Splits nonconviction, conviction, diversion/deferred, juvenile, automatic, pardon, correction, and other route families.</x:v>
      </x:c>
      <x:c r="I409" s="142" t="str">
        <x:v>All routes</x:v>
      </x:c>
      <x:c r="J409" s="142" t="str">
        <x:v>Exact details, if needed, are collected after account creation in packet completion.</x:v>
      </x:c>
      <x:c r="K409" s="142" t="str">
        <x:v>pathway_routing</x:v>
      </x:c>
      <x:c r="L409" s="142" t="str">
        <x:v>state_case_outcome_rules</x:v>
      </x:c>
      <x:c r="M409" s="56" t="str">
        <x:v>https://github.com/Roger-LegalEase/legalease-partner-dashboard-clean/blob/2f0ef0403f16e57544ad0bc86b2d1b1cd08861b3/src/lib/rcap-engine/compiled/profiles/TX-texas.json</x:v>
      </x:c>
    </x:row>
    <x:row r="410">
      <x:c r="A410" s="55" t="str">
        <x:v>Texas</x:v>
      </x:c>
      <x:c r="B410" s="142" t="str">
        <x:v>TX</x:v>
      </x:c>
      <x:c r="C410" s="142" t="n">
        <x:v>4</x:v>
      </x:c>
      <x:c r="D410" s="142" t="str">
        <x:v>Route identification</x:v>
      </x:c>
      <x:c r="E410" s="142" t="str">
        <x:v>What level or type was the charge?</x:v>
      </x:c>
      <x:c r="F410" s="142" t="str">
        <x:v>single_choice</x:v>
      </x:c>
      <x:c r="G410" s="142" t="str">
        <x:v>Ask after scope, before route-specific questions</x:v>
      </x:c>
      <x:c r="H410" s="142" t="str">
        <x:v>Narrows offense-level routes, waiting-period bands, and obvious exclusions.</x:v>
      </x:c>
      <x:c r="I410" s="142" t="str">
        <x:v>All routes</x:v>
      </x:c>
      <x:c r="J410" s="142" t="str">
        <x:v>Exact details, if needed, are collected after account creation in packet completion.</x:v>
      </x:c>
      <x:c r="K410" s="142" t="str">
        <x:v>pathway_routing</x:v>
      </x:c>
      <x:c r="L410" s="142" t="str">
        <x:v>state_pathway_and_exclusion_rules</x:v>
      </x:c>
      <x:c r="M410" s="56" t="str">
        <x:v>https://github.com/Roger-LegalEase/legalease-partner-dashboard-clean/blob/2f0ef0403f16e57544ad0bc86b2d1b1cd08861b3/src/lib/rcap-engine/compiled/profiles/TX-texas.json</x:v>
      </x:c>
    </x:row>
    <x:row r="411">
      <x:c r="A411" s="55" t="str">
        <x:v>Texas</x:v>
      </x:c>
      <x:c r="B411" s="142" t="str">
        <x:v>TX</x:v>
      </x:c>
      <x:c r="C411" s="142" t="n">
        <x:v>5</x:v>
      </x:c>
      <x:c r="D411" s="142" t="str">
        <x:v>Route identification</x:v>
      </x:c>
      <x:c r="E411" s="142" t="str">
        <x:v>Do any of these Texas descriptions sound close to your situation?</x:v>
      </x:c>
      <x:c r="F411" s="142" t="str">
        <x:v>single_choice</x:v>
      </x:c>
      <x:c r="G411" s="142" t="str">
        <x:v>Ask after scope, before route-specific questions</x:v>
      </x:c>
      <x:c r="H411" s="142" t="str">
        <x:v>Lets the participant select a likely remedy or “not sure”; selection prunes unrelated route-specific questions.</x:v>
      </x:c>
      <x:c r="I411" s="142" t="str">
        <x:v>All routes</x:v>
      </x:c>
      <x:c r="J411" s="142" t="str">
        <x:v>Exact details, if needed, are collected after account creation in packet completion.</x:v>
      </x:c>
      <x:c r="K411" s="142" t="str">
        <x:v>pathway_routing</x:v>
      </x:c>
      <x:c r="L411" s="142" t="str">
        <x:v>curated_state_pathway_catalog_from_reference</x:v>
      </x:c>
      <x:c r="M411" s="56" t="str">
        <x:v>https://github.com/Roger-LegalEase/legalease-partner-dashboard-clean/blob/2f0ef0403f16e57544ad0bc86b2d1b1cd08861b3/src/lib/rcap-engine/compiled/profiles/TX-texas.json</x:v>
      </x:c>
    </x:row>
    <x:row r="412">
      <x:c r="A412" s="55" t="str">
        <x:v>Texas</x:v>
      </x:c>
      <x:c r="B412" s="142" t="str">
        <x:v>TX</x:v>
      </x:c>
      <x:c r="C412" s="142" t="n">
        <x:v>6</x:v>
      </x:c>
      <x:c r="D412" s="142" t="str">
        <x:v>Special pathway</x:v>
      </x:c>
      <x:c r="E412" s="142" t="str">
        <x:v>Have you received a pardon, certificate of rehabilitation, or similar executive relief for this conviction?</x:v>
      </x:c>
      <x:c r="F412" s="142" t="str">
        <x:v>yes_no_unsure</x:v>
      </x:c>
      <x:c r="G412" s="142" t="str">
        <x:v>Ask only while a pardon or executive-relief route remains viable.</x:v>
      </x:c>
      <x:c r="H412" s="142" t="str">
        <x:v>Yes may open a pardon-based route; No preserves ordinary routes; Not sure defers proof.</x:v>
      </x:c>
      <x:c r="I412" s="142" t="str">
        <x:v>Pardon / executive-relief routes</x:v>
      </x:c>
      <x:c r="J412" s="142" t="str">
        <x:v>Exact details, if needed, are collected after account creation in packet completion.</x:v>
      </x:c>
      <x:c r="K412" s="142" t="str">
        <x:v>special_pathways</x:v>
      </x:c>
      <x:c r="L412" s="142" t="str">
        <x:v>derived_from_state_rule_fields</x:v>
      </x:c>
      <x:c r="M412" s="56" t="str">
        <x:v>https://github.com/Roger-LegalEase/legalease-partner-dashboard-clean/blob/2f0ef0403f16e57544ad0bc86b2d1b1cd08861b3/src/lib/rcap-engine/compiled/profiles/TX-texas.json</x:v>
      </x:c>
    </x:row>
    <x:row r="413">
      <x:c r="A413" s="55" t="str">
        <x:v>Texas</x:v>
      </x:c>
      <x:c r="B413" s="142" t="str">
        <x:v>TX</x:v>
      </x:c>
      <x:c r="C413" s="142" t="n">
        <x:v>7</x:v>
      </x:c>
      <x:c r="D413" s="142" t="str">
        <x:v>Special pathway</x:v>
      </x:c>
      <x:c r="E413" s="142" t="str">
        <x:v>Was the arrest or record caused by mistaken identity, identity theft, or law-enforcement error?</x:v>
      </x:c>
      <x:c r="F413" s="142" t="str">
        <x:v>yes_no_unsure</x:v>
      </x:c>
      <x:c r="G413" s="142" t="str">
        <x:v>Ask only while an identity-correction route remains viable.</x:v>
      </x:c>
      <x:c r="H413" s="142" t="str">
        <x:v>Yes routes to correction/sealing logic distinct from ordinary conviction relief.</x:v>
      </x:c>
      <x:c r="I413" s="142" t="str">
        <x:v>Mistaken-identity / correction routes</x:v>
      </x:c>
      <x:c r="J413" s="142" t="str">
        <x:v>Exact details, if needed, are collected after account creation in packet completion.</x:v>
      </x:c>
      <x:c r="K413" s="142" t="str">
        <x:v>special_pathways</x:v>
      </x:c>
      <x:c r="L413" s="142" t="str">
        <x:v>derived_from_state_rule_fields</x:v>
      </x:c>
      <x:c r="M413" s="56" t="str">
        <x:v>https://github.com/Roger-LegalEase/legalease-partner-dashboard-clean/blob/2f0ef0403f16e57544ad0bc86b2d1b1cd08861b3/src/lib/rcap-engine/compiled/profiles/TX-texas.json</x:v>
      </x:c>
    </x:row>
    <x:row r="414">
      <x:c r="A414" s="55" t="str">
        <x:v>Texas</x:v>
      </x:c>
      <x:c r="B414" s="142" t="str">
        <x:v>TX</x:v>
      </x:c>
      <x:c r="C414" s="142" t="n">
        <x:v>8</x:v>
      </x:c>
      <x:c r="D414" s="142" t="str">
        <x:v>Timing / completion</x:v>
      </x:c>
      <x:c r="E414" s="142" t="str">
        <x:v>Do you currently have any pending criminal charge, open case, probation, parole, or other supervision?</x:v>
      </x:c>
      <x:c r="F414" s="142" t="str">
        <x:v>yes_no_unsure</x:v>
      </x:c>
      <x:c r="G414" s="142" t="str">
        <x:v>Ask only when pending cases or active supervision can block the candidate route.</x:v>
      </x:c>
      <x:c r="H414" s="142" t="str">
        <x:v>Pending/open matter may produce not-yet, review, or a different route.</x:v>
      </x:c>
      <x:c r="I414" s="142" t="str">
        <x:v>Pending-case-sensitive routes</x:v>
      </x:c>
      <x:c r="J414" s="142" t="str">
        <x:v>Exact details, if needed, are collected after account creation in packet completion.</x:v>
      </x:c>
      <x:c r="K414" s="142" t="str">
        <x:v>timing_and_completion</x:v>
      </x:c>
      <x:c r="L414" s="142" t="str">
        <x:v>derived_from_state_rule_fields</x:v>
      </x:c>
      <x:c r="M414" s="56" t="str">
        <x:v>https://github.com/Roger-LegalEase/legalease-partner-dashboard-clean/blob/2f0ef0403f16e57544ad0bc86b2d1b1cd08861b3/src/lib/rcap-engine/compiled/profiles/TX-texas.json</x:v>
      </x:c>
    </x:row>
    <x:row r="415">
      <x:c r="A415" s="55" t="str">
        <x:v>Texas</x:v>
      </x:c>
      <x:c r="B415" s="142" t="str">
        <x:v>TX</x:v>
      </x:c>
      <x:c r="C415" s="142" t="n">
        <x:v>9</x:v>
      </x:c>
      <x:c r="D415" s="142" t="str">
        <x:v>Timing / completion</x:v>
      </x:c>
      <x:c r="E415" s="142" t="str">
        <x:v>Have you completed everything the court ordered in this case?</x:v>
      </x:c>
      <x:c r="F415" s="142" t="str">
        <x:v>single_choice</x:v>
      </x:c>
      <x:c r="G415" s="142" t="str">
        <x:v>Ask only when a viable route depends on sentence, supervision, program, restitution, or financial completion.</x:v>
      </x:c>
      <x:c r="H415" s="142" t="str">
        <x:v>No → usually not yet or needs more information; Yes → continue; Not sure → defer exact proof.</x:v>
      </x:c>
      <x:c r="I415" s="142" t="str">
        <x:v>Completion-dependent routes</x:v>
      </x:c>
      <x:c r="J415" s="142" t="str">
        <x:v>Exact details, if needed, are collected after account creation in packet completion.</x:v>
      </x:c>
      <x:c r="K415" s="142" t="str">
        <x:v>timing_and_completion</x:v>
      </x:c>
      <x:c r="L415" s="142" t="str">
        <x:v>normalized_free_check</x:v>
      </x:c>
      <x:c r="M415" s="56" t="str">
        <x:v>https://github.com/Roger-LegalEase/legalease-partner-dashboard-clean/blob/2f0ef0403f16e57544ad0bc86b2d1b1cd08861b3/src/lib/rcap-engine/compiled/profiles/TX-texas.json</x:v>
      </x:c>
    </x:row>
    <x:row r="416">
      <x:c r="A416" s="55" t="str">
        <x:v>Texas</x:v>
      </x:c>
      <x:c r="B416" s="142" t="str">
        <x:v>TX</x:v>
      </x:c>
      <x:c r="C416" s="142" t="n">
        <x:v>10</x:v>
      </x:c>
      <x:c r="D416" s="142" t="str">
        <x:v>Timing / completion</x:v>
      </x:c>
      <x:c r="E416" s="142" t="str">
        <x:v>About how long ago did this case end or get resolved?</x:v>
      </x:c>
      <x:c r="F416" s="142" t="str">
        <x:v>single_choice</x:v>
      </x:c>
      <x:c r="G416" s="142" t="str">
        <x:v>Ask only when at least one viable route has a waiting period.</x:v>
      </x:c>
      <x:c r="H416" s="142" t="str">
        <x:v>Uses an approximate band for a preliminary result; exact dates are collected later.</x:v>
      </x:c>
      <x:c r="I416" s="142" t="str">
        <x:v>Timing-dependent routes</x:v>
      </x:c>
      <x:c r="J416" s="142" t="str">
        <x:v>Exact details, if needed, are collected after account creation in packet completion.</x:v>
      </x:c>
      <x:c r="K416" s="142" t="str">
        <x:v>timing_and_completion</x:v>
      </x:c>
      <x:c r="L416" s="142" t="str">
        <x:v>normalized_free_check</x:v>
      </x:c>
      <x:c r="M416" s="56" t="str">
        <x:v>https://github.com/Roger-LegalEase/legalease-partner-dashboard-clean/blob/2f0ef0403f16e57544ad0bc86b2d1b1cd08861b3/src/lib/rcap-engine/compiled/profiles/TX-texas.json</x:v>
      </x:c>
    </x:row>
    <x:row r="417">
      <x:c r="A417" s="55" t="str">
        <x:v>Texas</x:v>
      </x:c>
      <x:c r="B417" s="142" t="str">
        <x:v>TX</x:v>
      </x:c>
      <x:c r="C417" s="142" t="n">
        <x:v>11</x:v>
      </x:c>
      <x:c r="D417" s="142" t="str">
        <x:v>Exclusions / review</x:v>
      </x:c>
      <x:c r="E417" s="142" t="str">
        <x:v>Does the record involve any Texas category that the source identifies as excluded or review-required?</x:v>
      </x:c>
      <x:c r="F417" s="142" t="str">
        <x:v>multi_select</x:v>
      </x:c>
      <x:c r="G417" s="142" t="str">
        <x:v>Ask after the route is narrowed; show only categories relevant to the remaining route.</x:v>
      </x:c>
      <x:c r="H417" s="142" t="str">
        <x:v>Matching category → hard stop or review; none → continue.</x:v>
      </x:c>
      <x:c r="I417" s="142" t="str">
        <x:v>Route-specific exclusions</x:v>
      </x:c>
      <x:c r="J417" s="142" t="str">
        <x:v>Exact details, if needed, are collected after account creation in packet completion.</x:v>
      </x:c>
      <x:c r="K417" s="142" t="str">
        <x:v>exclusion_screen</x:v>
      </x:c>
      <x:c r="L417" s="142" t="str">
        <x:v>state_exclusion_section</x:v>
      </x:c>
      <x:c r="M417" s="56" t="str">
        <x:v>https://github.com/Roger-LegalEase/legalease-partner-dashboard-clean/blob/2f0ef0403f16e57544ad0bc86b2d1b1cd08861b3/src/lib/rcap-engine/compiled/profiles/TX-texas.json</x:v>
      </x:c>
    </x:row>
    <x:row r="418">
      <x:c r="A418" s="55" t="str">
        <x:v>Utah</x:v>
      </x:c>
      <x:c r="B418" s="142" t="str">
        <x:v>UT</x:v>
      </x:c>
      <x:c r="C418" s="142" t="n">
        <x:v>1</x:v>
      </x:c>
      <x:c r="D418" s="142" t="str">
        <x:v>Scope</x:v>
      </x:c>
      <x:c r="E418" s="142" t="str">
        <x:v>Are you asking about your own record?</x:v>
      </x:c>
      <x:c r="F418" s="142" t="str">
        <x:v>single_choice</x:v>
      </x:c>
      <x:c r="G418" s="142" t="str">
        <x:v>Ask in every free check</x:v>
      </x:c>
      <x:c r="H418" s="142" t="str">
        <x:v>No → stop or redirect; Yes → continue.</x:v>
      </x:c>
      <x:c r="I418" s="142" t="str">
        <x:v>All routes</x:v>
      </x:c>
      <x:c r="J418" s="142" t="str">
        <x:v>Exact details, if needed, are collected after account creation in packet completion.</x:v>
      </x:c>
      <x:c r="K418" s="142" t="str">
        <x:v>scope</x:v>
      </x:c>
      <x:c r="L418" s="142" t="str">
        <x:v>shared_scope_boundary</x:v>
      </x:c>
      <x:c r="M418" s="56" t="str">
        <x:v>https://github.com/Roger-LegalEase/legalease-partner-dashboard-clean/blob/2f0ef0403f16e57544ad0bc86b2d1b1cd08861b3/src/lib/rcap-engine/compiled/profiles/UT-utah.json</x:v>
      </x:c>
    </x:row>
    <x:row r="419">
      <x:c r="A419" s="55" t="str">
        <x:v>Utah</x:v>
      </x:c>
      <x:c r="B419" s="142" t="str">
        <x:v>UT</x:v>
      </x:c>
      <x:c r="C419" s="142" t="n">
        <x:v>2</x:v>
      </x:c>
      <x:c r="D419" s="142" t="str">
        <x:v>Scope</x:v>
      </x:c>
      <x:c r="E419" s="142" t="str">
        <x:v>Is this a state or local matter from Utah, rather than a federal matter?</x:v>
      </x:c>
      <x:c r="F419" s="142" t="str">
        <x:v>single_choice</x:v>
      </x:c>
      <x:c r="G419" s="142" t="str">
        <x:v>Ask in every free check</x:v>
      </x:c>
      <x:c r="H419" s="142" t="str">
        <x:v>Federal or wrong-state matter → outside this state flow; state/local matter → continue.</x:v>
      </x:c>
      <x:c r="I419" s="142" t="str">
        <x:v>All routes</x:v>
      </x:c>
      <x:c r="J419" s="142" t="str">
        <x:v>Exact details, if needed, are collected after account creation in packet completion.</x:v>
      </x:c>
      <x:c r="K419" s="142" t="str">
        <x:v>scope</x:v>
      </x:c>
      <x:c r="L419" s="142" t="str">
        <x:v>shared_scope_boundary</x:v>
      </x:c>
      <x:c r="M419" s="56" t="str">
        <x:v>https://github.com/Roger-LegalEase/legalease-partner-dashboard-clean/blob/2f0ef0403f16e57544ad0bc86b2d1b1cd08861b3/src/lib/rcap-engine/compiled/profiles/UT-utah.json</x:v>
      </x:c>
    </x:row>
    <x:row r="420">
      <x:c r="A420" s="55" t="str">
        <x:v>Utah</x:v>
      </x:c>
      <x:c r="B420" s="142" t="str">
        <x:v>UT</x:v>
      </x:c>
      <x:c r="C420" s="142" t="n">
        <x:v>3</x:v>
      </x:c>
      <x:c r="D420" s="142" t="str">
        <x:v>Route identification</x:v>
      </x:c>
      <x:c r="E420" s="142" t="str">
        <x:v>How did the Utah case or record end?</x:v>
      </x:c>
      <x:c r="F420" s="142" t="str">
        <x:v>single_choice</x:v>
      </x:c>
      <x:c r="G420" s="142" t="str">
        <x:v>Ask after scope, before route-specific questions</x:v>
      </x:c>
      <x:c r="H420" s="142" t="str">
        <x:v>Splits nonconviction, conviction, diversion/deferred, juvenile, automatic, pardon, correction, and other route families.</x:v>
      </x:c>
      <x:c r="I420" s="142" t="str">
        <x:v>All routes</x:v>
      </x:c>
      <x:c r="J420" s="142" t="str">
        <x:v>Exact details, if needed, are collected after account creation in packet completion.</x:v>
      </x:c>
      <x:c r="K420" s="142" t="str">
        <x:v>pathway_routing</x:v>
      </x:c>
      <x:c r="L420" s="142" t="str">
        <x:v>state_case_outcome_rules</x:v>
      </x:c>
      <x:c r="M420" s="56" t="str">
        <x:v>https://github.com/Roger-LegalEase/legalease-partner-dashboard-clean/blob/2f0ef0403f16e57544ad0bc86b2d1b1cd08861b3/src/lib/rcap-engine/compiled/profiles/UT-utah.json</x:v>
      </x:c>
    </x:row>
    <x:row r="421">
      <x:c r="A421" s="55" t="str">
        <x:v>Utah</x:v>
      </x:c>
      <x:c r="B421" s="142" t="str">
        <x:v>UT</x:v>
      </x:c>
      <x:c r="C421" s="142" t="n">
        <x:v>4</x:v>
      </x:c>
      <x:c r="D421" s="142" t="str">
        <x:v>Route identification</x:v>
      </x:c>
      <x:c r="E421" s="142" t="str">
        <x:v>What level or type was the charge?</x:v>
      </x:c>
      <x:c r="F421" s="142" t="str">
        <x:v>single_choice</x:v>
      </x:c>
      <x:c r="G421" s="142" t="str">
        <x:v>Ask after scope, before route-specific questions</x:v>
      </x:c>
      <x:c r="H421" s="142" t="str">
        <x:v>Narrows offense-level routes, waiting-period bands, and obvious exclusions.</x:v>
      </x:c>
      <x:c r="I421" s="142" t="str">
        <x:v>All routes</x:v>
      </x:c>
      <x:c r="J421" s="142" t="str">
        <x:v>Exact details, if needed, are collected after account creation in packet completion.</x:v>
      </x:c>
      <x:c r="K421" s="142" t="str">
        <x:v>pathway_routing</x:v>
      </x:c>
      <x:c r="L421" s="142" t="str">
        <x:v>state_pathway_and_exclusion_rules</x:v>
      </x:c>
      <x:c r="M421" s="56" t="str">
        <x:v>https://github.com/Roger-LegalEase/legalease-partner-dashboard-clean/blob/2f0ef0403f16e57544ad0bc86b2d1b1cd08861b3/src/lib/rcap-engine/compiled/profiles/UT-utah.json</x:v>
      </x:c>
    </x:row>
    <x:row r="422">
      <x:c r="A422" s="55" t="str">
        <x:v>Utah</x:v>
      </x:c>
      <x:c r="B422" s="142" t="str">
        <x:v>UT</x:v>
      </x:c>
      <x:c r="C422" s="142" t="n">
        <x:v>5</x:v>
      </x:c>
      <x:c r="D422" s="142" t="str">
        <x:v>Route identification</x:v>
      </x:c>
      <x:c r="E422" s="142" t="str">
        <x:v>Do any of these Utah descriptions sound close to your situation?</x:v>
      </x:c>
      <x:c r="F422" s="142" t="str">
        <x:v>single_choice</x:v>
      </x:c>
      <x:c r="G422" s="142" t="str">
        <x:v>Ask after scope, before route-specific questions</x:v>
      </x:c>
      <x:c r="H422" s="142" t="str">
        <x:v>Lets the participant select a likely remedy or “not sure”; selection prunes unrelated route-specific questions.</x:v>
      </x:c>
      <x:c r="I422" s="142" t="str">
        <x:v>All routes</x:v>
      </x:c>
      <x:c r="J422" s="142" t="str">
        <x:v>Exact details, if needed, are collected after account creation in packet completion.</x:v>
      </x:c>
      <x:c r="K422" s="142" t="str">
        <x:v>pathway_routing</x:v>
      </x:c>
      <x:c r="L422" s="142" t="str">
        <x:v>curated_state_pathway_catalog_from_reference</x:v>
      </x:c>
      <x:c r="M422" s="56" t="str">
        <x:v>https://github.com/Roger-LegalEase/legalease-partner-dashboard-clean/blob/2f0ef0403f16e57544ad0bc86b2d1b1cd08861b3/src/lib/rcap-engine/compiled/profiles/UT-utah.json</x:v>
      </x:c>
    </x:row>
    <x:row r="423">
      <x:c r="A423" s="55" t="str">
        <x:v>Utah</x:v>
      </x:c>
      <x:c r="B423" s="142" t="str">
        <x:v>UT</x:v>
      </x:c>
      <x:c r="C423" s="142" t="n">
        <x:v>6</x:v>
      </x:c>
      <x:c r="D423" s="142" t="str">
        <x:v>Timing / completion</x:v>
      </x:c>
      <x:c r="E423" s="142" t="str">
        <x:v>About how long ago did this case end or get resolved?</x:v>
      </x:c>
      <x:c r="F423" s="142" t="str">
        <x:v>single_choice</x:v>
      </x:c>
      <x:c r="G423" s="142" t="str">
        <x:v>Ask only when at least one viable route has a waiting period.</x:v>
      </x:c>
      <x:c r="H423" s="142" t="str">
        <x:v>Uses an approximate band for a preliminary result; exact dates are collected later.</x:v>
      </x:c>
      <x:c r="I423" s="142" t="str">
        <x:v>Timing-dependent routes</x:v>
      </x:c>
      <x:c r="J423" s="142" t="str">
        <x:v>Exact details, if needed, are collected after account creation in packet completion.</x:v>
      </x:c>
      <x:c r="K423" s="142" t="str">
        <x:v>timing_and_completion</x:v>
      </x:c>
      <x:c r="L423" s="142" t="str">
        <x:v>normalized_free_check</x:v>
      </x:c>
      <x:c r="M423" s="56" t="str">
        <x:v>https://github.com/Roger-LegalEase/legalease-partner-dashboard-clean/blob/2f0ef0403f16e57544ad0bc86b2d1b1cd08861b3/src/lib/rcap-engine/compiled/profiles/UT-utah.json</x:v>
      </x:c>
    </x:row>
    <x:row r="424">
      <x:c r="A424" s="55" t="str">
        <x:v>Virginia</x:v>
      </x:c>
      <x:c r="B424" s="142" t="str">
        <x:v>VA</x:v>
      </x:c>
      <x:c r="C424" s="142" t="n">
        <x:v>1</x:v>
      </x:c>
      <x:c r="D424" s="142" t="str">
        <x:v>Scope</x:v>
      </x:c>
      <x:c r="E424" s="142" t="str">
        <x:v>Are you asking about your own record?</x:v>
      </x:c>
      <x:c r="F424" s="142" t="str">
        <x:v>single_choice</x:v>
      </x:c>
      <x:c r="G424" s="142" t="str">
        <x:v>Ask in every free check</x:v>
      </x:c>
      <x:c r="H424" s="142" t="str">
        <x:v>No → stop or redirect; Yes → continue.</x:v>
      </x:c>
      <x:c r="I424" s="142" t="str">
        <x:v>All routes</x:v>
      </x:c>
      <x:c r="J424" s="142" t="str">
        <x:v>Exact details, if needed, are collected after account creation in packet completion.</x:v>
      </x:c>
      <x:c r="K424" s="142" t="str">
        <x:v>scope</x:v>
      </x:c>
      <x:c r="L424" s="142" t="str">
        <x:v>shared_scope_boundary</x:v>
      </x:c>
      <x:c r="M424" s="56" t="str">
        <x:v>https://github.com/Roger-LegalEase/legalease-partner-dashboard-clean/blob/2f0ef0403f16e57544ad0bc86b2d1b1cd08861b3/src/lib/rcap-engine/compiled/profiles/VA-virginia.json</x:v>
      </x:c>
    </x:row>
    <x:row r="425">
      <x:c r="A425" s="55" t="str">
        <x:v>Virginia</x:v>
      </x:c>
      <x:c r="B425" s="142" t="str">
        <x:v>VA</x:v>
      </x:c>
      <x:c r="C425" s="142" t="n">
        <x:v>2</x:v>
      </x:c>
      <x:c r="D425" s="142" t="str">
        <x:v>Scope</x:v>
      </x:c>
      <x:c r="E425" s="142" t="str">
        <x:v>Is this a state or local matter from Virginia, rather than a federal matter?</x:v>
      </x:c>
      <x:c r="F425" s="142" t="str">
        <x:v>single_choice</x:v>
      </x:c>
      <x:c r="G425" s="142" t="str">
        <x:v>Ask in every free check</x:v>
      </x:c>
      <x:c r="H425" s="142" t="str">
        <x:v>Federal or wrong-state matter → outside this state flow; state/local matter → continue.</x:v>
      </x:c>
      <x:c r="I425" s="142" t="str">
        <x:v>All routes</x:v>
      </x:c>
      <x:c r="J425" s="142" t="str">
        <x:v>Exact details, if needed, are collected after account creation in packet completion.</x:v>
      </x:c>
      <x:c r="K425" s="142" t="str">
        <x:v>scope</x:v>
      </x:c>
      <x:c r="L425" s="142" t="str">
        <x:v>shared_scope_boundary</x:v>
      </x:c>
      <x:c r="M425" s="56" t="str">
        <x:v>https://github.com/Roger-LegalEase/legalease-partner-dashboard-clean/blob/2f0ef0403f16e57544ad0bc86b2d1b1cd08861b3/src/lib/rcap-engine/compiled/profiles/VA-virginia.json</x:v>
      </x:c>
    </x:row>
    <x:row r="426">
      <x:c r="A426" s="55" t="str">
        <x:v>Virginia</x:v>
      </x:c>
      <x:c r="B426" s="142" t="str">
        <x:v>VA</x:v>
      </x:c>
      <x:c r="C426" s="142" t="n">
        <x:v>3</x:v>
      </x:c>
      <x:c r="D426" s="142" t="str">
        <x:v>Route identification</x:v>
      </x:c>
      <x:c r="E426" s="142" t="str">
        <x:v>How did the Virginia case or record end?</x:v>
      </x:c>
      <x:c r="F426" s="142" t="str">
        <x:v>single_choice</x:v>
      </x:c>
      <x:c r="G426" s="142" t="str">
        <x:v>Ask after scope, before route-specific questions</x:v>
      </x:c>
      <x:c r="H426" s="142" t="str">
        <x:v>Splits nonconviction, conviction, diversion/deferred, juvenile, automatic, pardon, correction, and other route families.</x:v>
      </x:c>
      <x:c r="I426" s="142" t="str">
        <x:v>All routes</x:v>
      </x:c>
      <x:c r="J426" s="142" t="str">
        <x:v>Exact details, if needed, are collected after account creation in packet completion.</x:v>
      </x:c>
      <x:c r="K426" s="142" t="str">
        <x:v>pathway_routing</x:v>
      </x:c>
      <x:c r="L426" s="142" t="str">
        <x:v>state_case_outcome_rules</x:v>
      </x:c>
      <x:c r="M426" s="56" t="str">
        <x:v>https://github.com/Roger-LegalEase/legalease-partner-dashboard-clean/blob/2f0ef0403f16e57544ad0bc86b2d1b1cd08861b3/src/lib/rcap-engine/compiled/profiles/VA-virginia.json</x:v>
      </x:c>
    </x:row>
    <x:row r="427">
      <x:c r="A427" s="55" t="str">
        <x:v>Virginia</x:v>
      </x:c>
      <x:c r="B427" s="142" t="str">
        <x:v>VA</x:v>
      </x:c>
      <x:c r="C427" s="142" t="n">
        <x:v>4</x:v>
      </x:c>
      <x:c r="D427" s="142" t="str">
        <x:v>Route identification</x:v>
      </x:c>
      <x:c r="E427" s="142" t="str">
        <x:v>What level or type was the charge?</x:v>
      </x:c>
      <x:c r="F427" s="142" t="str">
        <x:v>single_choice</x:v>
      </x:c>
      <x:c r="G427" s="142" t="str">
        <x:v>Ask after scope, before route-specific questions</x:v>
      </x:c>
      <x:c r="H427" s="142" t="str">
        <x:v>Narrows offense-level routes, waiting-period bands, and obvious exclusions.</x:v>
      </x:c>
      <x:c r="I427" s="142" t="str">
        <x:v>All routes</x:v>
      </x:c>
      <x:c r="J427" s="142" t="str">
        <x:v>Exact details, if needed, are collected after account creation in packet completion.</x:v>
      </x:c>
      <x:c r="K427" s="142" t="str">
        <x:v>pathway_routing</x:v>
      </x:c>
      <x:c r="L427" s="142" t="str">
        <x:v>state_pathway_and_exclusion_rules</x:v>
      </x:c>
      <x:c r="M427" s="56" t="str">
        <x:v>https://github.com/Roger-LegalEase/legalease-partner-dashboard-clean/blob/2f0ef0403f16e57544ad0bc86b2d1b1cd08861b3/src/lib/rcap-engine/compiled/profiles/VA-virginia.json</x:v>
      </x:c>
    </x:row>
    <x:row r="428">
      <x:c r="A428" s="55" t="str">
        <x:v>Virginia</x:v>
      </x:c>
      <x:c r="B428" s="142" t="str">
        <x:v>VA</x:v>
      </x:c>
      <x:c r="C428" s="142" t="n">
        <x:v>5</x:v>
      </x:c>
      <x:c r="D428" s="142" t="str">
        <x:v>Route identification</x:v>
      </x:c>
      <x:c r="E428" s="142" t="str">
        <x:v>Do any of these Virginia descriptions sound close to your situation?</x:v>
      </x:c>
      <x:c r="F428" s="142" t="str">
        <x:v>single_choice</x:v>
      </x:c>
      <x:c r="G428" s="142" t="str">
        <x:v>Ask after scope, before route-specific questions</x:v>
      </x:c>
      <x:c r="H428" s="142" t="str">
        <x:v>Lets the participant select a likely remedy or “not sure”; selection prunes unrelated route-specific questions.</x:v>
      </x:c>
      <x:c r="I428" s="142" t="str">
        <x:v>All routes</x:v>
      </x:c>
      <x:c r="J428" s="142" t="str">
        <x:v>Exact details, if needed, are collected after account creation in packet completion.</x:v>
      </x:c>
      <x:c r="K428" s="142" t="str">
        <x:v>pathway_routing</x:v>
      </x:c>
      <x:c r="L428" s="142" t="str">
        <x:v>curated_state_pathway_catalog_from_reference</x:v>
      </x:c>
      <x:c r="M428" s="56" t="str">
        <x:v>https://github.com/Roger-LegalEase/legalease-partner-dashboard-clean/blob/2f0ef0403f16e57544ad0bc86b2d1b1cd08861b3/src/lib/rcap-engine/compiled/profiles/VA-virginia.json</x:v>
      </x:c>
    </x:row>
    <x:row r="429">
      <x:c r="A429" s="55" t="str">
        <x:v>Virginia</x:v>
      </x:c>
      <x:c r="B429" s="142" t="str">
        <x:v>VA</x:v>
      </x:c>
      <x:c r="C429" s="142" t="n">
        <x:v>6</x:v>
      </x:c>
      <x:c r="D429" s="142" t="str">
        <x:v>Special pathway</x:v>
      </x:c>
      <x:c r="E429" s="142" t="str">
        <x:v>Was this offense connected to your status as a human-trafficking or sex-trafficking survivor?</x:v>
      </x:c>
      <x:c r="F429" s="142" t="str">
        <x:v>yes_no_prefer_not_to_say</x:v>
      </x:c>
      <x:c r="G429" s="142" t="str">
        <x:v>Ask only while trafficking-survivor relief remains viable; allow “prefer not to say.”</x:v>
      </x:c>
      <x:c r="H429" s="142" t="str">
        <x:v>May open vacatur/expungement or review treatment.</x:v>
      </x:c>
      <x:c r="I429" s="142" t="str">
        <x:v>Trafficking-survivor routes</x:v>
      </x:c>
      <x:c r="J429" s="142" t="str">
        <x:v>Exact details, if needed, are collected after account creation in packet completion.</x:v>
      </x:c>
      <x:c r="K429" s="142" t="str">
        <x:v>special_pathways</x:v>
      </x:c>
      <x:c r="L429" s="142" t="str">
        <x:v>derived_from_state_rule_fields</x:v>
      </x:c>
      <x:c r="M429" s="56" t="str">
        <x:v>https://github.com/Roger-LegalEase/legalease-partner-dashboard-clean/blob/2f0ef0403f16e57544ad0bc86b2d1b1cd08861b3/src/lib/rcap-engine/compiled/profiles/VA-virginia.json</x:v>
      </x:c>
    </x:row>
    <x:row r="430">
      <x:c r="A430" s="55" t="str">
        <x:v>Virginia</x:v>
      </x:c>
      <x:c r="B430" s="142" t="str">
        <x:v>VA</x:v>
      </x:c>
      <x:c r="C430" s="142" t="n">
        <x:v>7</x:v>
      </x:c>
      <x:c r="D430" s="142" t="str">
        <x:v>Special pathway</x:v>
      </x:c>
      <x:c r="E430" s="142" t="str">
        <x:v>Have you received a pardon, certificate of rehabilitation, or similar executive relief for this conviction?</x:v>
      </x:c>
      <x:c r="F430" s="142" t="str">
        <x:v>yes_no_unsure</x:v>
      </x:c>
      <x:c r="G430" s="142" t="str">
        <x:v>Ask only while a pardon or executive-relief route remains viable.</x:v>
      </x:c>
      <x:c r="H430" s="142" t="str">
        <x:v>Yes may open a pardon-based route; No preserves ordinary routes; Not sure defers proof.</x:v>
      </x:c>
      <x:c r="I430" s="142" t="str">
        <x:v>Pardon / executive-relief routes</x:v>
      </x:c>
      <x:c r="J430" s="142" t="str">
        <x:v>Exact details, if needed, are collected after account creation in packet completion.</x:v>
      </x:c>
      <x:c r="K430" s="142" t="str">
        <x:v>special_pathways</x:v>
      </x:c>
      <x:c r="L430" s="142" t="str">
        <x:v>derived_from_state_rule_fields</x:v>
      </x:c>
      <x:c r="M430" s="56" t="str">
        <x:v>https://github.com/Roger-LegalEase/legalease-partner-dashboard-clean/blob/2f0ef0403f16e57544ad0bc86b2d1b1cd08861b3/src/lib/rcap-engine/compiled/profiles/VA-virginia.json</x:v>
      </x:c>
    </x:row>
    <x:row r="431">
      <x:c r="A431" s="55" t="str">
        <x:v>Virginia</x:v>
      </x:c>
      <x:c r="B431" s="142" t="str">
        <x:v>VA</x:v>
      </x:c>
      <x:c r="C431" s="142" t="n">
        <x:v>8</x:v>
      </x:c>
      <x:c r="D431" s="142" t="str">
        <x:v>Special pathway</x:v>
      </x:c>
      <x:c r="E431" s="142" t="str">
        <x:v>Was the arrest or record caused by mistaken identity, identity theft, or law-enforcement error?</x:v>
      </x:c>
      <x:c r="F431" s="142" t="str">
        <x:v>yes_no_unsure</x:v>
      </x:c>
      <x:c r="G431" s="142" t="str">
        <x:v>Ask only while an identity-correction route remains viable.</x:v>
      </x:c>
      <x:c r="H431" s="142" t="str">
        <x:v>Yes routes to correction/sealing logic distinct from ordinary conviction relief.</x:v>
      </x:c>
      <x:c r="I431" s="142" t="str">
        <x:v>Mistaken-identity / correction routes</x:v>
      </x:c>
      <x:c r="J431" s="142" t="str">
        <x:v>Exact details, if needed, are collected after account creation in packet completion.</x:v>
      </x:c>
      <x:c r="K431" s="142" t="str">
        <x:v>special_pathways</x:v>
      </x:c>
      <x:c r="L431" s="142" t="str">
        <x:v>derived_from_state_rule_fields</x:v>
      </x:c>
      <x:c r="M431" s="56" t="str">
        <x:v>https://github.com/Roger-LegalEase/legalease-partner-dashboard-clean/blob/2f0ef0403f16e57544ad0bc86b2d1b1cd08861b3/src/lib/rcap-engine/compiled/profiles/VA-virginia.json</x:v>
      </x:c>
    </x:row>
    <x:row r="432">
      <x:c r="A432" s="55" t="str">
        <x:v>Virginia</x:v>
      </x:c>
      <x:c r="B432" s="142" t="str">
        <x:v>VA</x:v>
      </x:c>
      <x:c r="C432" s="142" t="n">
        <x:v>9</x:v>
      </x:c>
      <x:c r="D432" s="142" t="str">
        <x:v>Timing / completion</x:v>
      </x:c>
      <x:c r="E432" s="142" t="str">
        <x:v>About how long ago did this case end or get resolved?</x:v>
      </x:c>
      <x:c r="F432" s="142" t="str">
        <x:v>single_choice</x:v>
      </x:c>
      <x:c r="G432" s="142" t="str">
        <x:v>Ask only when at least one viable route has a waiting period.</x:v>
      </x:c>
      <x:c r="H432" s="142" t="str">
        <x:v>Uses an approximate band for a preliminary result; exact dates are collected later.</x:v>
      </x:c>
      <x:c r="I432" s="142" t="str">
        <x:v>Timing-dependent routes</x:v>
      </x:c>
      <x:c r="J432" s="142" t="str">
        <x:v>Exact details, if needed, are collected after account creation in packet completion.</x:v>
      </x:c>
      <x:c r="K432" s="142" t="str">
        <x:v>timing_and_completion</x:v>
      </x:c>
      <x:c r="L432" s="142" t="str">
        <x:v>normalized_free_check</x:v>
      </x:c>
      <x:c r="M432" s="56" t="str">
        <x:v>https://github.com/Roger-LegalEase/legalease-partner-dashboard-clean/blob/2f0ef0403f16e57544ad0bc86b2d1b1cd08861b3/src/lib/rcap-engine/compiled/profiles/VA-virginia.json</x:v>
      </x:c>
    </x:row>
    <x:row r="433">
      <x:c r="A433" s="55" t="str">
        <x:v>Virginia</x:v>
      </x:c>
      <x:c r="B433" s="142" t="str">
        <x:v>VA</x:v>
      </x:c>
      <x:c r="C433" s="142" t="n">
        <x:v>10</x:v>
      </x:c>
      <x:c r="D433" s="142" t="str">
        <x:v>Exclusions / review</x:v>
      </x:c>
      <x:c r="E433" s="142" t="str">
        <x:v>Does the record involve any Virginia category that the source identifies as excluded or review-required?</x:v>
      </x:c>
      <x:c r="F433" s="142" t="str">
        <x:v>multi_select</x:v>
      </x:c>
      <x:c r="G433" s="142" t="str">
        <x:v>Ask after the route is narrowed; show only categories relevant to the remaining route.</x:v>
      </x:c>
      <x:c r="H433" s="142" t="str">
        <x:v>Matching category → hard stop or review; none → continue.</x:v>
      </x:c>
      <x:c r="I433" s="142" t="str">
        <x:v>Route-specific exclusions</x:v>
      </x:c>
      <x:c r="J433" s="142" t="str">
        <x:v>Exact details, if needed, are collected after account creation in packet completion.</x:v>
      </x:c>
      <x:c r="K433" s="142" t="str">
        <x:v>exclusion_screen</x:v>
      </x:c>
      <x:c r="L433" s="142" t="str">
        <x:v>state_exclusion_section</x:v>
      </x:c>
      <x:c r="M433" s="56" t="str">
        <x:v>https://github.com/Roger-LegalEase/legalease-partner-dashboard-clean/blob/2f0ef0403f16e57544ad0bc86b2d1b1cd08861b3/src/lib/rcap-engine/compiled/profiles/VA-virginia.json</x:v>
      </x:c>
    </x:row>
    <x:row r="434">
      <x:c r="A434" s="55" t="str">
        <x:v>Vermont</x:v>
      </x:c>
      <x:c r="B434" s="142" t="str">
        <x:v>VT</x:v>
      </x:c>
      <x:c r="C434" s="142" t="n">
        <x:v>1</x:v>
      </x:c>
      <x:c r="D434" s="142" t="str">
        <x:v>Scope</x:v>
      </x:c>
      <x:c r="E434" s="142" t="str">
        <x:v>Are you asking about your own record?</x:v>
      </x:c>
      <x:c r="F434" s="142" t="str">
        <x:v>single_choice</x:v>
      </x:c>
      <x:c r="G434" s="142" t="str">
        <x:v>Ask in every free check</x:v>
      </x:c>
      <x:c r="H434" s="142" t="str">
        <x:v>No → stop or redirect; Yes → continue.</x:v>
      </x:c>
      <x:c r="I434" s="142" t="str">
        <x:v>All routes</x:v>
      </x:c>
      <x:c r="J434" s="142" t="str">
        <x:v>Exact details, if needed, are collected after account creation in packet completion.</x:v>
      </x:c>
      <x:c r="K434" s="142" t="str">
        <x:v>scope</x:v>
      </x:c>
      <x:c r="L434" s="142" t="str">
        <x:v>shared_scope_boundary</x:v>
      </x:c>
      <x:c r="M434" s="56" t="str">
        <x:v>https://github.com/Roger-LegalEase/legalease-partner-dashboard-clean/blob/2f0ef0403f16e57544ad0bc86b2d1b1cd08861b3/src/lib/rcap-engine/compiled/profiles/VT-vermont.json</x:v>
      </x:c>
    </x:row>
    <x:row r="435">
      <x:c r="A435" s="55" t="str">
        <x:v>Vermont</x:v>
      </x:c>
      <x:c r="B435" s="142" t="str">
        <x:v>VT</x:v>
      </x:c>
      <x:c r="C435" s="142" t="n">
        <x:v>2</x:v>
      </x:c>
      <x:c r="D435" s="142" t="str">
        <x:v>Scope</x:v>
      </x:c>
      <x:c r="E435" s="142" t="str">
        <x:v>Is this a state or local matter from Vermont, rather than a federal matter?</x:v>
      </x:c>
      <x:c r="F435" s="142" t="str">
        <x:v>single_choice</x:v>
      </x:c>
      <x:c r="G435" s="142" t="str">
        <x:v>Ask in every free check</x:v>
      </x:c>
      <x:c r="H435" s="142" t="str">
        <x:v>Federal or wrong-state matter → outside this state flow; state/local matter → continue.</x:v>
      </x:c>
      <x:c r="I435" s="142" t="str">
        <x:v>All routes</x:v>
      </x:c>
      <x:c r="J435" s="142" t="str">
        <x:v>Exact details, if needed, are collected after account creation in packet completion.</x:v>
      </x:c>
      <x:c r="K435" s="142" t="str">
        <x:v>scope</x:v>
      </x:c>
      <x:c r="L435" s="142" t="str">
        <x:v>shared_scope_boundary</x:v>
      </x:c>
      <x:c r="M435" s="56" t="str">
        <x:v>https://github.com/Roger-LegalEase/legalease-partner-dashboard-clean/blob/2f0ef0403f16e57544ad0bc86b2d1b1cd08861b3/src/lib/rcap-engine/compiled/profiles/VT-vermont.json</x:v>
      </x:c>
    </x:row>
    <x:row r="436">
      <x:c r="A436" s="55" t="str">
        <x:v>Vermont</x:v>
      </x:c>
      <x:c r="B436" s="142" t="str">
        <x:v>VT</x:v>
      </x:c>
      <x:c r="C436" s="142" t="n">
        <x:v>3</x:v>
      </x:c>
      <x:c r="D436" s="142" t="str">
        <x:v>Route identification</x:v>
      </x:c>
      <x:c r="E436" s="142" t="str">
        <x:v>How did the Vermont case or record end?</x:v>
      </x:c>
      <x:c r="F436" s="142" t="str">
        <x:v>single_choice</x:v>
      </x:c>
      <x:c r="G436" s="142" t="str">
        <x:v>Ask after scope, before route-specific questions</x:v>
      </x:c>
      <x:c r="H436" s="142" t="str">
        <x:v>Splits nonconviction, conviction, diversion/deferred, juvenile, automatic, pardon, correction, and other route families.</x:v>
      </x:c>
      <x:c r="I436" s="142" t="str">
        <x:v>All routes</x:v>
      </x:c>
      <x:c r="J436" s="142" t="str">
        <x:v>Exact details, if needed, are collected after account creation in packet completion.</x:v>
      </x:c>
      <x:c r="K436" s="142" t="str">
        <x:v>pathway_routing</x:v>
      </x:c>
      <x:c r="L436" s="142" t="str">
        <x:v>state_case_outcome_rules</x:v>
      </x:c>
      <x:c r="M436" s="56" t="str">
        <x:v>https://github.com/Roger-LegalEase/legalease-partner-dashboard-clean/blob/2f0ef0403f16e57544ad0bc86b2d1b1cd08861b3/src/lib/rcap-engine/compiled/profiles/VT-vermont.json</x:v>
      </x:c>
    </x:row>
    <x:row r="437">
      <x:c r="A437" s="55" t="str">
        <x:v>Vermont</x:v>
      </x:c>
      <x:c r="B437" s="142" t="str">
        <x:v>VT</x:v>
      </x:c>
      <x:c r="C437" s="142" t="n">
        <x:v>4</x:v>
      </x:c>
      <x:c r="D437" s="142" t="str">
        <x:v>Route identification</x:v>
      </x:c>
      <x:c r="E437" s="142" t="str">
        <x:v>What level or type was the charge?</x:v>
      </x:c>
      <x:c r="F437" s="142" t="str">
        <x:v>single_choice</x:v>
      </x:c>
      <x:c r="G437" s="142" t="str">
        <x:v>Ask after scope, before route-specific questions</x:v>
      </x:c>
      <x:c r="H437" s="142" t="str">
        <x:v>Narrows offense-level routes, waiting-period bands, and obvious exclusions.</x:v>
      </x:c>
      <x:c r="I437" s="142" t="str">
        <x:v>All routes</x:v>
      </x:c>
      <x:c r="J437" s="142" t="str">
        <x:v>Exact details, if needed, are collected after account creation in packet completion.</x:v>
      </x:c>
      <x:c r="K437" s="142" t="str">
        <x:v>pathway_routing</x:v>
      </x:c>
      <x:c r="L437" s="142" t="str">
        <x:v>state_pathway_and_exclusion_rules</x:v>
      </x:c>
      <x:c r="M437" s="56" t="str">
        <x:v>https://github.com/Roger-LegalEase/legalease-partner-dashboard-clean/blob/2f0ef0403f16e57544ad0bc86b2d1b1cd08861b3/src/lib/rcap-engine/compiled/profiles/VT-vermont.json</x:v>
      </x:c>
    </x:row>
    <x:row r="438">
      <x:c r="A438" s="55" t="str">
        <x:v>Vermont</x:v>
      </x:c>
      <x:c r="B438" s="142" t="str">
        <x:v>VT</x:v>
      </x:c>
      <x:c r="C438" s="142" t="n">
        <x:v>5</x:v>
      </x:c>
      <x:c r="D438" s="142" t="str">
        <x:v>Route identification</x:v>
      </x:c>
      <x:c r="E438" s="142" t="str">
        <x:v>Do any of these Vermont descriptions sound close to your situation?</x:v>
      </x:c>
      <x:c r="F438" s="142" t="str">
        <x:v>single_choice</x:v>
      </x:c>
      <x:c r="G438" s="142" t="str">
        <x:v>Ask after scope, before route-specific questions</x:v>
      </x:c>
      <x:c r="H438" s="142" t="str">
        <x:v>Lets the participant select a likely remedy or “not sure”; selection prunes unrelated route-specific questions.</x:v>
      </x:c>
      <x:c r="I438" s="142" t="str">
        <x:v>All routes</x:v>
      </x:c>
      <x:c r="J438" s="142" t="str">
        <x:v>Exact details, if needed, are collected after account creation in packet completion.</x:v>
      </x:c>
      <x:c r="K438" s="142" t="str">
        <x:v>pathway_routing</x:v>
      </x:c>
      <x:c r="L438" s="142" t="str">
        <x:v>curated_state_pathway_catalog_from_reference</x:v>
      </x:c>
      <x:c r="M438" s="56" t="str">
        <x:v>https://github.com/Roger-LegalEase/legalease-partner-dashboard-clean/blob/2f0ef0403f16e57544ad0bc86b2d1b1cd08861b3/src/lib/rcap-engine/compiled/profiles/VT-vermont.json</x:v>
      </x:c>
    </x:row>
    <x:row r="439">
      <x:c r="A439" s="55" t="str">
        <x:v>Vermont</x:v>
      </x:c>
      <x:c r="B439" s="142" t="str">
        <x:v>VT</x:v>
      </x:c>
      <x:c r="C439" s="142" t="n">
        <x:v>6</x:v>
      </x:c>
      <x:c r="D439" s="142" t="str">
        <x:v>Route identification</x:v>
      </x:c>
      <x:c r="E439" s="142" t="str">
        <x:v>How old were you when the offense or case began?</x:v>
      </x:c>
      <x:c r="F439" s="142" t="str">
        <x:v>number_or_range</x:v>
      </x:c>
      <x:c r="G439" s="142" t="str">
        <x:v>Ask only when adult-versus-juvenile or youthful-offender treatment may change the route.</x:v>
      </x:c>
      <x:c r="H439" s="142" t="str">
        <x:v>Routes to juvenile/youthful-offender logic or keeps the adult route.</x:v>
      </x:c>
      <x:c r="I439" s="142" t="str">
        <x:v>Age-sensitive routes</x:v>
      </x:c>
      <x:c r="J439" s="142" t="str">
        <x:v>Exact details, if needed, are collected after account creation in packet completion.</x:v>
      </x:c>
      <x:c r="K439" s="142" t="str">
        <x:v>pathway_routing</x:v>
      </x:c>
      <x:c r="L439" s="142" t="str">
        <x:v>derived_from_state_rule_fields</x:v>
      </x:c>
      <x:c r="M439" s="56" t="str">
        <x:v>https://github.com/Roger-LegalEase/legalease-partner-dashboard-clean/blob/2f0ef0403f16e57544ad0bc86b2d1b1cd08861b3/src/lib/rcap-engine/compiled/profiles/VT-vermont.json</x:v>
      </x:c>
    </x:row>
    <x:row r="440">
      <x:c r="A440" s="55" t="str">
        <x:v>Vermont</x:v>
      </x:c>
      <x:c r="B440" s="142" t="str">
        <x:v>VT</x:v>
      </x:c>
      <x:c r="C440" s="142" t="n">
        <x:v>7</x:v>
      </x:c>
      <x:c r="D440" s="142" t="str">
        <x:v>Special pathway</x:v>
      </x:c>
      <x:c r="E440" s="142" t="str">
        <x:v>Have you received a pardon, certificate of rehabilitation, or similar executive relief for this conviction?</x:v>
      </x:c>
      <x:c r="F440" s="142" t="str">
        <x:v>yes_no_unsure</x:v>
      </x:c>
      <x:c r="G440" s="142" t="str">
        <x:v>Ask only while a pardon or executive-relief route remains viable.</x:v>
      </x:c>
      <x:c r="H440" s="142" t="str">
        <x:v>Yes may open a pardon-based route; No preserves ordinary routes; Not sure defers proof.</x:v>
      </x:c>
      <x:c r="I440" s="142" t="str">
        <x:v>Pardon / executive-relief routes</x:v>
      </x:c>
      <x:c r="J440" s="142" t="str">
        <x:v>Exact details, if needed, are collected after account creation in packet completion.</x:v>
      </x:c>
      <x:c r="K440" s="142" t="str">
        <x:v>special_pathways</x:v>
      </x:c>
      <x:c r="L440" s="142" t="str">
        <x:v>derived_from_state_rule_fields</x:v>
      </x:c>
      <x:c r="M440" s="56" t="str">
        <x:v>https://github.com/Roger-LegalEase/legalease-partner-dashboard-clean/blob/2f0ef0403f16e57544ad0bc86b2d1b1cd08861b3/src/lib/rcap-engine/compiled/profiles/VT-vermont.json</x:v>
      </x:c>
    </x:row>
    <x:row r="441">
      <x:c r="A441" s="55" t="str">
        <x:v>Vermont</x:v>
      </x:c>
      <x:c r="B441" s="142" t="str">
        <x:v>VT</x:v>
      </x:c>
      <x:c r="C441" s="142" t="n">
        <x:v>8</x:v>
      </x:c>
      <x:c r="D441" s="142" t="str">
        <x:v>Special pathway</x:v>
      </x:c>
      <x:c r="E441" s="142" t="str">
        <x:v>Was the arrest or record caused by mistaken identity, identity theft, or law-enforcement error?</x:v>
      </x:c>
      <x:c r="F441" s="142" t="str">
        <x:v>yes_no_unsure</x:v>
      </x:c>
      <x:c r="G441" s="142" t="str">
        <x:v>Ask only while an identity-correction route remains viable.</x:v>
      </x:c>
      <x:c r="H441" s="142" t="str">
        <x:v>Yes routes to correction/sealing logic distinct from ordinary conviction relief.</x:v>
      </x:c>
      <x:c r="I441" s="142" t="str">
        <x:v>Mistaken-identity / correction routes</x:v>
      </x:c>
      <x:c r="J441" s="142" t="str">
        <x:v>Exact details, if needed, are collected after account creation in packet completion.</x:v>
      </x:c>
      <x:c r="K441" s="142" t="str">
        <x:v>special_pathways</x:v>
      </x:c>
      <x:c r="L441" s="142" t="str">
        <x:v>derived_from_state_rule_fields</x:v>
      </x:c>
      <x:c r="M441" s="56" t="str">
        <x:v>https://github.com/Roger-LegalEase/legalease-partner-dashboard-clean/blob/2f0ef0403f16e57544ad0bc86b2d1b1cd08861b3/src/lib/rcap-engine/compiled/profiles/VT-vermont.json</x:v>
      </x:c>
    </x:row>
    <x:row r="442">
      <x:c r="A442" s="55" t="str">
        <x:v>Vermont</x:v>
      </x:c>
      <x:c r="B442" s="142" t="str">
        <x:v>VT</x:v>
      </x:c>
      <x:c r="C442" s="142" t="n">
        <x:v>9</x:v>
      </x:c>
      <x:c r="D442" s="142" t="str">
        <x:v>Timing / completion</x:v>
      </x:c>
      <x:c r="E442" s="142" t="str">
        <x:v>Do you currently have any pending criminal charge, open case, probation, parole, or other supervision?</x:v>
      </x:c>
      <x:c r="F442" s="142" t="str">
        <x:v>yes_no_unsure</x:v>
      </x:c>
      <x:c r="G442" s="142" t="str">
        <x:v>Ask only when pending cases or active supervision can block the candidate route.</x:v>
      </x:c>
      <x:c r="H442" s="142" t="str">
        <x:v>Pending/open matter may produce not-yet, review, or a different route.</x:v>
      </x:c>
      <x:c r="I442" s="142" t="str">
        <x:v>Pending-case-sensitive routes</x:v>
      </x:c>
      <x:c r="J442" s="142" t="str">
        <x:v>Exact details, if needed, are collected after account creation in packet completion.</x:v>
      </x:c>
      <x:c r="K442" s="142" t="str">
        <x:v>timing_and_completion</x:v>
      </x:c>
      <x:c r="L442" s="142" t="str">
        <x:v>derived_from_state_rule_fields</x:v>
      </x:c>
      <x:c r="M442" s="56" t="str">
        <x:v>https://github.com/Roger-LegalEase/legalease-partner-dashboard-clean/blob/2f0ef0403f16e57544ad0bc86b2d1b1cd08861b3/src/lib/rcap-engine/compiled/profiles/VT-vermont.json</x:v>
      </x:c>
    </x:row>
    <x:row r="443">
      <x:c r="A443" s="55" t="str">
        <x:v>Vermont</x:v>
      </x:c>
      <x:c r="B443" s="142" t="str">
        <x:v>VT</x:v>
      </x:c>
      <x:c r="C443" s="142" t="n">
        <x:v>10</x:v>
      </x:c>
      <x:c r="D443" s="142" t="str">
        <x:v>Timing / completion</x:v>
      </x:c>
      <x:c r="E443" s="142" t="str">
        <x:v>Have you completed everything the court ordered in this case?</x:v>
      </x:c>
      <x:c r="F443" s="142" t="str">
        <x:v>single_choice</x:v>
      </x:c>
      <x:c r="G443" s="142" t="str">
        <x:v>Ask only when a viable route depends on sentence, supervision, program, restitution, or financial completion.</x:v>
      </x:c>
      <x:c r="H443" s="142" t="str">
        <x:v>No → usually not yet or needs more information; Yes → continue; Not sure → defer exact proof.</x:v>
      </x:c>
      <x:c r="I443" s="142" t="str">
        <x:v>Completion-dependent routes</x:v>
      </x:c>
      <x:c r="J443" s="142" t="str">
        <x:v>Exact details, if needed, are collected after account creation in packet completion.</x:v>
      </x:c>
      <x:c r="K443" s="142" t="str">
        <x:v>timing_and_completion</x:v>
      </x:c>
      <x:c r="L443" s="142" t="str">
        <x:v>normalized_free_check</x:v>
      </x:c>
      <x:c r="M443" s="56" t="str">
        <x:v>https://github.com/Roger-LegalEase/legalease-partner-dashboard-clean/blob/2f0ef0403f16e57544ad0bc86b2d1b1cd08861b3/src/lib/rcap-engine/compiled/profiles/VT-vermont.json</x:v>
      </x:c>
    </x:row>
    <x:row r="444">
      <x:c r="A444" s="55" t="str">
        <x:v>Vermont</x:v>
      </x:c>
      <x:c r="B444" s="142" t="str">
        <x:v>VT</x:v>
      </x:c>
      <x:c r="C444" s="142" t="n">
        <x:v>11</x:v>
      </x:c>
      <x:c r="D444" s="142" t="str">
        <x:v>Timing / completion</x:v>
      </x:c>
      <x:c r="E444" s="142" t="str">
        <x:v>About how long ago did this case end or get resolved?</x:v>
      </x:c>
      <x:c r="F444" s="142" t="str">
        <x:v>single_choice</x:v>
      </x:c>
      <x:c r="G444" s="142" t="str">
        <x:v>Ask only when at least one viable route has a waiting period.</x:v>
      </x:c>
      <x:c r="H444" s="142" t="str">
        <x:v>Uses an approximate band for a preliminary result; exact dates are collected later.</x:v>
      </x:c>
      <x:c r="I444" s="142" t="str">
        <x:v>Timing-dependent routes</x:v>
      </x:c>
      <x:c r="J444" s="142" t="str">
        <x:v>Exact details, if needed, are collected after account creation in packet completion.</x:v>
      </x:c>
      <x:c r="K444" s="142" t="str">
        <x:v>timing_and_completion</x:v>
      </x:c>
      <x:c r="L444" s="142" t="str">
        <x:v>normalized_free_check</x:v>
      </x:c>
      <x:c r="M444" s="56" t="str">
        <x:v>https://github.com/Roger-LegalEase/legalease-partner-dashboard-clean/blob/2f0ef0403f16e57544ad0bc86b2d1b1cd08861b3/src/lib/rcap-engine/compiled/profiles/VT-vermont.json</x:v>
      </x:c>
    </x:row>
    <x:row r="445">
      <x:c r="A445" s="55" t="str">
        <x:v>Washington</x:v>
      </x:c>
      <x:c r="B445" s="142" t="str">
        <x:v>WA</x:v>
      </x:c>
      <x:c r="C445" s="142" t="n">
        <x:v>1</x:v>
      </x:c>
      <x:c r="D445" s="142" t="str">
        <x:v>Scope</x:v>
      </x:c>
      <x:c r="E445" s="142" t="str">
        <x:v>Are you asking about your own record?</x:v>
      </x:c>
      <x:c r="F445" s="142" t="str">
        <x:v>single_choice</x:v>
      </x:c>
      <x:c r="G445" s="142" t="str">
        <x:v>Ask in every free check</x:v>
      </x:c>
      <x:c r="H445" s="142" t="str">
        <x:v>No → stop or redirect; Yes → continue.</x:v>
      </x:c>
      <x:c r="I445" s="142" t="str">
        <x:v>All routes</x:v>
      </x:c>
      <x:c r="J445" s="142" t="str">
        <x:v>Exact details, if needed, are collected after account creation in packet completion.</x:v>
      </x:c>
      <x:c r="K445" s="142" t="str">
        <x:v>scope</x:v>
      </x:c>
      <x:c r="L445" s="142" t="str">
        <x:v>shared_scope_boundary</x:v>
      </x:c>
      <x:c r="M445" s="56" t="str">
        <x:v>https://github.com/Roger-LegalEase/legalease-partner-dashboard-clean/blob/2f0ef0403f16e57544ad0bc86b2d1b1cd08861b3/src/lib/rcap-engine/compiled/profiles/WA-washington.json</x:v>
      </x:c>
    </x:row>
    <x:row r="446">
      <x:c r="A446" s="55" t="str">
        <x:v>Washington</x:v>
      </x:c>
      <x:c r="B446" s="142" t="str">
        <x:v>WA</x:v>
      </x:c>
      <x:c r="C446" s="142" t="n">
        <x:v>2</x:v>
      </x:c>
      <x:c r="D446" s="142" t="str">
        <x:v>Scope</x:v>
      </x:c>
      <x:c r="E446" s="142" t="str">
        <x:v>Is this a state or local matter from Washington, rather than a federal matter?</x:v>
      </x:c>
      <x:c r="F446" s="142" t="str">
        <x:v>single_choice</x:v>
      </x:c>
      <x:c r="G446" s="142" t="str">
        <x:v>Ask in every free check</x:v>
      </x:c>
      <x:c r="H446" s="142" t="str">
        <x:v>Federal or wrong-state matter → outside this state flow; state/local matter → continue.</x:v>
      </x:c>
      <x:c r="I446" s="142" t="str">
        <x:v>All routes</x:v>
      </x:c>
      <x:c r="J446" s="142" t="str">
        <x:v>Exact details, if needed, are collected after account creation in packet completion.</x:v>
      </x:c>
      <x:c r="K446" s="142" t="str">
        <x:v>scope</x:v>
      </x:c>
      <x:c r="L446" s="142" t="str">
        <x:v>shared_scope_boundary</x:v>
      </x:c>
      <x:c r="M446" s="56" t="str">
        <x:v>https://github.com/Roger-LegalEase/legalease-partner-dashboard-clean/blob/2f0ef0403f16e57544ad0bc86b2d1b1cd08861b3/src/lib/rcap-engine/compiled/profiles/WA-washington.json</x:v>
      </x:c>
    </x:row>
    <x:row r="447">
      <x:c r="A447" s="55" t="str">
        <x:v>Washington</x:v>
      </x:c>
      <x:c r="B447" s="142" t="str">
        <x:v>WA</x:v>
      </x:c>
      <x:c r="C447" s="142" t="n">
        <x:v>3</x:v>
      </x:c>
      <x:c r="D447" s="142" t="str">
        <x:v>Route identification</x:v>
      </x:c>
      <x:c r="E447" s="142" t="str">
        <x:v>How did the Washington case or record end?</x:v>
      </x:c>
      <x:c r="F447" s="142" t="str">
        <x:v>single_choice</x:v>
      </x:c>
      <x:c r="G447" s="142" t="str">
        <x:v>Ask after scope, before route-specific questions</x:v>
      </x:c>
      <x:c r="H447" s="142" t="str">
        <x:v>Splits nonconviction, conviction, diversion/deferred, juvenile, automatic, pardon, correction, and other route families.</x:v>
      </x:c>
      <x:c r="I447" s="142" t="str">
        <x:v>All routes</x:v>
      </x:c>
      <x:c r="J447" s="142" t="str">
        <x:v>Exact details, if needed, are collected after account creation in packet completion.</x:v>
      </x:c>
      <x:c r="K447" s="142" t="str">
        <x:v>pathway_routing</x:v>
      </x:c>
      <x:c r="L447" s="142" t="str">
        <x:v>state_case_outcome_rules</x:v>
      </x:c>
      <x:c r="M447" s="56" t="str">
        <x:v>https://github.com/Roger-LegalEase/legalease-partner-dashboard-clean/blob/2f0ef0403f16e57544ad0bc86b2d1b1cd08861b3/src/lib/rcap-engine/compiled/profiles/WA-washington.json</x:v>
      </x:c>
    </x:row>
    <x:row r="448">
      <x:c r="A448" s="55" t="str">
        <x:v>Washington</x:v>
      </x:c>
      <x:c r="B448" s="142" t="str">
        <x:v>WA</x:v>
      </x:c>
      <x:c r="C448" s="142" t="n">
        <x:v>4</x:v>
      </x:c>
      <x:c r="D448" s="142" t="str">
        <x:v>Route identification</x:v>
      </x:c>
      <x:c r="E448" s="142" t="str">
        <x:v>What level or type was the charge?</x:v>
      </x:c>
      <x:c r="F448" s="142" t="str">
        <x:v>single_choice</x:v>
      </x:c>
      <x:c r="G448" s="142" t="str">
        <x:v>Ask after scope, before route-specific questions</x:v>
      </x:c>
      <x:c r="H448" s="142" t="str">
        <x:v>Narrows offense-level routes, waiting-period bands, and obvious exclusions.</x:v>
      </x:c>
      <x:c r="I448" s="142" t="str">
        <x:v>All routes</x:v>
      </x:c>
      <x:c r="J448" s="142" t="str">
        <x:v>Exact details, if needed, are collected after account creation in packet completion.</x:v>
      </x:c>
      <x:c r="K448" s="142" t="str">
        <x:v>pathway_routing</x:v>
      </x:c>
      <x:c r="L448" s="142" t="str">
        <x:v>state_pathway_and_exclusion_rules</x:v>
      </x:c>
      <x:c r="M448" s="56" t="str">
        <x:v>https://github.com/Roger-LegalEase/legalease-partner-dashboard-clean/blob/2f0ef0403f16e57544ad0bc86b2d1b1cd08861b3/src/lib/rcap-engine/compiled/profiles/WA-washington.json</x:v>
      </x:c>
    </x:row>
    <x:row r="449">
      <x:c r="A449" s="55" t="str">
        <x:v>Washington</x:v>
      </x:c>
      <x:c r="B449" s="142" t="str">
        <x:v>WA</x:v>
      </x:c>
      <x:c r="C449" s="142" t="n">
        <x:v>5</x:v>
      </x:c>
      <x:c r="D449" s="142" t="str">
        <x:v>Route identification</x:v>
      </x:c>
      <x:c r="E449" s="142" t="str">
        <x:v>Do any of these Washington descriptions sound close to your situation?</x:v>
      </x:c>
      <x:c r="F449" s="142" t="str">
        <x:v>single_choice</x:v>
      </x:c>
      <x:c r="G449" s="142" t="str">
        <x:v>Ask after scope, before route-specific questions</x:v>
      </x:c>
      <x:c r="H449" s="142" t="str">
        <x:v>Lets the participant select a likely remedy or “not sure”; selection prunes unrelated route-specific questions.</x:v>
      </x:c>
      <x:c r="I449" s="142" t="str">
        <x:v>All routes</x:v>
      </x:c>
      <x:c r="J449" s="142" t="str">
        <x:v>Exact details, if needed, are collected after account creation in packet completion.</x:v>
      </x:c>
      <x:c r="K449" s="142" t="str">
        <x:v>pathway_routing</x:v>
      </x:c>
      <x:c r="L449" s="142" t="str">
        <x:v>curated_state_pathway_catalog_from_reference</x:v>
      </x:c>
      <x:c r="M449" s="56" t="str">
        <x:v>https://github.com/Roger-LegalEase/legalease-partner-dashboard-clean/blob/2f0ef0403f16e57544ad0bc86b2d1b1cd08861b3/src/lib/rcap-engine/compiled/profiles/WA-washington.json</x:v>
      </x:c>
    </x:row>
    <x:row r="450">
      <x:c r="A450" s="55" t="str">
        <x:v>Washington</x:v>
      </x:c>
      <x:c r="B450" s="142" t="str">
        <x:v>WA</x:v>
      </x:c>
      <x:c r="C450" s="142" t="n">
        <x:v>6</x:v>
      </x:c>
      <x:c r="D450" s="142" t="str">
        <x:v>Route identification</x:v>
      </x:c>
      <x:c r="E450" s="142" t="str">
        <x:v>How old were you when the offense or case began?</x:v>
      </x:c>
      <x:c r="F450" s="142" t="str">
        <x:v>number_or_range</x:v>
      </x:c>
      <x:c r="G450" s="142" t="str">
        <x:v>Ask only when adult-versus-juvenile or youthful-offender treatment may change the route.</x:v>
      </x:c>
      <x:c r="H450" s="142" t="str">
        <x:v>Routes to juvenile/youthful-offender logic or keeps the adult route.</x:v>
      </x:c>
      <x:c r="I450" s="142" t="str">
        <x:v>Age-sensitive routes</x:v>
      </x:c>
      <x:c r="J450" s="142" t="str">
        <x:v>Exact details, if needed, are collected after account creation in packet completion.</x:v>
      </x:c>
      <x:c r="K450" s="142" t="str">
        <x:v>pathway_routing</x:v>
      </x:c>
      <x:c r="L450" s="142" t="str">
        <x:v>derived_from_state_rule_fields</x:v>
      </x:c>
      <x:c r="M450" s="56" t="str">
        <x:v>https://github.com/Roger-LegalEase/legalease-partner-dashboard-clean/blob/2f0ef0403f16e57544ad0bc86b2d1b1cd08861b3/src/lib/rcap-engine/compiled/profiles/WA-washington.json</x:v>
      </x:c>
    </x:row>
    <x:row r="451">
      <x:c r="A451" s="55" t="str">
        <x:v>Washington</x:v>
      </x:c>
      <x:c r="B451" s="142" t="str">
        <x:v>WA</x:v>
      </x:c>
      <x:c r="C451" s="142" t="n">
        <x:v>7</x:v>
      </x:c>
      <x:c r="D451" s="142" t="str">
        <x:v>Special pathway</x:v>
      </x:c>
      <x:c r="E451" s="142" t="str">
        <x:v>Was this offense connected to your status as a human-trafficking or sex-trafficking survivor?</x:v>
      </x:c>
      <x:c r="F451" s="142" t="str">
        <x:v>yes_no_prefer_not_to_say</x:v>
      </x:c>
      <x:c r="G451" s="142" t="str">
        <x:v>Ask only while trafficking-survivor relief remains viable; allow “prefer not to say.”</x:v>
      </x:c>
      <x:c r="H451" s="142" t="str">
        <x:v>May open vacatur/expungement or review treatment.</x:v>
      </x:c>
      <x:c r="I451" s="142" t="str">
        <x:v>Trafficking-survivor routes</x:v>
      </x:c>
      <x:c r="J451" s="142" t="str">
        <x:v>Exact details, if needed, are collected after account creation in packet completion.</x:v>
      </x:c>
      <x:c r="K451" s="142" t="str">
        <x:v>special_pathways</x:v>
      </x:c>
      <x:c r="L451" s="142" t="str">
        <x:v>derived_from_state_rule_fields</x:v>
      </x:c>
      <x:c r="M451" s="56" t="str">
        <x:v>https://github.com/Roger-LegalEase/legalease-partner-dashboard-clean/blob/2f0ef0403f16e57544ad0bc86b2d1b1cd08861b3/src/lib/rcap-engine/compiled/profiles/WA-washington.json</x:v>
      </x:c>
    </x:row>
    <x:row r="452">
      <x:c r="A452" s="55" t="str">
        <x:v>Washington</x:v>
      </x:c>
      <x:c r="B452" s="142" t="str">
        <x:v>WA</x:v>
      </x:c>
      <x:c r="C452" s="142" t="n">
        <x:v>8</x:v>
      </x:c>
      <x:c r="D452" s="142" t="str">
        <x:v>Timing / completion</x:v>
      </x:c>
      <x:c r="E452" s="142" t="str">
        <x:v>Do you currently have any pending criminal charge, open case, probation, parole, or other supervision?</x:v>
      </x:c>
      <x:c r="F452" s="142" t="str">
        <x:v>yes_no_unsure</x:v>
      </x:c>
      <x:c r="G452" s="142" t="str">
        <x:v>Ask only when pending cases or active supervision can block the candidate route.</x:v>
      </x:c>
      <x:c r="H452" s="142" t="str">
        <x:v>Pending/open matter may produce not-yet, review, or a different route.</x:v>
      </x:c>
      <x:c r="I452" s="142" t="str">
        <x:v>Pending-case-sensitive routes</x:v>
      </x:c>
      <x:c r="J452" s="142" t="str">
        <x:v>Exact details, if needed, are collected after account creation in packet completion.</x:v>
      </x:c>
      <x:c r="K452" s="142" t="str">
        <x:v>timing_and_completion</x:v>
      </x:c>
      <x:c r="L452" s="142" t="str">
        <x:v>derived_from_state_rule_fields</x:v>
      </x:c>
      <x:c r="M452" s="56" t="str">
        <x:v>https://github.com/Roger-LegalEase/legalease-partner-dashboard-clean/blob/2f0ef0403f16e57544ad0bc86b2d1b1cd08861b3/src/lib/rcap-engine/compiled/profiles/WA-washington.json</x:v>
      </x:c>
    </x:row>
    <x:row r="453">
      <x:c r="A453" s="55" t="str">
        <x:v>Washington</x:v>
      </x:c>
      <x:c r="B453" s="142" t="str">
        <x:v>WA</x:v>
      </x:c>
      <x:c r="C453" s="142" t="n">
        <x:v>9</x:v>
      </x:c>
      <x:c r="D453" s="142" t="str">
        <x:v>Timing / completion</x:v>
      </x:c>
      <x:c r="E453" s="142" t="str">
        <x:v>Have you completed everything the court ordered in this case?</x:v>
      </x:c>
      <x:c r="F453" s="142" t="str">
        <x:v>single_choice</x:v>
      </x:c>
      <x:c r="G453" s="142" t="str">
        <x:v>Ask only when a viable route depends on sentence, supervision, program, restitution, or financial completion.</x:v>
      </x:c>
      <x:c r="H453" s="142" t="str">
        <x:v>No → usually not yet or needs more information; Yes → continue; Not sure → defer exact proof.</x:v>
      </x:c>
      <x:c r="I453" s="142" t="str">
        <x:v>Completion-dependent routes</x:v>
      </x:c>
      <x:c r="J453" s="142" t="str">
        <x:v>Exact details, if needed, are collected after account creation in packet completion.</x:v>
      </x:c>
      <x:c r="K453" s="142" t="str">
        <x:v>timing_and_completion</x:v>
      </x:c>
      <x:c r="L453" s="142" t="str">
        <x:v>normalized_free_check</x:v>
      </x:c>
      <x:c r="M453" s="56" t="str">
        <x:v>https://github.com/Roger-LegalEase/legalease-partner-dashboard-clean/blob/2f0ef0403f16e57544ad0bc86b2d1b1cd08861b3/src/lib/rcap-engine/compiled/profiles/WA-washington.json</x:v>
      </x:c>
    </x:row>
    <x:row r="454">
      <x:c r="A454" s="55" t="str">
        <x:v>Washington</x:v>
      </x:c>
      <x:c r="B454" s="142" t="str">
        <x:v>WA</x:v>
      </x:c>
      <x:c r="C454" s="142" t="n">
        <x:v>10</x:v>
      </x:c>
      <x:c r="D454" s="142" t="str">
        <x:v>Timing / completion</x:v>
      </x:c>
      <x:c r="E454" s="142" t="str">
        <x:v>About how long ago did this case end or get resolved?</x:v>
      </x:c>
      <x:c r="F454" s="142" t="str">
        <x:v>single_choice</x:v>
      </x:c>
      <x:c r="G454" s="142" t="str">
        <x:v>Ask only when at least one viable route has a waiting period.</x:v>
      </x:c>
      <x:c r="H454" s="142" t="str">
        <x:v>Uses an approximate band for a preliminary result; exact dates are collected later.</x:v>
      </x:c>
      <x:c r="I454" s="142" t="str">
        <x:v>Timing-dependent routes</x:v>
      </x:c>
      <x:c r="J454" s="142" t="str">
        <x:v>Exact details, if needed, are collected after account creation in packet completion.</x:v>
      </x:c>
      <x:c r="K454" s="142" t="str">
        <x:v>timing_and_completion</x:v>
      </x:c>
      <x:c r="L454" s="142" t="str">
        <x:v>normalized_free_check</x:v>
      </x:c>
      <x:c r="M454" s="56" t="str">
        <x:v>https://github.com/Roger-LegalEase/legalease-partner-dashboard-clean/blob/2f0ef0403f16e57544ad0bc86b2d1b1cd08861b3/src/lib/rcap-engine/compiled/profiles/WA-washington.json</x:v>
      </x:c>
    </x:row>
    <x:row r="455">
      <x:c r="A455" s="55" t="str">
        <x:v>Wisconsin</x:v>
      </x:c>
      <x:c r="B455" s="142" t="str">
        <x:v>WI</x:v>
      </x:c>
      <x:c r="C455" s="142" t="n">
        <x:v>1</x:v>
      </x:c>
      <x:c r="D455" s="142" t="str">
        <x:v>Scope</x:v>
      </x:c>
      <x:c r="E455" s="142" t="str">
        <x:v>Are you asking about your own record?</x:v>
      </x:c>
      <x:c r="F455" s="142" t="str">
        <x:v>single_choice</x:v>
      </x:c>
      <x:c r="G455" s="142" t="str">
        <x:v>Ask in every free check</x:v>
      </x:c>
      <x:c r="H455" s="142" t="str">
        <x:v>No → stop or redirect; Yes → continue.</x:v>
      </x:c>
      <x:c r="I455" s="142" t="str">
        <x:v>All routes</x:v>
      </x:c>
      <x:c r="J455" s="142" t="str">
        <x:v>Exact details, if needed, are collected after account creation in packet completion.</x:v>
      </x:c>
      <x:c r="K455" s="142" t="str">
        <x:v>scope</x:v>
      </x:c>
      <x:c r="L455" s="142" t="str">
        <x:v>shared_scope_boundary</x:v>
      </x:c>
      <x:c r="M455" s="56" t="str">
        <x:v>https://github.com/Roger-LegalEase/legalease-partner-dashboard-clean/blob/2f0ef0403f16e57544ad0bc86b2d1b1cd08861b3/src/lib/rcap-engine/compiled/profiles/WI-wisconsin.json</x:v>
      </x:c>
    </x:row>
    <x:row r="456">
      <x:c r="A456" s="55" t="str">
        <x:v>Wisconsin</x:v>
      </x:c>
      <x:c r="B456" s="142" t="str">
        <x:v>WI</x:v>
      </x:c>
      <x:c r="C456" s="142" t="n">
        <x:v>2</x:v>
      </x:c>
      <x:c r="D456" s="142" t="str">
        <x:v>Scope</x:v>
      </x:c>
      <x:c r="E456" s="142" t="str">
        <x:v>Is this a state or local matter from Wisconsin, rather than a federal matter?</x:v>
      </x:c>
      <x:c r="F456" s="142" t="str">
        <x:v>single_choice</x:v>
      </x:c>
      <x:c r="G456" s="142" t="str">
        <x:v>Ask in every free check</x:v>
      </x:c>
      <x:c r="H456" s="142" t="str">
        <x:v>Federal or wrong-state matter → outside this state flow; state/local matter → continue.</x:v>
      </x:c>
      <x:c r="I456" s="142" t="str">
        <x:v>All routes</x:v>
      </x:c>
      <x:c r="J456" s="142" t="str">
        <x:v>Exact details, if needed, are collected after account creation in packet completion.</x:v>
      </x:c>
      <x:c r="K456" s="142" t="str">
        <x:v>scope</x:v>
      </x:c>
      <x:c r="L456" s="142" t="str">
        <x:v>shared_scope_boundary</x:v>
      </x:c>
      <x:c r="M456" s="56" t="str">
        <x:v>https://github.com/Roger-LegalEase/legalease-partner-dashboard-clean/blob/2f0ef0403f16e57544ad0bc86b2d1b1cd08861b3/src/lib/rcap-engine/compiled/profiles/WI-wisconsin.json</x:v>
      </x:c>
    </x:row>
    <x:row r="457">
      <x:c r="A457" s="55" t="str">
        <x:v>Wisconsin</x:v>
      </x:c>
      <x:c r="B457" s="142" t="str">
        <x:v>WI</x:v>
      </x:c>
      <x:c r="C457" s="142" t="n">
        <x:v>3</x:v>
      </x:c>
      <x:c r="D457" s="142" t="str">
        <x:v>Route identification</x:v>
      </x:c>
      <x:c r="E457" s="142" t="str">
        <x:v>How did the Wisconsin case or record end?</x:v>
      </x:c>
      <x:c r="F457" s="142" t="str">
        <x:v>single_choice</x:v>
      </x:c>
      <x:c r="G457" s="142" t="str">
        <x:v>Ask after scope, before route-specific questions</x:v>
      </x:c>
      <x:c r="H457" s="142" t="str">
        <x:v>Splits nonconviction, conviction, diversion/deferred, juvenile, automatic, pardon, correction, and other route families.</x:v>
      </x:c>
      <x:c r="I457" s="142" t="str">
        <x:v>All routes</x:v>
      </x:c>
      <x:c r="J457" s="142" t="str">
        <x:v>Exact details, if needed, are collected after account creation in packet completion.</x:v>
      </x:c>
      <x:c r="K457" s="142" t="str">
        <x:v>pathway_routing</x:v>
      </x:c>
      <x:c r="L457" s="142" t="str">
        <x:v>state_case_outcome_rules</x:v>
      </x:c>
      <x:c r="M457" s="56" t="str">
        <x:v>https://github.com/Roger-LegalEase/legalease-partner-dashboard-clean/blob/2f0ef0403f16e57544ad0bc86b2d1b1cd08861b3/src/lib/rcap-engine/compiled/profiles/WI-wisconsin.json</x:v>
      </x:c>
    </x:row>
    <x:row r="458">
      <x:c r="A458" s="55" t="str">
        <x:v>Wisconsin</x:v>
      </x:c>
      <x:c r="B458" s="142" t="str">
        <x:v>WI</x:v>
      </x:c>
      <x:c r="C458" s="142" t="n">
        <x:v>4</x:v>
      </x:c>
      <x:c r="D458" s="142" t="str">
        <x:v>Route identification</x:v>
      </x:c>
      <x:c r="E458" s="142" t="str">
        <x:v>What level or type was the charge?</x:v>
      </x:c>
      <x:c r="F458" s="142" t="str">
        <x:v>single_choice</x:v>
      </x:c>
      <x:c r="G458" s="142" t="str">
        <x:v>Ask after scope, before route-specific questions</x:v>
      </x:c>
      <x:c r="H458" s="142" t="str">
        <x:v>Narrows offense-level routes, waiting-period bands, and obvious exclusions.</x:v>
      </x:c>
      <x:c r="I458" s="142" t="str">
        <x:v>All routes</x:v>
      </x:c>
      <x:c r="J458" s="142" t="str">
        <x:v>Exact details, if needed, are collected after account creation in packet completion.</x:v>
      </x:c>
      <x:c r="K458" s="142" t="str">
        <x:v>pathway_routing</x:v>
      </x:c>
      <x:c r="L458" s="142" t="str">
        <x:v>state_pathway_and_exclusion_rules</x:v>
      </x:c>
      <x:c r="M458" s="56" t="str">
        <x:v>https://github.com/Roger-LegalEase/legalease-partner-dashboard-clean/blob/2f0ef0403f16e57544ad0bc86b2d1b1cd08861b3/src/lib/rcap-engine/compiled/profiles/WI-wisconsin.json</x:v>
      </x:c>
    </x:row>
    <x:row r="459">
      <x:c r="A459" s="55" t="str">
        <x:v>Wisconsin</x:v>
      </x:c>
      <x:c r="B459" s="142" t="str">
        <x:v>WI</x:v>
      </x:c>
      <x:c r="C459" s="142" t="n">
        <x:v>5</x:v>
      </x:c>
      <x:c r="D459" s="142" t="str">
        <x:v>Route identification</x:v>
      </x:c>
      <x:c r="E459" s="142" t="str">
        <x:v>Do any of these Wisconsin descriptions sound close to your situation?</x:v>
      </x:c>
      <x:c r="F459" s="142" t="str">
        <x:v>single_choice</x:v>
      </x:c>
      <x:c r="G459" s="142" t="str">
        <x:v>Ask after scope, before route-specific questions</x:v>
      </x:c>
      <x:c r="H459" s="142" t="str">
        <x:v>Lets the participant select a likely remedy or “not sure”; selection prunes unrelated route-specific questions.</x:v>
      </x:c>
      <x:c r="I459" s="142" t="str">
        <x:v>All routes</x:v>
      </x:c>
      <x:c r="J459" s="142" t="str">
        <x:v>Exact details, if needed, are collected after account creation in packet completion.</x:v>
      </x:c>
      <x:c r="K459" s="142" t="str">
        <x:v>pathway_routing</x:v>
      </x:c>
      <x:c r="L459" s="142" t="str">
        <x:v>curated_state_pathway_catalog_from_reference</x:v>
      </x:c>
      <x:c r="M459" s="56" t="str">
        <x:v>https://github.com/Roger-LegalEase/legalease-partner-dashboard-clean/blob/2f0ef0403f16e57544ad0bc86b2d1b1cd08861b3/src/lib/rcap-engine/compiled/profiles/WI-wisconsin.json</x:v>
      </x:c>
    </x:row>
    <x:row r="460">
      <x:c r="A460" s="55" t="str">
        <x:v>Wisconsin</x:v>
      </x:c>
      <x:c r="B460" s="142" t="str">
        <x:v>WI</x:v>
      </x:c>
      <x:c r="C460" s="142" t="n">
        <x:v>6</x:v>
      </x:c>
      <x:c r="D460" s="142" t="str">
        <x:v>Route identification</x:v>
      </x:c>
      <x:c r="E460" s="142" t="str">
        <x:v>How old were you when the offense or case began?</x:v>
      </x:c>
      <x:c r="F460" s="142" t="str">
        <x:v>number_or_range</x:v>
      </x:c>
      <x:c r="G460" s="142" t="str">
        <x:v>Ask only when adult-versus-juvenile or youthful-offender treatment may change the route.</x:v>
      </x:c>
      <x:c r="H460" s="142" t="str">
        <x:v>Routes to juvenile/youthful-offender logic or keeps the adult route.</x:v>
      </x:c>
      <x:c r="I460" s="142" t="str">
        <x:v>Age-sensitive routes</x:v>
      </x:c>
      <x:c r="J460" s="142" t="str">
        <x:v>Exact details, if needed, are collected after account creation in packet completion.</x:v>
      </x:c>
      <x:c r="K460" s="142" t="str">
        <x:v>pathway_routing</x:v>
      </x:c>
      <x:c r="L460" s="142" t="str">
        <x:v>derived_from_state_rule_fields</x:v>
      </x:c>
      <x:c r="M460" s="56" t="str">
        <x:v>https://github.com/Roger-LegalEase/legalease-partner-dashboard-clean/blob/2f0ef0403f16e57544ad0bc86b2d1b1cd08861b3/src/lib/rcap-engine/compiled/profiles/WI-wisconsin.json</x:v>
      </x:c>
    </x:row>
    <x:row r="461">
      <x:c r="A461" s="55" t="str">
        <x:v>Wisconsin</x:v>
      </x:c>
      <x:c r="B461" s="142" t="str">
        <x:v>WI</x:v>
      </x:c>
      <x:c r="C461" s="142" t="n">
        <x:v>7</x:v>
      </x:c>
      <x:c r="D461" s="142" t="str">
        <x:v>Special pathway</x:v>
      </x:c>
      <x:c r="E461" s="142" t="str">
        <x:v>Was this offense connected to your status as a human-trafficking or sex-trafficking survivor?</x:v>
      </x:c>
      <x:c r="F461" s="142" t="str">
        <x:v>yes_no_prefer_not_to_say</x:v>
      </x:c>
      <x:c r="G461" s="142" t="str">
        <x:v>Ask only while trafficking-survivor relief remains viable; allow “prefer not to say.”</x:v>
      </x:c>
      <x:c r="H461" s="142" t="str">
        <x:v>May open vacatur/expungement or review treatment.</x:v>
      </x:c>
      <x:c r="I461" s="142" t="str">
        <x:v>Trafficking-survivor routes</x:v>
      </x:c>
      <x:c r="J461" s="142" t="str">
        <x:v>Exact details, if needed, are collected after account creation in packet completion.</x:v>
      </x:c>
      <x:c r="K461" s="142" t="str">
        <x:v>special_pathways</x:v>
      </x:c>
      <x:c r="L461" s="142" t="str">
        <x:v>derived_from_state_rule_fields</x:v>
      </x:c>
      <x:c r="M461" s="56" t="str">
        <x:v>https://github.com/Roger-LegalEase/legalease-partner-dashboard-clean/blob/2f0ef0403f16e57544ad0bc86b2d1b1cd08861b3/src/lib/rcap-engine/compiled/profiles/WI-wisconsin.json</x:v>
      </x:c>
    </x:row>
    <x:row r="462">
      <x:c r="A462" s="55" t="str">
        <x:v>Wisconsin</x:v>
      </x:c>
      <x:c r="B462" s="142" t="str">
        <x:v>WI</x:v>
      </x:c>
      <x:c r="C462" s="142" t="n">
        <x:v>8</x:v>
      </x:c>
      <x:c r="D462" s="142" t="str">
        <x:v>Special pathway</x:v>
      </x:c>
      <x:c r="E462" s="142" t="str">
        <x:v>Have you received a pardon, certificate of rehabilitation, or similar executive relief for this conviction?</x:v>
      </x:c>
      <x:c r="F462" s="142" t="str">
        <x:v>yes_no_unsure</x:v>
      </x:c>
      <x:c r="G462" s="142" t="str">
        <x:v>Ask only while a pardon or executive-relief route remains viable.</x:v>
      </x:c>
      <x:c r="H462" s="142" t="str">
        <x:v>Yes may open a pardon-based route; No preserves ordinary routes; Not sure defers proof.</x:v>
      </x:c>
      <x:c r="I462" s="142" t="str">
        <x:v>Pardon / executive-relief routes</x:v>
      </x:c>
      <x:c r="J462" s="142" t="str">
        <x:v>Exact details, if needed, are collected after account creation in packet completion.</x:v>
      </x:c>
      <x:c r="K462" s="142" t="str">
        <x:v>special_pathways</x:v>
      </x:c>
      <x:c r="L462" s="142" t="str">
        <x:v>derived_from_state_rule_fields</x:v>
      </x:c>
      <x:c r="M462" s="56" t="str">
        <x:v>https://github.com/Roger-LegalEase/legalease-partner-dashboard-clean/blob/2f0ef0403f16e57544ad0bc86b2d1b1cd08861b3/src/lib/rcap-engine/compiled/profiles/WI-wisconsin.json</x:v>
      </x:c>
    </x:row>
    <x:row r="463">
      <x:c r="A463" s="55" t="str">
        <x:v>Wisconsin</x:v>
      </x:c>
      <x:c r="B463" s="142" t="str">
        <x:v>WI</x:v>
      </x:c>
      <x:c r="C463" s="142" t="n">
        <x:v>9</x:v>
      </x:c>
      <x:c r="D463" s="142" t="str">
        <x:v>Timing / completion</x:v>
      </x:c>
      <x:c r="E463" s="142" t="str">
        <x:v>Have you completed everything the court ordered in this case?</x:v>
      </x:c>
      <x:c r="F463" s="142" t="str">
        <x:v>single_choice</x:v>
      </x:c>
      <x:c r="G463" s="142" t="str">
        <x:v>Ask only when a viable route depends on sentence, supervision, program, restitution, or financial completion.</x:v>
      </x:c>
      <x:c r="H463" s="142" t="str">
        <x:v>No → usually not yet or needs more information; Yes → continue; Not sure → defer exact proof.</x:v>
      </x:c>
      <x:c r="I463" s="142" t="str">
        <x:v>Completion-dependent routes</x:v>
      </x:c>
      <x:c r="J463" s="142" t="str">
        <x:v>Exact details, if needed, are collected after account creation in packet completion.</x:v>
      </x:c>
      <x:c r="K463" s="142" t="str">
        <x:v>timing_and_completion</x:v>
      </x:c>
      <x:c r="L463" s="142" t="str">
        <x:v>normalized_free_check</x:v>
      </x:c>
      <x:c r="M463" s="56" t="str">
        <x:v>https://github.com/Roger-LegalEase/legalease-partner-dashboard-clean/blob/2f0ef0403f16e57544ad0bc86b2d1b1cd08861b3/src/lib/rcap-engine/compiled/profiles/WI-wisconsin.json</x:v>
      </x:c>
    </x:row>
    <x:row r="464">
      <x:c r="A464" s="55" t="str">
        <x:v>Wisconsin</x:v>
      </x:c>
      <x:c r="B464" s="142" t="str">
        <x:v>WI</x:v>
      </x:c>
      <x:c r="C464" s="142" t="n">
        <x:v>10</x:v>
      </x:c>
      <x:c r="D464" s="142" t="str">
        <x:v>Timing / completion</x:v>
      </x:c>
      <x:c r="E464" s="142" t="str">
        <x:v>About how long ago did this case end or get resolved?</x:v>
      </x:c>
      <x:c r="F464" s="142" t="str">
        <x:v>single_choice</x:v>
      </x:c>
      <x:c r="G464" s="142" t="str">
        <x:v>Ask only when at least one viable route has a waiting period.</x:v>
      </x:c>
      <x:c r="H464" s="142" t="str">
        <x:v>Uses an approximate band for a preliminary result; exact dates are collected later.</x:v>
      </x:c>
      <x:c r="I464" s="142" t="str">
        <x:v>Timing-dependent routes</x:v>
      </x:c>
      <x:c r="J464" s="142" t="str">
        <x:v>Exact details, if needed, are collected after account creation in packet completion.</x:v>
      </x:c>
      <x:c r="K464" s="142" t="str">
        <x:v>timing_and_completion</x:v>
      </x:c>
      <x:c r="L464" s="142" t="str">
        <x:v>normalized_free_check</x:v>
      </x:c>
      <x:c r="M464" s="56" t="str">
        <x:v>https://github.com/Roger-LegalEase/legalease-partner-dashboard-clean/blob/2f0ef0403f16e57544ad0bc86b2d1b1cd08861b3/src/lib/rcap-engine/compiled/profiles/WI-wisconsin.json</x:v>
      </x:c>
    </x:row>
    <x:row r="465">
      <x:c r="A465" s="55" t="str">
        <x:v>West Virginia</x:v>
      </x:c>
      <x:c r="B465" s="142" t="str">
        <x:v>WV</x:v>
      </x:c>
      <x:c r="C465" s="142" t="n">
        <x:v>1</x:v>
      </x:c>
      <x:c r="D465" s="142" t="str">
        <x:v>Scope</x:v>
      </x:c>
      <x:c r="E465" s="142" t="str">
        <x:v>Are you asking about your own record?</x:v>
      </x:c>
      <x:c r="F465" s="142" t="str">
        <x:v>single_choice</x:v>
      </x:c>
      <x:c r="G465" s="142" t="str">
        <x:v>Ask in every free check</x:v>
      </x:c>
      <x:c r="H465" s="142" t="str">
        <x:v>No → stop or redirect; Yes → continue.</x:v>
      </x:c>
      <x:c r="I465" s="142" t="str">
        <x:v>All routes</x:v>
      </x:c>
      <x:c r="J465" s="142" t="str">
        <x:v>Exact details, if needed, are collected after account creation in packet completion.</x:v>
      </x:c>
      <x:c r="K465" s="142" t="str">
        <x:v>scope</x:v>
      </x:c>
      <x:c r="L465" s="142" t="str">
        <x:v>shared_scope_boundary</x:v>
      </x:c>
      <x:c r="M465" s="56" t="str">
        <x:v>https://github.com/Roger-LegalEase/legalease-partner-dashboard-clean/blob/2f0ef0403f16e57544ad0bc86b2d1b1cd08861b3/src/lib/rcap-engine/compiled/profiles/WV-west-virginia.json</x:v>
      </x:c>
    </x:row>
    <x:row r="466">
      <x:c r="A466" s="55" t="str">
        <x:v>West Virginia</x:v>
      </x:c>
      <x:c r="B466" s="142" t="str">
        <x:v>WV</x:v>
      </x:c>
      <x:c r="C466" s="142" t="n">
        <x:v>2</x:v>
      </x:c>
      <x:c r="D466" s="142" t="str">
        <x:v>Scope</x:v>
      </x:c>
      <x:c r="E466" s="142" t="str">
        <x:v>Is this a state or local matter from West Virginia, rather than a federal matter?</x:v>
      </x:c>
      <x:c r="F466" s="142" t="str">
        <x:v>single_choice</x:v>
      </x:c>
      <x:c r="G466" s="142" t="str">
        <x:v>Ask in every free check</x:v>
      </x:c>
      <x:c r="H466" s="142" t="str">
        <x:v>Federal or wrong-state matter → outside this state flow; state/local matter → continue.</x:v>
      </x:c>
      <x:c r="I466" s="142" t="str">
        <x:v>All routes</x:v>
      </x:c>
      <x:c r="J466" s="142" t="str">
        <x:v>Exact details, if needed, are collected after account creation in packet completion.</x:v>
      </x:c>
      <x:c r="K466" s="142" t="str">
        <x:v>scope</x:v>
      </x:c>
      <x:c r="L466" s="142" t="str">
        <x:v>shared_scope_boundary</x:v>
      </x:c>
      <x:c r="M466" s="56" t="str">
        <x:v>https://github.com/Roger-LegalEase/legalease-partner-dashboard-clean/blob/2f0ef0403f16e57544ad0bc86b2d1b1cd08861b3/src/lib/rcap-engine/compiled/profiles/WV-west-virginia.json</x:v>
      </x:c>
    </x:row>
    <x:row r="467">
      <x:c r="A467" s="55" t="str">
        <x:v>West Virginia</x:v>
      </x:c>
      <x:c r="B467" s="142" t="str">
        <x:v>WV</x:v>
      </x:c>
      <x:c r="C467" s="142" t="n">
        <x:v>3</x:v>
      </x:c>
      <x:c r="D467" s="142" t="str">
        <x:v>Route identification</x:v>
      </x:c>
      <x:c r="E467" s="142" t="str">
        <x:v>How did the West Virginia case or record end?</x:v>
      </x:c>
      <x:c r="F467" s="142" t="str">
        <x:v>single_choice</x:v>
      </x:c>
      <x:c r="G467" s="142" t="str">
        <x:v>Ask after scope, before route-specific questions</x:v>
      </x:c>
      <x:c r="H467" s="142" t="str">
        <x:v>Splits nonconviction, conviction, diversion/deferred, juvenile, automatic, pardon, correction, and other route families.</x:v>
      </x:c>
      <x:c r="I467" s="142" t="str">
        <x:v>All routes</x:v>
      </x:c>
      <x:c r="J467" s="142" t="str">
        <x:v>Exact details, if needed, are collected after account creation in packet completion.</x:v>
      </x:c>
      <x:c r="K467" s="142" t="str">
        <x:v>pathway_routing</x:v>
      </x:c>
      <x:c r="L467" s="142" t="str">
        <x:v>state_case_outcome_rules</x:v>
      </x:c>
      <x:c r="M467" s="56" t="str">
        <x:v>https://github.com/Roger-LegalEase/legalease-partner-dashboard-clean/blob/2f0ef0403f16e57544ad0bc86b2d1b1cd08861b3/src/lib/rcap-engine/compiled/profiles/WV-west-virginia.json</x:v>
      </x:c>
    </x:row>
    <x:row r="468">
      <x:c r="A468" s="55" t="str">
        <x:v>West Virginia</x:v>
      </x:c>
      <x:c r="B468" s="142" t="str">
        <x:v>WV</x:v>
      </x:c>
      <x:c r="C468" s="142" t="n">
        <x:v>4</x:v>
      </x:c>
      <x:c r="D468" s="142" t="str">
        <x:v>Route identification</x:v>
      </x:c>
      <x:c r="E468" s="142" t="str">
        <x:v>What level or type was the charge?</x:v>
      </x:c>
      <x:c r="F468" s="142" t="str">
        <x:v>single_choice</x:v>
      </x:c>
      <x:c r="G468" s="142" t="str">
        <x:v>Ask after scope, before route-specific questions</x:v>
      </x:c>
      <x:c r="H468" s="142" t="str">
        <x:v>Narrows offense-level routes, waiting-period bands, and obvious exclusions.</x:v>
      </x:c>
      <x:c r="I468" s="142" t="str">
        <x:v>All routes</x:v>
      </x:c>
      <x:c r="J468" s="142" t="str">
        <x:v>Exact details, if needed, are collected after account creation in packet completion.</x:v>
      </x:c>
      <x:c r="K468" s="142" t="str">
        <x:v>pathway_routing</x:v>
      </x:c>
      <x:c r="L468" s="142" t="str">
        <x:v>state_pathway_and_exclusion_rules</x:v>
      </x:c>
      <x:c r="M468" s="56" t="str">
        <x:v>https://github.com/Roger-LegalEase/legalease-partner-dashboard-clean/blob/2f0ef0403f16e57544ad0bc86b2d1b1cd08861b3/src/lib/rcap-engine/compiled/profiles/WV-west-virginia.json</x:v>
      </x:c>
    </x:row>
    <x:row r="469">
      <x:c r="A469" s="55" t="str">
        <x:v>West Virginia</x:v>
      </x:c>
      <x:c r="B469" s="142" t="str">
        <x:v>WV</x:v>
      </x:c>
      <x:c r="C469" s="142" t="n">
        <x:v>5</x:v>
      </x:c>
      <x:c r="D469" s="142" t="str">
        <x:v>Route identification</x:v>
      </x:c>
      <x:c r="E469" s="142" t="str">
        <x:v>Do any of these West Virginia descriptions sound close to your situation?</x:v>
      </x:c>
      <x:c r="F469" s="142" t="str">
        <x:v>single_choice</x:v>
      </x:c>
      <x:c r="G469" s="142" t="str">
        <x:v>Ask after scope, before route-specific questions</x:v>
      </x:c>
      <x:c r="H469" s="142" t="str">
        <x:v>Lets the participant select a likely remedy or “not sure”; selection prunes unrelated route-specific questions.</x:v>
      </x:c>
      <x:c r="I469" s="142" t="str">
        <x:v>All routes</x:v>
      </x:c>
      <x:c r="J469" s="142" t="str">
        <x:v>Exact details, if needed, are collected after account creation in packet completion.</x:v>
      </x:c>
      <x:c r="K469" s="142" t="str">
        <x:v>pathway_routing</x:v>
      </x:c>
      <x:c r="L469" s="142" t="str">
        <x:v>curated_state_pathway_catalog_from_reference</x:v>
      </x:c>
      <x:c r="M469" s="56" t="str">
        <x:v>https://github.com/Roger-LegalEase/legalease-partner-dashboard-clean/blob/2f0ef0403f16e57544ad0bc86b2d1b1cd08861b3/src/lib/rcap-engine/compiled/profiles/WV-west-virginia.json</x:v>
      </x:c>
    </x:row>
    <x:row r="470">
      <x:c r="A470" s="55" t="str">
        <x:v>West Virginia</x:v>
      </x:c>
      <x:c r="B470" s="142" t="str">
        <x:v>WV</x:v>
      </x:c>
      <x:c r="C470" s="142" t="n">
        <x:v>6</x:v>
      </x:c>
      <x:c r="D470" s="142" t="str">
        <x:v>Route identification</x:v>
      </x:c>
      <x:c r="E470" s="142" t="str">
        <x:v>How old were you when the offense or case began?</x:v>
      </x:c>
      <x:c r="F470" s="142" t="str">
        <x:v>number_or_range</x:v>
      </x:c>
      <x:c r="G470" s="142" t="str">
        <x:v>Ask only when adult-versus-juvenile or youthful-offender treatment may change the route.</x:v>
      </x:c>
      <x:c r="H470" s="142" t="str">
        <x:v>Routes to juvenile/youthful-offender logic or keeps the adult route.</x:v>
      </x:c>
      <x:c r="I470" s="142" t="str">
        <x:v>Age-sensitive routes</x:v>
      </x:c>
      <x:c r="J470" s="142" t="str">
        <x:v>Exact details, if needed, are collected after account creation in packet completion.</x:v>
      </x:c>
      <x:c r="K470" s="142" t="str">
        <x:v>pathway_routing</x:v>
      </x:c>
      <x:c r="L470" s="142" t="str">
        <x:v>derived_from_state_rule_fields</x:v>
      </x:c>
      <x:c r="M470" s="56" t="str">
        <x:v>https://github.com/Roger-LegalEase/legalease-partner-dashboard-clean/blob/2f0ef0403f16e57544ad0bc86b2d1b1cd08861b3/src/lib/rcap-engine/compiled/profiles/WV-west-virginia.json</x:v>
      </x:c>
    </x:row>
    <x:row r="471">
      <x:c r="A471" s="55" t="str">
        <x:v>West Virginia</x:v>
      </x:c>
      <x:c r="B471" s="142" t="str">
        <x:v>WV</x:v>
      </x:c>
      <x:c r="C471" s="142" t="n">
        <x:v>7</x:v>
      </x:c>
      <x:c r="D471" s="142" t="str">
        <x:v>State-specific eligibility</x:v>
      </x:c>
      <x:c r="E471" s="142" t="str">
        <x:v>Have you previously received record-clearing relief in West Virginia or elsewhere?</x:v>
      </x:c>
      <x:c r="F471" s="142" t="str">
        <x:v>yes_no_unsure</x:v>
      </x:c>
      <x:c r="G471" s="142" t="str">
        <x:v>Ask only when prior use of relief affects the candidate route.</x:v>
      </x:c>
      <x:c r="H471" s="142" t="str">
        <x:v>Prior relief may limit the route, change the packet, or require review.</x:v>
      </x:c>
      <x:c r="I471" s="142" t="str">
        <x:v>Prior-relief-limited routes</x:v>
      </x:c>
      <x:c r="J471" s="142" t="str">
        <x:v>Exact details, if needed, are collected after account creation in packet completion.</x:v>
      </x:c>
      <x:c r="K471" s="142" t="str">
        <x:v>state_specific_eligibility</x:v>
      </x:c>
      <x:c r="L471" s="142" t="str">
        <x:v>derived_from_state_rule_fields</x:v>
      </x:c>
      <x:c r="M471" s="56" t="str">
        <x:v>https://github.com/Roger-LegalEase/legalease-partner-dashboard-clean/blob/2f0ef0403f16e57544ad0bc86b2d1b1cd08861b3/src/lib/rcap-engine/compiled/profiles/WV-west-virginia.json</x:v>
      </x:c>
    </x:row>
    <x:row r="472">
      <x:c r="A472" s="55" t="str">
        <x:v>West Virginia</x:v>
      </x:c>
      <x:c r="B472" s="142" t="str">
        <x:v>WV</x:v>
      </x:c>
      <x:c r="C472" s="142" t="n">
        <x:v>8</x:v>
      </x:c>
      <x:c r="D472" s="142" t="str">
        <x:v>Special pathway</x:v>
      </x:c>
      <x:c r="E472" s="142" t="str">
        <x:v>Was this offense connected to your status as a human-trafficking or sex-trafficking survivor?</x:v>
      </x:c>
      <x:c r="F472" s="142" t="str">
        <x:v>yes_no_prefer_not_to_say</x:v>
      </x:c>
      <x:c r="G472" s="142" t="str">
        <x:v>Ask only while trafficking-survivor relief remains viable; allow “prefer not to say.”</x:v>
      </x:c>
      <x:c r="H472" s="142" t="str">
        <x:v>May open vacatur/expungement or review treatment.</x:v>
      </x:c>
      <x:c r="I472" s="142" t="str">
        <x:v>Trafficking-survivor routes</x:v>
      </x:c>
      <x:c r="J472" s="142" t="str">
        <x:v>Exact details, if needed, are collected after account creation in packet completion.</x:v>
      </x:c>
      <x:c r="K472" s="142" t="str">
        <x:v>special_pathways</x:v>
      </x:c>
      <x:c r="L472" s="142" t="str">
        <x:v>derived_from_state_rule_fields</x:v>
      </x:c>
      <x:c r="M472" s="56" t="str">
        <x:v>https://github.com/Roger-LegalEase/legalease-partner-dashboard-clean/blob/2f0ef0403f16e57544ad0bc86b2d1b1cd08861b3/src/lib/rcap-engine/compiled/profiles/WV-west-virginia.json</x:v>
      </x:c>
    </x:row>
    <x:row r="473">
      <x:c r="A473" s="55" t="str">
        <x:v>West Virginia</x:v>
      </x:c>
      <x:c r="B473" s="142" t="str">
        <x:v>WV</x:v>
      </x:c>
      <x:c r="C473" s="142" t="n">
        <x:v>9</x:v>
      </x:c>
      <x:c r="D473" s="142" t="str">
        <x:v>Special pathway</x:v>
      </x:c>
      <x:c r="E473" s="142" t="str">
        <x:v>Have you received a pardon, certificate of rehabilitation, or similar executive relief for this conviction?</x:v>
      </x:c>
      <x:c r="F473" s="142" t="str">
        <x:v>yes_no_unsure</x:v>
      </x:c>
      <x:c r="G473" s="142" t="str">
        <x:v>Ask only while a pardon or executive-relief route remains viable.</x:v>
      </x:c>
      <x:c r="H473" s="142" t="str">
        <x:v>Yes may open a pardon-based route; No preserves ordinary routes; Not sure defers proof.</x:v>
      </x:c>
      <x:c r="I473" s="142" t="str">
        <x:v>Pardon / executive-relief routes</x:v>
      </x:c>
      <x:c r="J473" s="142" t="str">
        <x:v>Exact details, if needed, are collected after account creation in packet completion.</x:v>
      </x:c>
      <x:c r="K473" s="142" t="str">
        <x:v>special_pathways</x:v>
      </x:c>
      <x:c r="L473" s="142" t="str">
        <x:v>derived_from_state_rule_fields</x:v>
      </x:c>
      <x:c r="M473" s="56" t="str">
        <x:v>https://github.com/Roger-LegalEase/legalease-partner-dashboard-clean/blob/2f0ef0403f16e57544ad0bc86b2d1b1cd08861b3/src/lib/rcap-engine/compiled/profiles/WV-west-virginia.json</x:v>
      </x:c>
    </x:row>
    <x:row r="474">
      <x:c r="A474" s="55" t="str">
        <x:v>West Virginia</x:v>
      </x:c>
      <x:c r="B474" s="142" t="str">
        <x:v>WV</x:v>
      </x:c>
      <x:c r="C474" s="142" t="n">
        <x:v>10</x:v>
      </x:c>
      <x:c r="D474" s="142" t="str">
        <x:v>Timing / completion</x:v>
      </x:c>
      <x:c r="E474" s="142" t="str">
        <x:v>Have you completed everything the court ordered in this case?</x:v>
      </x:c>
      <x:c r="F474" s="142" t="str">
        <x:v>single_choice</x:v>
      </x:c>
      <x:c r="G474" s="142" t="str">
        <x:v>Ask only when a viable route depends on sentence, supervision, program, restitution, or financial completion.</x:v>
      </x:c>
      <x:c r="H474" s="142" t="str">
        <x:v>No → usually not yet or needs more information; Yes → continue; Not sure → defer exact proof.</x:v>
      </x:c>
      <x:c r="I474" s="142" t="str">
        <x:v>Completion-dependent routes</x:v>
      </x:c>
      <x:c r="J474" s="142" t="str">
        <x:v>Exact details, if needed, are collected after account creation in packet completion.</x:v>
      </x:c>
      <x:c r="K474" s="142" t="str">
        <x:v>timing_and_completion</x:v>
      </x:c>
      <x:c r="L474" s="142" t="str">
        <x:v>normalized_free_check</x:v>
      </x:c>
      <x:c r="M474" s="56" t="str">
        <x:v>https://github.com/Roger-LegalEase/legalease-partner-dashboard-clean/blob/2f0ef0403f16e57544ad0bc86b2d1b1cd08861b3/src/lib/rcap-engine/compiled/profiles/WV-west-virginia.json</x:v>
      </x:c>
    </x:row>
    <x:row r="475">
      <x:c r="A475" s="55" t="str">
        <x:v>West Virginia</x:v>
      </x:c>
      <x:c r="B475" s="142" t="str">
        <x:v>WV</x:v>
      </x:c>
      <x:c r="C475" s="142" t="n">
        <x:v>11</x:v>
      </x:c>
      <x:c r="D475" s="142" t="str">
        <x:v>Timing / completion</x:v>
      </x:c>
      <x:c r="E475" s="142" t="str">
        <x:v>About how long ago did this case end or get resolved?</x:v>
      </x:c>
      <x:c r="F475" s="142" t="str">
        <x:v>single_choice</x:v>
      </x:c>
      <x:c r="G475" s="142" t="str">
        <x:v>Ask only when at least one viable route has a waiting period.</x:v>
      </x:c>
      <x:c r="H475" s="142" t="str">
        <x:v>Uses an approximate band for a preliminary result; exact dates are collected later.</x:v>
      </x:c>
      <x:c r="I475" s="142" t="str">
        <x:v>Timing-dependent routes</x:v>
      </x:c>
      <x:c r="J475" s="142" t="str">
        <x:v>Exact details, if needed, are collected after account creation in packet completion.</x:v>
      </x:c>
      <x:c r="K475" s="142" t="str">
        <x:v>timing_and_completion</x:v>
      </x:c>
      <x:c r="L475" s="142" t="str">
        <x:v>normalized_free_check</x:v>
      </x:c>
      <x:c r="M475" s="56" t="str">
        <x:v>https://github.com/Roger-LegalEase/legalease-partner-dashboard-clean/blob/2f0ef0403f16e57544ad0bc86b2d1b1cd08861b3/src/lib/rcap-engine/compiled/profiles/WV-west-virginia.json</x:v>
      </x:c>
    </x:row>
    <x:row r="476">
      <x:c r="A476" s="55" t="str">
        <x:v>Wyoming</x:v>
      </x:c>
      <x:c r="B476" s="142" t="str">
        <x:v>WY</x:v>
      </x:c>
      <x:c r="C476" s="142" t="n">
        <x:v>1</x:v>
      </x:c>
      <x:c r="D476" s="142" t="str">
        <x:v>Scope</x:v>
      </x:c>
      <x:c r="E476" s="142" t="str">
        <x:v>Are you asking about your own record?</x:v>
      </x:c>
      <x:c r="F476" s="142" t="str">
        <x:v>single_choice</x:v>
      </x:c>
      <x:c r="G476" s="142" t="str">
        <x:v>Ask in every free check</x:v>
      </x:c>
      <x:c r="H476" s="142" t="str">
        <x:v>No → stop or redirect; Yes → continue.</x:v>
      </x:c>
      <x:c r="I476" s="142" t="str">
        <x:v>All routes</x:v>
      </x:c>
      <x:c r="J476" s="142" t="str">
        <x:v>Exact details, if needed, are collected after account creation in packet completion.</x:v>
      </x:c>
      <x:c r="K476" s="142" t="str">
        <x:v>scope</x:v>
      </x:c>
      <x:c r="L476" s="142" t="str">
        <x:v>shared_scope_boundary</x:v>
      </x:c>
      <x:c r="M476" s="56" t="str">
        <x:v>https://github.com/Roger-LegalEase/legalease-partner-dashboard-clean/blob/2f0ef0403f16e57544ad0bc86b2d1b1cd08861b3/src/lib/rcap-engine/compiled/profiles/WY-wyoming.json</x:v>
      </x:c>
    </x:row>
    <x:row r="477">
      <x:c r="A477" s="55" t="str">
        <x:v>Wyoming</x:v>
      </x:c>
      <x:c r="B477" s="142" t="str">
        <x:v>WY</x:v>
      </x:c>
      <x:c r="C477" s="142" t="n">
        <x:v>2</x:v>
      </x:c>
      <x:c r="D477" s="142" t="str">
        <x:v>Scope</x:v>
      </x:c>
      <x:c r="E477" s="142" t="str">
        <x:v>Is this a state or local matter from Wyoming, rather than a federal matter?</x:v>
      </x:c>
      <x:c r="F477" s="142" t="str">
        <x:v>single_choice</x:v>
      </x:c>
      <x:c r="G477" s="142" t="str">
        <x:v>Ask in every free check</x:v>
      </x:c>
      <x:c r="H477" s="142" t="str">
        <x:v>Federal or wrong-state matter → outside this state flow; state/local matter → continue.</x:v>
      </x:c>
      <x:c r="I477" s="142" t="str">
        <x:v>All routes</x:v>
      </x:c>
      <x:c r="J477" s="142" t="str">
        <x:v>Exact details, if needed, are collected after account creation in packet completion.</x:v>
      </x:c>
      <x:c r="K477" s="142" t="str">
        <x:v>scope</x:v>
      </x:c>
      <x:c r="L477" s="142" t="str">
        <x:v>shared_scope_boundary</x:v>
      </x:c>
      <x:c r="M477" s="56" t="str">
        <x:v>https://github.com/Roger-LegalEase/legalease-partner-dashboard-clean/blob/2f0ef0403f16e57544ad0bc86b2d1b1cd08861b3/src/lib/rcap-engine/compiled/profiles/WY-wyoming.json</x:v>
      </x:c>
    </x:row>
    <x:row r="478">
      <x:c r="A478" s="55" t="str">
        <x:v>Wyoming</x:v>
      </x:c>
      <x:c r="B478" s="142" t="str">
        <x:v>WY</x:v>
      </x:c>
      <x:c r="C478" s="142" t="n">
        <x:v>3</x:v>
      </x:c>
      <x:c r="D478" s="142" t="str">
        <x:v>Route identification</x:v>
      </x:c>
      <x:c r="E478" s="142" t="str">
        <x:v>How did the Wyoming case or record end?</x:v>
      </x:c>
      <x:c r="F478" s="142" t="str">
        <x:v>single_choice</x:v>
      </x:c>
      <x:c r="G478" s="142" t="str">
        <x:v>Ask after scope, before route-specific questions</x:v>
      </x:c>
      <x:c r="H478" s="142" t="str">
        <x:v>Splits nonconviction, conviction, diversion/deferred, juvenile, automatic, pardon, correction, and other route families.</x:v>
      </x:c>
      <x:c r="I478" s="142" t="str">
        <x:v>All routes</x:v>
      </x:c>
      <x:c r="J478" s="142" t="str">
        <x:v>Exact details, if needed, are collected after account creation in packet completion.</x:v>
      </x:c>
      <x:c r="K478" s="142" t="str">
        <x:v>pathway_routing</x:v>
      </x:c>
      <x:c r="L478" s="142" t="str">
        <x:v>state_case_outcome_rules</x:v>
      </x:c>
      <x:c r="M478" s="56" t="str">
        <x:v>https://github.com/Roger-LegalEase/legalease-partner-dashboard-clean/blob/2f0ef0403f16e57544ad0bc86b2d1b1cd08861b3/src/lib/rcap-engine/compiled/profiles/WY-wyoming.json</x:v>
      </x:c>
    </x:row>
    <x:row r="479">
      <x:c r="A479" s="55" t="str">
        <x:v>Wyoming</x:v>
      </x:c>
      <x:c r="B479" s="142" t="str">
        <x:v>WY</x:v>
      </x:c>
      <x:c r="C479" s="142" t="n">
        <x:v>4</x:v>
      </x:c>
      <x:c r="D479" s="142" t="str">
        <x:v>Route identification</x:v>
      </x:c>
      <x:c r="E479" s="142" t="str">
        <x:v>What level or type was the charge?</x:v>
      </x:c>
      <x:c r="F479" s="142" t="str">
        <x:v>single_choice</x:v>
      </x:c>
      <x:c r="G479" s="142" t="str">
        <x:v>Ask after scope, before route-specific questions</x:v>
      </x:c>
      <x:c r="H479" s="142" t="str">
        <x:v>Narrows offense-level routes, waiting-period bands, and obvious exclusions.</x:v>
      </x:c>
      <x:c r="I479" s="142" t="str">
        <x:v>All routes</x:v>
      </x:c>
      <x:c r="J479" s="142" t="str">
        <x:v>Exact details, if needed, are collected after account creation in packet completion.</x:v>
      </x:c>
      <x:c r="K479" s="142" t="str">
        <x:v>pathway_routing</x:v>
      </x:c>
      <x:c r="L479" s="142" t="str">
        <x:v>state_pathway_and_exclusion_rules</x:v>
      </x:c>
      <x:c r="M479" s="56" t="str">
        <x:v>https://github.com/Roger-LegalEase/legalease-partner-dashboard-clean/blob/2f0ef0403f16e57544ad0bc86b2d1b1cd08861b3/src/lib/rcap-engine/compiled/profiles/WY-wyoming.json</x:v>
      </x:c>
    </x:row>
    <x:row r="480">
      <x:c r="A480" s="55" t="str">
        <x:v>Wyoming</x:v>
      </x:c>
      <x:c r="B480" s="142" t="str">
        <x:v>WY</x:v>
      </x:c>
      <x:c r="C480" s="142" t="n">
        <x:v>5</x:v>
      </x:c>
      <x:c r="D480" s="142" t="str">
        <x:v>Route identification</x:v>
      </x:c>
      <x:c r="E480" s="142" t="str">
        <x:v>Do any of these Wyoming descriptions sound close to your situation?</x:v>
      </x:c>
      <x:c r="F480" s="142" t="str">
        <x:v>single_choice</x:v>
      </x:c>
      <x:c r="G480" s="142" t="str">
        <x:v>Ask after scope, before route-specific questions</x:v>
      </x:c>
      <x:c r="H480" s="142" t="str">
        <x:v>Lets the participant select a likely remedy or “not sure”; selection prunes unrelated route-specific questions.</x:v>
      </x:c>
      <x:c r="I480" s="142" t="str">
        <x:v>All routes</x:v>
      </x:c>
      <x:c r="J480" s="142" t="str">
        <x:v>Exact details, if needed, are collected after account creation in packet completion.</x:v>
      </x:c>
      <x:c r="K480" s="142" t="str">
        <x:v>pathway_routing</x:v>
      </x:c>
      <x:c r="L480" s="142" t="str">
        <x:v>curated_state_pathway_catalog_from_reference</x:v>
      </x:c>
      <x:c r="M480" s="56" t="str">
        <x:v>https://github.com/Roger-LegalEase/legalease-partner-dashboard-clean/blob/2f0ef0403f16e57544ad0bc86b2d1b1cd08861b3/src/lib/rcap-engine/compiled/profiles/WY-wyoming.json</x:v>
      </x:c>
    </x:row>
    <x:row r="481">
      <x:c r="A481" s="55" t="str">
        <x:v>Wyoming</x:v>
      </x:c>
      <x:c r="B481" s="142" t="str">
        <x:v>WY</x:v>
      </x:c>
      <x:c r="C481" s="142" t="n">
        <x:v>6</x:v>
      </x:c>
      <x:c r="D481" s="142" t="str">
        <x:v>Route identification</x:v>
      </x:c>
      <x:c r="E481" s="142" t="str">
        <x:v>How old were you when the offense or case began?</x:v>
      </x:c>
      <x:c r="F481" s="142" t="str">
        <x:v>number_or_range</x:v>
      </x:c>
      <x:c r="G481" s="142" t="str">
        <x:v>Ask only when adult-versus-juvenile or youthful-offender treatment may change the route.</x:v>
      </x:c>
      <x:c r="H481" s="142" t="str">
        <x:v>Routes to juvenile/youthful-offender logic or keeps the adult route.</x:v>
      </x:c>
      <x:c r="I481" s="142" t="str">
        <x:v>Age-sensitive routes</x:v>
      </x:c>
      <x:c r="J481" s="142" t="str">
        <x:v>Exact details, if needed, are collected after account creation in packet completion.</x:v>
      </x:c>
      <x:c r="K481" s="142" t="str">
        <x:v>pathway_routing</x:v>
      </x:c>
      <x:c r="L481" s="142" t="str">
        <x:v>derived_from_state_rule_fields</x:v>
      </x:c>
      <x:c r="M481" s="56" t="str">
        <x:v>https://github.com/Roger-LegalEase/legalease-partner-dashboard-clean/blob/2f0ef0403f16e57544ad0bc86b2d1b1cd08861b3/src/lib/rcap-engine/compiled/profiles/WY-wyoming.json</x:v>
      </x:c>
    </x:row>
    <x:row r="482">
      <x:c r="A482" s="55" t="str">
        <x:v>Wyoming</x:v>
      </x:c>
      <x:c r="B482" s="142" t="str">
        <x:v>WY</x:v>
      </x:c>
      <x:c r="C482" s="142" t="n">
        <x:v>7</x:v>
      </x:c>
      <x:c r="D482" s="142" t="str">
        <x:v>State-specific eligibility</x:v>
      </x:c>
      <x:c r="E482" s="142" t="str">
        <x:v>Have you previously received record-clearing relief in Wyoming or elsewhere?</x:v>
      </x:c>
      <x:c r="F482" s="142" t="str">
        <x:v>yes_no_unsure</x:v>
      </x:c>
      <x:c r="G482" s="142" t="str">
        <x:v>Ask only when prior use of relief affects the candidate route.</x:v>
      </x:c>
      <x:c r="H482" s="142" t="str">
        <x:v>Prior relief may limit the route, change the packet, or require review.</x:v>
      </x:c>
      <x:c r="I482" s="142" t="str">
        <x:v>Prior-relief-limited routes</x:v>
      </x:c>
      <x:c r="J482" s="142" t="str">
        <x:v>Exact details, if needed, are collected after account creation in packet completion.</x:v>
      </x:c>
      <x:c r="K482" s="142" t="str">
        <x:v>state_specific_eligibility</x:v>
      </x:c>
      <x:c r="L482" s="142" t="str">
        <x:v>derived_from_state_rule_fields</x:v>
      </x:c>
      <x:c r="M482" s="56" t="str">
        <x:v>https://github.com/Roger-LegalEase/legalease-partner-dashboard-clean/blob/2f0ef0403f16e57544ad0bc86b2d1b1cd08861b3/src/lib/rcap-engine/compiled/profiles/WY-wyoming.json</x:v>
      </x:c>
    </x:row>
    <x:row r="483">
      <x:c r="A483" s="55" t="str">
        <x:v>Wyoming</x:v>
      </x:c>
      <x:c r="B483" s="142" t="str">
        <x:v>WY</x:v>
      </x:c>
      <x:c r="C483" s="142" t="n">
        <x:v>8</x:v>
      </x:c>
      <x:c r="D483" s="142" t="str">
        <x:v>Special pathway</x:v>
      </x:c>
      <x:c r="E483" s="142" t="str">
        <x:v>Was this offense connected to your status as a human-trafficking or sex-trafficking survivor?</x:v>
      </x:c>
      <x:c r="F483" s="142" t="str">
        <x:v>yes_no_prefer_not_to_say</x:v>
      </x:c>
      <x:c r="G483" s="142" t="str">
        <x:v>Ask only while trafficking-survivor relief remains viable; allow “prefer not to say.”</x:v>
      </x:c>
      <x:c r="H483" s="142" t="str">
        <x:v>May open vacatur/expungement or review treatment.</x:v>
      </x:c>
      <x:c r="I483" s="142" t="str">
        <x:v>Trafficking-survivor routes</x:v>
      </x:c>
      <x:c r="J483" s="142" t="str">
        <x:v>Exact details, if needed, are collected after account creation in packet completion.</x:v>
      </x:c>
      <x:c r="K483" s="142" t="str">
        <x:v>special_pathways</x:v>
      </x:c>
      <x:c r="L483" s="142" t="str">
        <x:v>derived_from_state_rule_fields</x:v>
      </x:c>
      <x:c r="M483" s="56" t="str">
        <x:v>https://github.com/Roger-LegalEase/legalease-partner-dashboard-clean/blob/2f0ef0403f16e57544ad0bc86b2d1b1cd08861b3/src/lib/rcap-engine/compiled/profiles/WY-wyoming.json</x:v>
      </x:c>
    </x:row>
    <x:row r="484">
      <x:c r="A484" s="55" t="str">
        <x:v>Wyoming</x:v>
      </x:c>
      <x:c r="B484" s="142" t="str">
        <x:v>WY</x:v>
      </x:c>
      <x:c r="C484" s="142" t="n">
        <x:v>9</x:v>
      </x:c>
      <x:c r="D484" s="142" t="str">
        <x:v>Special pathway</x:v>
      </x:c>
      <x:c r="E484" s="142" t="str">
        <x:v>Have you received a pardon, certificate of rehabilitation, or similar executive relief for this conviction?</x:v>
      </x:c>
      <x:c r="F484" s="142" t="str">
        <x:v>yes_no_unsure</x:v>
      </x:c>
      <x:c r="G484" s="142" t="str">
        <x:v>Ask only while a pardon or executive-relief route remains viable.</x:v>
      </x:c>
      <x:c r="H484" s="142" t="str">
        <x:v>Yes may open a pardon-based route; No preserves ordinary routes; Not sure defers proof.</x:v>
      </x:c>
      <x:c r="I484" s="142" t="str">
        <x:v>Pardon / executive-relief routes</x:v>
      </x:c>
      <x:c r="J484" s="142" t="str">
        <x:v>Exact details, if needed, are collected after account creation in packet completion.</x:v>
      </x:c>
      <x:c r="K484" s="142" t="str">
        <x:v>special_pathways</x:v>
      </x:c>
      <x:c r="L484" s="142" t="str">
        <x:v>derived_from_state_rule_fields</x:v>
      </x:c>
      <x:c r="M484" s="56" t="str">
        <x:v>https://github.com/Roger-LegalEase/legalease-partner-dashboard-clean/blob/2f0ef0403f16e57544ad0bc86b2d1b1cd08861b3/src/lib/rcap-engine/compiled/profiles/WY-wyoming.json</x:v>
      </x:c>
    </x:row>
    <x:row r="485">
      <x:c r="A485" s="55" t="str">
        <x:v>Wyoming</x:v>
      </x:c>
      <x:c r="B485" s="142" t="str">
        <x:v>WY</x:v>
      </x:c>
      <x:c r="C485" s="142" t="n">
        <x:v>10</x:v>
      </x:c>
      <x:c r="D485" s="142" t="str">
        <x:v>Timing / completion</x:v>
      </x:c>
      <x:c r="E485" s="142" t="str">
        <x:v>Do you currently have any pending criminal charge, open case, probation, parole, or other supervision?</x:v>
      </x:c>
      <x:c r="F485" s="142" t="str">
        <x:v>yes_no_unsure</x:v>
      </x:c>
      <x:c r="G485" s="142" t="str">
        <x:v>Ask only when pending cases or active supervision can block the candidate route.</x:v>
      </x:c>
      <x:c r="H485" s="142" t="str">
        <x:v>Pending/open matter may produce not-yet, review, or a different route.</x:v>
      </x:c>
      <x:c r="I485" s="142" t="str">
        <x:v>Pending-case-sensitive routes</x:v>
      </x:c>
      <x:c r="J485" s="142" t="str">
        <x:v>Exact details, if needed, are collected after account creation in packet completion.</x:v>
      </x:c>
      <x:c r="K485" s="142" t="str">
        <x:v>timing_and_completion</x:v>
      </x:c>
      <x:c r="L485" s="142" t="str">
        <x:v>derived_from_state_rule_fields</x:v>
      </x:c>
      <x:c r="M485" s="56" t="str">
        <x:v>https://github.com/Roger-LegalEase/legalease-partner-dashboard-clean/blob/2f0ef0403f16e57544ad0bc86b2d1b1cd08861b3/src/lib/rcap-engine/compiled/profiles/WY-wyoming.json</x:v>
      </x:c>
    </x:row>
    <x:row r="486">
      <x:c r="A486" s="55" t="str">
        <x:v>Wyoming</x:v>
      </x:c>
      <x:c r="B486" s="142" t="str">
        <x:v>WY</x:v>
      </x:c>
      <x:c r="C486" s="142" t="n">
        <x:v>11</x:v>
      </x:c>
      <x:c r="D486" s="142" t="str">
        <x:v>Timing / completion</x:v>
      </x:c>
      <x:c r="E486" s="142" t="str">
        <x:v>Have you completed everything the court ordered in this case?</x:v>
      </x:c>
      <x:c r="F486" s="142" t="str">
        <x:v>single_choice</x:v>
      </x:c>
      <x:c r="G486" s="142" t="str">
        <x:v>Ask only when a viable route depends on sentence, supervision, program, restitution, or financial completion.</x:v>
      </x:c>
      <x:c r="H486" s="142" t="str">
        <x:v>No → usually not yet or needs more information; Yes → continue; Not sure → defer exact proof.</x:v>
      </x:c>
      <x:c r="I486" s="142" t="str">
        <x:v>Completion-dependent routes</x:v>
      </x:c>
      <x:c r="J486" s="142" t="str">
        <x:v>Exact details, if needed, are collected after account creation in packet completion.</x:v>
      </x:c>
      <x:c r="K486" s="142" t="str">
        <x:v>timing_and_completion</x:v>
      </x:c>
      <x:c r="L486" s="142" t="str">
        <x:v>normalized_free_check</x:v>
      </x:c>
      <x:c r="M486" s="56" t="str">
        <x:v>https://github.com/Roger-LegalEase/legalease-partner-dashboard-clean/blob/2f0ef0403f16e57544ad0bc86b2d1b1cd08861b3/src/lib/rcap-engine/compiled/profiles/WY-wyoming.json</x:v>
      </x:c>
    </x:row>
    <x:row r="487">
      <x:c r="A487" s="57" t="str">
        <x:v>Wyoming</x:v>
      </x:c>
      <x:c r="B487" s="143" t="str">
        <x:v>WY</x:v>
      </x:c>
      <x:c r="C487" s="143" t="n">
        <x:v>12</x:v>
      </x:c>
      <x:c r="D487" s="143" t="str">
        <x:v>Timing / completion</x:v>
      </x:c>
      <x:c r="E487" s="143" t="str">
        <x:v>About how long ago did this case end or get resolved?</x:v>
      </x:c>
      <x:c r="F487" s="143" t="str">
        <x:v>single_choice</x:v>
      </x:c>
      <x:c r="G487" s="143" t="str">
        <x:v>Ask only when at least one viable route has a waiting period.</x:v>
      </x:c>
      <x:c r="H487" s="143" t="str">
        <x:v>Uses an approximate band for a preliminary result; exact dates are collected later.</x:v>
      </x:c>
      <x:c r="I487" s="143" t="str">
        <x:v>Timing-dependent routes</x:v>
      </x:c>
      <x:c r="J487" s="143" t="str">
        <x:v>Exact details, if needed, are collected after account creation in packet completion.</x:v>
      </x:c>
      <x:c r="K487" s="143" t="str">
        <x:v>timing_and_completion</x:v>
      </x:c>
      <x:c r="L487" s="143" t="str">
        <x:v>normalized_free_check</x:v>
      </x:c>
      <x:c r="M487" s="58" t="str">
        <x:v>https://github.com/Roger-LegalEase/legalease-partner-dashboard-clean/blob/2f0ef0403f16e57544ad0bc86b2d1b1cd08861b3/src/lib/rcap-engine/compiled/profiles/WY-wyoming.json</x:v>
      </x:c>
    </x:row>
  </x:sheetData>
  <x:mergeCells>
    <x:mergeCell ref="A1:M1"/>
    <x:mergeCell ref="A2:M2"/>
  </x:mergeCells>
  <x:pageMargins left="0.7" right="0.7" top="0.75" bottom="0.75" header="0.3" footer="0.3"/>
  <x:tableParts count="1">
    <x:tablePart xmlns:r="http://schemas.openxmlformats.org/officeDocument/2006/relationships" r:id="R90654b0b22f746ae"/>
  </x:tableParts>
</x:worksheet>
</file>

<file path=xl/worksheets/sheet4.xml><?xml version="1.0" encoding="utf-8"?>
<x:worksheet xmlns:x="http://schemas.openxmlformats.org/spreadsheetml/2006/main">
  <x:sheetFormatPr defaultRowHeight="15"/>
  <x:cols>
    <x:col min="1" max="1" width="22" hidden="0" customWidth="1"/>
    <x:col min="2" max="2" width="7" hidden="0" customWidth="1"/>
    <x:col min="3" max="3" width="55" hidden="0" customWidth="1"/>
    <x:col min="4" max="4" width="55" hidden="0" customWidth="1"/>
    <x:col min="5" max="5" width="48" hidden="0" customWidth="1"/>
    <x:col min="6" max="6" width="32" hidden="0" customWidth="1"/>
    <x:col min="7" max="7" width="75" hidden="0" customWidth="1"/>
    <x:col min="8" max="8" width="55" hidden="0" customWidth="1"/>
  </x:cols>
  <x:sheetData>
    <x:row r="1" ht="32" customHeight="1">
      <x:c r="A1" s="5" t="str">
        <x:v>State-by-State Screening Logic</x:v>
      </x:c>
    </x:row>
    <x:row r="2" ht="36" customHeight="1">
      <x:c r="A2" s="13" t="str">
        <x:v>A concise control narrative for how each state's free check should route, gate, and produce a preliminary outcome.</x:v>
      </x:c>
    </x:row>
    <x:row r="4">
      <x:c r="A4" s="109" t="str">
        <x:v>State</x:v>
      </x:c>
      <x:c r="B4" s="131" t="str">
        <x:v>Code</x:v>
      </x:c>
      <x:c r="C4" s="131" t="str">
        <x:v>Candidate Routes</x:v>
      </x:c>
      <x:c r="D4" s="131" t="str">
        <x:v>Key Free-Check Gates</x:v>
      </x:c>
      <x:c r="E4" s="131" t="str">
        <x:v>Decision-Rule Fields (Source Catalog)</x:v>
      </x:c>
      <x:c r="F4" s="131" t="str">
        <x:v>Supported Preliminary Outcomes</x:v>
      </x:c>
      <x:c r="G4" s="131" t="str">
        <x:v>Normalized Logic</x:v>
      </x:c>
      <x:c r="H4" s="110" t="str">
        <x:v>Profile URL</x:v>
      </x:c>
    </x:row>
    <x:row r="5">
      <x:c r="A5" s="53" t="str">
        <x:v>Alaska</x:v>
      </x:c>
      <x:c r="B5" s="141" t="str">
        <x:v>AK</x:v>
      </x:c>
      <x:c r="C5" s="141" t="str">
        <x:v>Set-aside after a Suspended Imposition of Sentence (AS 12.55.085); Sealing for mistaken identity or false accusation (AS 12.62.180); Confidentiality of acquittals and dismissals (AS 22.35.030 / Administrative Rule 40); Juvenile-record sealing (AS 47.12.300); Executive-pardon backstop</x:v>
      </x:c>
      <x:c r="D5" s="141" t="str">
        <x:v>How old were you when the offense or case began?; Have you received a pardon, certificate of rehabilitation, or similar executive relief for this conviction?; Was the arrest or record caused by mistaken identity, identity theft, or law-enforcement error?; Have you completed everything the court ordered in this case?; About how long ago did this case end or get resolved?; Does the record involve any Alaska category that the source identifies as excluded or review-required?</x:v>
      </x:c>
      <x:c r="E5" s="141" t="str">
        <x:v>court; case_outcome; offense_level; criminal_history; charge; identity_error; disposition_date; age_at_offense; pardon_status; record_type; residency_or_location; sentence_completion_date; prior_relief; offense_category</x:v>
      </x:c>
      <x:c r="F5" s="141" t="str">
        <x:v>guidance_only; needs_review; not_yet; packet_ready_with_caution</x:v>
      </x:c>
      <x:c r="G5" s="141" t="str">
        <x:v>Confirm ownership and Alaska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5" s="54" t="str">
        <x:v>https://github.com/Roger-LegalEase/legalease-partner-dashboard-clean/blob/2f0ef0403f16e57544ad0bc86b2d1b1cd08861b3/src/lib/rcap-engine/compiled/profiles/AK-alaska.json</x:v>
      </x:c>
    </x:row>
    <x:row r="6">
      <x:c r="A6" s="55" t="str">
        <x:v>Alabama</x:v>
      </x:c>
      <x:c r="B6" s="142" t="str">
        <x:v>AL</x:v>
      </x:c>
      <x:c r="C6" s="142" t="str">
        <x:v>Non-conviction expungement under Ala. Code §§ 15-27-1(a) and 15-27-2(a); Eligible conviction expungement under the REDEEMER Act; Pardoned felony expungement under Ala. Code § 15-27-2(c); Human-trafficking-victim expungement</x:v>
      </x:c>
      <x:c r="D6" s="142" t="str">
        <x:v>Was this offense connected to your status as a human-trafficking or sex-trafficking survivor?; Have you received a pardon, certificate of rehabilitation, or similar executive relief for this conviction?; Do you currently have any pending criminal charge, open case, probation, parole, or other supervision?; Have you completed everything the court ordered in this case?; About how long ago did this case end or get resolved?; Does the record involve any Alabama category that the source identifies as excluded or review-required?</x:v>
      </x:c>
      <x:c r="E6" s="142" t="str">
        <x:v>offense_category; case_outcome; offense_level; charge; pending_cases; record_type; court; sentence_completion_date; financial_obligations; pardon_status; trafficking_status; disposition_date; residency_or_location</x:v>
      </x:c>
      <x:c r="F6" s="142" t="str">
        <x:v>guidance_only; likely_not_eligible; needs_review; not_yet; packet_ready_with_caution</x:v>
      </x:c>
      <x:c r="G6" s="142" t="str">
        <x:v>Confirm ownership and Alabama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6" s="56" t="str">
        <x:v>https://github.com/Roger-LegalEase/legalease-partner-dashboard-clean/blob/2f0ef0403f16e57544ad0bc86b2d1b1cd08861b3/src/lib/rcap-engine/compiled/profiles/AL-alabama.json</x:v>
      </x:c>
    </x:row>
    <x:row r="7">
      <x:c r="A7" s="55" t="str">
        <x:v>Arkansas</x:v>
      </x:c>
      <x:c r="B7" s="142" t="str">
        <x:v>AR</x:v>
      </x:c>
      <x:c r="C7" s="142" t="str">
        <x:v>Situation A — Non-convictions (§§ 16-90-1409, 1410); Situation B — Misdemeanor convictions (§ 16-90-1405); Situation C — Felony convictions (§§ 16-90-1406, 1407)</x:v>
      </x:c>
      <x:c r="D7" s="142" t="str">
        <x:v>Do you currently have any pending criminal charge, open case, probation, parole, or other supervision?; Have you completed everything the court ordered in this case?; About how long ago did this case end or get resolved?; Does the record involve any Arkansas category that the source identifies as excluded or review-required?</x:v>
      </x:c>
      <x:c r="E7" s="142" t="str">
        <x:v>offense_level; offense_category; case_outcome; sentence_completion_date; charge; financial_obligations; court; pending_cases; record_type; residency_or_location; disposition_date</x:v>
      </x:c>
      <x:c r="F7" s="142" t="str">
        <x:v>likely_not_eligible; needs_more_info; needs_review; not_yet; packet_ready_with_caution</x:v>
      </x:c>
      <x:c r="G7" s="142" t="str">
        <x:v>Confirm ownership and Arkansas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7" s="56" t="str">
        <x:v>https://github.com/Roger-LegalEase/legalease-partner-dashboard-clean/blob/2f0ef0403f16e57544ad0bc86b2d1b1cd08861b3/src/lib/rcap-engine/compiled/profiles/AR-arkansas.json</x:v>
      </x:c>
    </x:row>
    <x:row r="8">
      <x:c r="A8" s="55" t="str">
        <x:v>Arizona</x:v>
      </x:c>
      <x:c r="B8" s="142" t="str">
        <x:v>AZ</x:v>
      </x:c>
      <x:c r="C8" s="142" t="str">
        <x:v>Remedy 1 — Record sealing (A.R.S. § 13-911); Remedy 2 — Set-aside of a conviction (A.R.S. § 13-905); Remedy 3 — Marijuana expungement (A.R.S. § 36-2862, Prop 207)</x:v>
      </x:c>
      <x:c r="D8" s="142" t="str">
        <x:v>Have you completed everything the court ordered in this case?; About how long ago did this case end or get resolved?; Does the record involve any Arizona category that the source identifies as excluded or review-required?</x:v>
      </x:c>
      <x:c r="E8" s="142" t="str">
        <x:v>case_outcome; charge; offense_level; court; offense_category; disposition_date; criminal_history; financial_obligations; residency_or_location</x:v>
      </x:c>
      <x:c r="F8" s="142" t="str">
        <x:v>likely_not_eligible; needs_review; not_yet; packet_ready_with_caution</x:v>
      </x:c>
      <x:c r="G8" s="142" t="str">
        <x:v>Confirm ownership and Arizona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8" s="56" t="str">
        <x:v>https://github.com/Roger-LegalEase/legalease-partner-dashboard-clean/blob/2f0ef0403f16e57544ad0bc86b2d1b1cd08861b3/src/lib/rcap-engine/compiled/profiles/AZ-arizona.json</x:v>
      </x:c>
    </x:row>
    <x:row r="9">
      <x:c r="A9" s="55" t="str">
        <x:v>California</x:v>
      </x:c>
      <x:c r="B9" s="142" t="str">
        <x:v>CA</x:v>
      </x:c>
      <x:c r="C9" s="142" t="str">
        <x:v>Tool 1 — Dismissal / set-aside (PC 1203.4 and variants); Tool 2 — Automatic relief (PC 851.93 arrests / 1203.425 convictions); Tool 3 — Petition-based felony sealing (SB 731 / PC 1203.49 framework); Tool 4 — Arrest-record sealing (PC 851.91; factual innocence PC 851.8); Tool 5 — Proposition 64 marijuana relief (H&amp;S 11361.8 / 11361.9)</x:v>
      </x:c>
      <x:c r="D9" s="142" t="str">
        <x:v>Have you received a pardon, certificate of rehabilitation, or similar executive relief for this conviction?; Do you currently have any pending criminal charge, open case, probation, parole, or other supervision?; Have you completed everything the court ordered in this case?; About how long ago did this case end or get resolved?; Does the record involve any California category that the source identifies as excluded or review-required?</x:v>
      </x:c>
      <x:c r="E9" s="142" t="str">
        <x:v>offense_category; charge; pending_cases; case_outcome; offense_level; court; criminal_history; sentence_completion_date; record_type; county; pardon_status; financial_obligations; residency_or_location</x:v>
      </x:c>
      <x:c r="F9" s="142" t="str">
        <x:v>guidance_only; likely_not_eligible; needs_review; not_yet; packet_ready_with_caution</x:v>
      </x:c>
      <x:c r="G9" s="142" t="str">
        <x:v>Confirm ownership and California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9" s="56" t="str">
        <x:v>https://github.com/Roger-LegalEase/legalease-partner-dashboard-clean/blob/2f0ef0403f16e57544ad0bc86b2d1b1cd08861b3/src/lib/rcap-engine/compiled/profiles/CA-california.json</x:v>
      </x:c>
    </x:row>
    <x:row r="10">
      <x:c r="A10" s="55" t="str">
        <x:v>Colorado</x:v>
      </x:c>
      <x:c r="B10" s="142" t="str">
        <x:v>CO</x:v>
      </x:c>
      <x:c r="C10" s="142" t="str">
        <x:v>Petition-based non-conviction sealing (JDF 417 / § 24-72-704); Petition-based conviction sealing (JDF 612 / § 24-72-706); Automatic Clean Slate sealing (§ 13-3-117); Juvenile expungement (§ 19-1-306)</x:v>
      </x:c>
      <x:c r="D10" s="142" t="str">
        <x:v>How old were you when the offense or case began?; About how long ago did this case end or get resolved?; Does the record involve any Colorado category that the source identifies as excluded or review-required?</x:v>
      </x:c>
      <x:c r="E10" s="142" t="str">
        <x:v>case_outcome; charge; offense_level; court; age_at_offense; offense_category; record_type; criminal_history</x:v>
      </x:c>
      <x:c r="F10" s="142" t="str">
        <x:v>guidance_only; likely_not_eligible; needs_review; not_yet; packet_ready_with_caution</x:v>
      </x:c>
      <x:c r="G10" s="142" t="str">
        <x:v>Confirm ownership and Colorado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10" s="56" t="str">
        <x:v>https://github.com/Roger-LegalEase/legalease-partner-dashboard-clean/blob/2f0ef0403f16e57544ad0bc86b2d1b1cd08861b3/src/lib/rcap-engine/compiled/profiles/CO-colorado.json</x:v>
      </x:c>
    </x:row>
    <x:row r="11">
      <x:c r="A11" s="55" t="str">
        <x:v>Connecticut</x:v>
      </x:c>
      <x:c r="B11" s="142" t="str">
        <x:v>CT</x:v>
      </x:c>
      <x:c r="C11" s="142" t="str">
        <x:v>Automatic non-conviction erasure under Conn. Gen. Stat. § 54-142a; Automatic Clean Slate erasure for eligible post-2000 convictions; Petitioned Clean Slate erasure for eligible pre-2000 convictions (JD-CR-202); Cannabis-conviction erasure; Absolute pardon resulting in erasure</x:v>
      </x:c>
      <x:c r="D11" s="142" t="str">
        <x:v>Have you received a pardon, certificate of rehabilitation, or similar executive relief for this conviction?; Have you completed everything the court ordered in this case?; About how long ago did this case end or get resolved?; Does the record involve any Connecticut category that the source identifies as excluded or review-required?</x:v>
      </x:c>
      <x:c r="E11" s="142" t="str">
        <x:v>offense_category; charge; pardon_status; financial_obligations; case_outcome; offense_level; court; sentence_completion_date; disposition_date; criminal_history</x:v>
      </x:c>
      <x:c r="F11" s="142" t="str">
        <x:v>guidance_only; likely_not_eligible; needs_more_info; needs_review; not_yet; packet_ready_with_caution</x:v>
      </x:c>
      <x:c r="G11" s="142" t="str">
        <x:v>Confirm ownership and Connecticut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11" s="56" t="str">
        <x:v>https://github.com/Roger-LegalEase/legalease-partner-dashboard-clean/blob/2f0ef0403f16e57544ad0bc86b2d1b1cd08861b3/src/lib/rcap-engine/compiled/profiles/CT-connecticut.json</x:v>
      </x:c>
    </x:row>
    <x:row r="12">
      <x:c r="A12" s="55" t="str">
        <x:v>District of Columbia</x:v>
      </x:c>
      <x:c r="B12" s="142" t="str">
        <x:v>DC</x:v>
      </x:c>
      <x:c r="C12" s="142" t="str">
        <x:v>Automatic expungement under D.C. Code § 16-802; Actual-innocence expungement by motion under D.C. Code § 16-803; Automatic sealing under D.C. Code § 16-805; Non-conviction sealing by motion under D.C. Code § 16-806; Fugitive-from-justice sealing; Conviction sealing by motion under D.C. Code § 16-806; Incorrect-identity or mistaken-arrest record correction; Juvenile-record sealing under D.C. Code § 16-2335</x:v>
      </x:c>
      <x:c r="D12" s="142" t="str">
        <x:v>How old were you when the offense or case began?; Have you completed everything the court ordered in this case?; About how long ago did this case end or get resolved?</x:v>
      </x:c>
      <x:c r="E12" s="142" t="str">
        <x:v>court; offense_category; charge; case_outcome; offense_level; age_at_offense; record_type; disposition_date; sentence_completion_date; residency_or_location; financial_obligations</x:v>
      </x:c>
      <x:c r="F12" s="142" t="str">
        <x:v>guidance_only; needs_review; not_yet; packet_ready_with_caution</x:v>
      </x:c>
      <x:c r="G12" s="142" t="str">
        <x:v>Confirm ownership and District of Columbia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12" s="56" t="str">
        <x:v>https://github.com/Roger-LegalEase/legalease-partner-dashboard-clean/blob/2f0ef0403f16e57544ad0bc86b2d1b1cd08861b3/src/lib/rcap-engine/compiled/profiles/DC-district-of-columbia.json</x:v>
      </x:c>
    </x:row>
    <x:row r="13">
      <x:c r="A13" s="55" t="str">
        <x:v>Delaware</x:v>
      </x:c>
      <x:c r="B13" s="142" t="str">
        <x:v>DE</x:v>
      </x:c>
      <x:c r="C13" s="142" t="str">
        <x:v>Mandatory and automatic expungement under 11 Del. C. §§ 4373 and 4373A; Discretionary court expungement under 11 Del. C. § 4374; Pardon-based discretionary expungement under 11 Del. C. § 4375; Juvenile expungement under 10 Del. C. §§ 1017–1019 / 1017A</x:v>
      </x:c>
      <x:c r="D13" s="142" t="str">
        <x:v>Have you received a pardon, certificate of rehabilitation, or similar executive relief for this conviction?; Have you completed everything the court ordered in this case?; About how long ago did this case end or get resolved?; Does the record involve any Delaware category that the source identifies as excluded or review-required?</x:v>
      </x:c>
      <x:c r="E13" s="142" t="str">
        <x:v>case_outcome; offense_level; offense_category; charge; pardon_status; court; sentence_completion_date; financial_obligations; criminal_history; age_at_offense; record_type</x:v>
      </x:c>
      <x:c r="F13" s="142" t="str">
        <x:v>guidance_only; likely_not_eligible; needs_review; not_yet; packet_ready_with_caution</x:v>
      </x:c>
      <x:c r="G13" s="142" t="str">
        <x:v>Confirm ownership and Delaware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13" s="56" t="str">
        <x:v>https://github.com/Roger-LegalEase/legalease-partner-dashboard-clean/blob/2f0ef0403f16e57544ad0bc86b2d1b1cd08861b3/src/lib/rcap-engine/compiled/profiles/DE-delaware.json</x:v>
      </x:c>
    </x:row>
    <x:row r="14">
      <x:c r="A14" s="55" t="str">
        <x:v>Florida</x:v>
      </x:c>
      <x:c r="B14" s="142" t="str">
        <x:v>FL</x:v>
      </x:c>
      <x:c r="C14" s="142" t="str">
        <x:v>Court-ordered expunction - 943.0585; Court-ordered sealing - 943.059; Automatic sealing - 943.0595; Human trafficking victim expunction - 943.0583; Lawful self-defense expunction - 943.0578; Juvenile diversion expunction - 943.0582; Early juvenile expunction - 943.0515; Administrative expunction - mistaken or unlawful arrest</x:v>
      </x:c>
      <x:c r="D14" s="142" t="str">
        <x:v>How old were you when the offense or case began?; Have you previously received record-clearing relief in Florida or elsewhere?; Was this offense connected to your status as a human-trafficking or sex-trafficking survivor?; Was the arrest or record caused by mistaken identity, identity theft, or law-enforcement error?; Have you completed everything the court ordered in this case?; About how long ago did this case end or get resolved?; Does the record involve any Florida category that the source identifies as excluded or review-required?</x:v>
      </x:c>
      <x:c r="E14" s="142" t="str">
        <x:v>case_outcome; court; charge; offense_category; trafficking_status; age_at_offense; prior_relief; record_type; residency_or_location; disposition_date; sentence_completion_date; offense_level; criminal_history; county; identity_error</x:v>
      </x:c>
      <x:c r="F14" s="142" t="str">
        <x:v>guidance_only; likely_not_eligible; needs_review; not_yet; packet_ready_with_caution</x:v>
      </x:c>
      <x:c r="G14" s="142" t="str">
        <x:v>Confirm ownership and Florida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14" s="56" t="str">
        <x:v>https://github.com/Roger-LegalEase/legalease-partner-dashboard-clean/blob/2f0ef0403f16e57544ad0bc86b2d1b1cd08861b3/src/lib/rcap-engine/compiled/profiles/FL-florida.json</x:v>
      </x:c>
    </x:row>
    <x:row r="15">
      <x:c r="A15" s="55" t="str">
        <x:v>Georgia</x:v>
      </x:c>
      <x:c r="B15" s="142" t="str">
        <x:v>GA</x:v>
      </x:c>
      <x:c r="C15" s="142" t="str">
        <x:v>Non-conviction record restriction through the agency/prosecutor process; Automatic restriction of qualifying post-July 1, 2013 non-convictions; SB 288 misdemeanor-conviction restriction and sealing; Restriction and sealing of a pardoned felony; Youthful / first-offender restriction route</x:v>
      </x:c>
      <x:c r="D15" s="142" t="str">
        <x:v>Have you previously received record-clearing relief in Georgia or elsewhere?; Have you received a pardon, certificate of rehabilitation, or similar executive relief for this conviction?; Do you currently have any pending criminal charge, open case, probation, parole, or other supervision?; Have you completed everything the court ordered in this case?; About how long ago did this case end or get resolved?; Does the record involve any Georgia category that the source identifies as excluded or review-required?</x:v>
      </x:c>
      <x:c r="E15" s="142" t="str">
        <x:v>charge; pardon_status; case_outcome; sentence_completion_date; prior_relief; pending_cases; offense_level; court; record_type; disposition_date; arrest_date; offense_category; criminal_history; residency_or_location</x:v>
      </x:c>
      <x:c r="F15" s="142" t="str">
        <x:v>guidance_only; likely_not_eligible; needs_review; not_yet; packet_ready_with_caution</x:v>
      </x:c>
      <x:c r="G15" s="142" t="str">
        <x:v>Confirm ownership and Georgia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15" s="56" t="str">
        <x:v>https://github.com/Roger-LegalEase/legalease-partner-dashboard-clean/blob/2f0ef0403f16e57544ad0bc86b2d1b1cd08861b3/src/lib/rcap-engine/compiled/profiles/GA-georgia.json</x:v>
      </x:c>
    </x:row>
    <x:row r="16">
      <x:c r="A16" s="55" t="str">
        <x:v>Hawaii</x:v>
      </x:c>
      <x:c r="B16" s="142" t="str">
        <x:v>HI</x:v>
      </x:c>
      <x:c r="C16" s="142" t="str">
        <x:v>Non-conviction arrest-information expungement under HRS § 831-3.2; Deferred acceptance dismissal — general one-year route; Deferred acceptance dismissal — HRS § 712-1200 three-year route; First-time drug-offender conviction expungement; DUI under age 21 conviction expungement</x:v>
      </x:c>
      <x:c r="D16" s="142" t="str">
        <x:v>How old were you when the offense or case began?; About how long ago did this case end or get resolved?</x:v>
      </x:c>
      <x:c r="E16" s="142" t="str">
        <x:v>case_outcome; court; record_type; offense_level; charge; offense_category; age_at_offense</x:v>
      </x:c>
      <x:c r="F16" s="142" t="str">
        <x:v>needs_review; packet_ready_with_caution</x:v>
      </x:c>
      <x:c r="G16" s="142" t="str">
        <x:v>Confirm ownership and Hawaii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16" s="56" t="str">
        <x:v>https://github.com/Roger-LegalEase/legalease-partner-dashboard-clean/blob/2f0ef0403f16e57544ad0bc86b2d1b1cd08861b3/src/lib/rcap-engine/compiled/profiles/HI-hawaii.json</x:v>
      </x:c>
    </x:row>
    <x:row r="17">
      <x:c r="A17" s="55" t="str">
        <x:v>Iowa</x:v>
      </x:c>
      <x:c r="B17" s="142" t="str">
        <x:v>IA</x:v>
      </x:c>
      <x:c r="C17" s="142" t="str">
        <x:v>Acquittal or all-charges-dismissed expungement under Iowa Code § 901C.2; Misdemeanor conviction expungement under Iowa Code § 901C.3; Public-intoxication conviction expungement under Iowa Code § 123.46; Underage-alcohol conviction expungement under Iowa Code § 123.47; Prostitution conviction expungement for conduct while under 18 under Iowa Code § 725.1</x:v>
      </x:c>
      <x:c r="D17" s="142" t="str">
        <x:v>How old were you when the offense or case began?; Have you previously received record-clearing relief in Iowa or elsewhere?; Have you completed everything the court ordered in this case?; About how long ago did this case end or get resolved?</x:v>
      </x:c>
      <x:c r="E17" s="142" t="str">
        <x:v>charge; case_outcome; court; offense_level; financial_obligations; county; prior_relief; offense_category; age_at_offense</x:v>
      </x:c>
      <x:c r="F17" s="142" t="str">
        <x:v>likely_not_eligible; needs_review; not_yet; packet_ready_with_caution</x:v>
      </x:c>
      <x:c r="G17" s="142" t="str">
        <x:v>Confirm ownership and Iowa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17" s="56" t="str">
        <x:v>https://github.com/Roger-LegalEase/legalease-partner-dashboard-clean/blob/2f0ef0403f16e57544ad0bc86b2d1b1cd08861b3/src/lib/rcap-engine/compiled/profiles/IA-iowa.json</x:v>
      </x:c>
    </x:row>
    <x:row r="18">
      <x:c r="A18" s="55" t="str">
        <x:v>Idaho</x:v>
      </x:c>
      <x:c r="B18" s="142" t="str">
        <x:v>ID</x:v>
      </x:c>
      <x:c r="C18" s="142" t="str">
        <x:v>Non-conviction fingerprint and criminal-history expungement under Idaho Code § 67-3004(10); Clean Slate shielding under Idaho Code § 67-3004(11); Withheld-judgment / Idaho Code § 19-2604 review branch; Juvenile expungement; Human-trafficking-survivor vacatur and expungement</x:v>
      </x:c>
      <x:c r="D18" s="142" t="str">
        <x:v>Have you previously received record-clearing relief in Idaho or elsewhere?; Have you completed everything the court ordered in this case?; About how long ago did this case end or get resolved?</x:v>
      </x:c>
      <x:c r="E18" s="142" t="str">
        <x:v>case_outcome; financial_obligations; county; court; charge; disposition_date; offense_category; prior_relief; offense_level; sentence_completion_date; criminal_history; case_number; record_type; age_at_offense; trafficking_status</x:v>
      </x:c>
      <x:c r="F18" s="142" t="str">
        <x:v>guidance_only; needs_more_info; needs_review; not_yet; packet_ready_with_caution</x:v>
      </x:c>
      <x:c r="G18" s="142" t="str">
        <x:v>Confirm ownership and Idaho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18" s="56" t="str">
        <x:v>https://github.com/Roger-LegalEase/legalease-partner-dashboard-clean/blob/2f0ef0403f16e57544ad0bc86b2d1b1cd08861b3/src/lib/rcap-engine/compiled/profiles/ID-idaho.json</x:v>
      </x:c>
    </x:row>
    <x:row r="19">
      <x:c r="A19" s="55" t="str">
        <x:v>Illinois</x:v>
      </x:c>
      <x:c r="B19" s="142" t="str">
        <x:v>IL</x:v>
      </x:c>
      <x:c r="C19" s="142" t="str">
        <x:v>Adult non-conviction expungement; Expungement after eligible supervision or qualified probation; Adult conviction sealing; Cannabis-specific automatic or petition expungement; Human-trafficking-survivor vacatur and expungement; Felony-prostitution relief; Criminal identity-theft / mistaken-identity relief; Juvenile automatic or petition expungement; Clean Slate automatic sealing</x:v>
      </x:c>
      <x:c r="D19" s="142" t="str">
        <x:v>How old were you when the offense or case began?; Was this offense connected to your status as a human-trafficking or sex-trafficking survivor?; Have you received a pardon, certificate of rehabilitation, or similar executive relief for this conviction?; Have you completed everything the court ordered in this case?; About how long ago did this case end or get resolved?; Does the record involve any Illinois category that the source identifies as excluded or review-required?</x:v>
      </x:c>
      <x:c r="E19" s="142" t="str">
        <x:v>case_outcome; sentence_completion_date; court; offense_level; charge; offense_category; pardon_status; age_at_offense; record_type; trafficking_status; residency_or_location; disposition_date; case_number; identity_error; criminal_history</x:v>
      </x:c>
      <x:c r="F19" s="142" t="str">
        <x:v>guidance_only; likely_not_eligible; needs_review; not_yet; packet_ready_with_caution</x:v>
      </x:c>
      <x:c r="G19" s="142" t="str">
        <x:v>Confirm ownership and Illinois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19" s="56" t="str">
        <x:v>https://github.com/Roger-LegalEase/legalease-partner-dashboard-clean/blob/2f0ef0403f16e57544ad0bc86b2d1b1cd08861b3/src/lib/rcap-engine/compiled/profiles/IL-illinois.json</x:v>
      </x:c>
    </x:row>
    <x:row r="20">
      <x:c r="A20" s="55" t="str">
        <x:v>Indiana</x:v>
      </x:c>
      <x:c r="B20" s="142" t="str">
        <x:v>IN</x:v>
      </x:c>
      <x:c r="C20" s="142" t="str">
        <x:v>Non-conviction arrest or criminal-charge expungement; Juvenile-allegation expungement; Conviction expungement with sealed/confidential access; Conviction expungement with records marked expunged</x:v>
      </x:c>
      <x:c r="D20" s="142" t="str">
        <x:v>Do you currently have any pending criminal charge, open case, probation, parole, or other supervision?; Have you completed everything the court ordered in this case?; About how long ago did this case end or get resolved?</x:v>
      </x:c>
      <x:c r="E20" s="142" t="str">
        <x:v>case_outcome; county; pending_cases; charge; age_at_offense; case_number; residency_or_location; court</x:v>
      </x:c>
      <x:c r="F20" s="142" t="str">
        <x:v>needs_more_info; needs_review; not_yet; packet_ready_with_caution</x:v>
      </x:c>
      <x:c r="G20" s="142" t="str">
        <x:v>Confirm ownership and Indiana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20" s="56" t="str">
        <x:v>https://github.com/Roger-LegalEase/legalease-partner-dashboard-clean/blob/2f0ef0403f16e57544ad0bc86b2d1b1cd08861b3/src/lib/rcap-engine/compiled/profiles/IN-indiana.json</x:v>
      </x:c>
    </x:row>
    <x:row r="21">
      <x:c r="A21" s="55" t="str">
        <x:v>Kansas</x:v>
      </x:c>
      <x:c r="B21" s="142" t="str">
        <x:v>KS</x:v>
      </x:c>
      <x:c r="C21" s="142" t="str">
        <x:v>Conviction or diversion expungement under K.S.A. 21-6614; Specialty-court completion route; Prostitution offense committed under coercion; Drug-offender registration relief coordinated with expungement</x:v>
      </x:c>
      <x:c r="D21" s="142" t="str">
        <x:v>Have you completed everything the court ordered in this case?; About how long ago did this case end or get resolved?</x:v>
      </x:c>
      <x:c r="E21" s="142" t="str">
        <x:v>charge; offense_category; case_outcome; court; offense_level; county; financial_obligations</x:v>
      </x:c>
      <x:c r="F21" s="142" t="str">
        <x:v>guidance_only; needs_more_info; needs_review; packet_ready_with_caution</x:v>
      </x:c>
      <x:c r="G21" s="142" t="str">
        <x:v>Confirm ownership and Kansas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21" s="56" t="str">
        <x:v>https://github.com/Roger-LegalEase/legalease-partner-dashboard-clean/blob/2f0ef0403f16e57544ad0bc86b2d1b1cd08861b3/src/lib/rcap-engine/compiled/profiles/KS-kansas.json</x:v>
      </x:c>
    </x:row>
    <x:row r="22">
      <x:c r="A22" s="55" t="str">
        <x:v>Kentucky</x:v>
      </x:c>
      <x:c r="B22" s="142" t="str">
        <x:v>KY</x:v>
      </x:c>
      <x:c r="C22" s="142" t="str">
        <x:v>Misdemeanor, violation, or traffic-infraction conviction expungement under KRS 431.078; Eligible felony conviction vacatur and expungement under KRS 431.073; Acquittal, dismissal, or failure-to-indict expungement under KRS 431.076; Juvenile automatic expungement on qualifying dismissal; Juvenile petition to vacate and expunge under KRS 610.330</x:v>
      </x:c>
      <x:c r="D22" s="142" t="str">
        <x:v>How old were you when the offense or case began?; Have you received a pardon, certificate of rehabilitation, or similar executive relief for this conviction?; Have you completed everything the court ordered in this case?; About how long ago did this case end or get resolved?</x:v>
      </x:c>
      <x:c r="E22" s="142" t="str">
        <x:v>sentence_completion_date; case_outcome; charge; offense_level; age_at_offense; record_type; offense_category; court; pardon_status; county</x:v>
      </x:c>
      <x:c r="F22" s="142" t="str">
        <x:v>guidance_only; needs_review; not_yet; packet_ready_with_caution</x:v>
      </x:c>
      <x:c r="G22" s="142" t="str">
        <x:v>Confirm ownership and Kentucky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22" s="56" t="str">
        <x:v>https://github.com/Roger-LegalEase/legalease-partner-dashboard-clean/blob/2f0ef0403f16e57544ad0bc86b2d1b1cd08861b3/src/lib/rcap-engine/compiled/profiles/KY-kentucky.json</x:v>
      </x:c>
    </x:row>
    <x:row r="23">
      <x:c r="A23" s="55" t="str">
        <x:v>Louisiana</x:v>
      </x:c>
      <x:c r="B23" s="142" t="str">
        <x:v>LA</x:v>
      </x:c>
      <x:c r="C23" s="142" t="str">
        <x:v>Non-conviction arrest expungement; Misdemeanor Article 894(B) set-aside followed by expungement; Misdemeanor five-year clean-period expungement; First-offense marijuana expungement after 90 days (Art. 998); Felony Article 893(E) set-aside followed by expungement; Felony ten-year clean-period expungement; First-offender-pardon felony expungement; Interim expungement of a felony arrest reduced to a misdemeanor conviction; Expungement by redaction for multi-person records; Human-trafficking-survivor expungement / fee-exempt route; Immediate expungement after successful court-program completion (Art. 985.3); Automated-expungement status verification (Art. 985.2)</x:v>
      </x:c>
      <x:c r="D23" s="142" t="str">
        <x:v>Have you received a pardon, certificate of rehabilitation, or similar executive relief for this conviction?; Do you currently have any pending criminal charge, open case, probation, parole, or other supervision?; Have you completed everything the court ordered in this case?; About how long ago did this case end or get resolved?</x:v>
      </x:c>
      <x:c r="E23" s="142" t="str">
        <x:v>case_outcome; criminal_history; court; record_type; offense_level; offense_category; charge; pardon_status; disposition_date; case_number; arrest_date; sentence_completion_date; financial_obligations; pending_cases; trafficking_status</x:v>
      </x:c>
      <x:c r="F23" s="142" t="str">
        <x:v>guidance_only; needs_review; packet_ready_with_caution</x:v>
      </x:c>
      <x:c r="G23" s="142" t="str">
        <x:v>Confirm ownership and Louisiana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23" s="56" t="str">
        <x:v>https://github.com/Roger-LegalEase/legalease-partner-dashboard-clean/blob/2f0ef0403f16e57544ad0bc86b2d1b1cd08861b3/src/lib/rcap-engine/compiled/profiles/LA-louisiana.json</x:v>
      </x:c>
    </x:row>
    <x:row r="24">
      <x:c r="A24" s="55" t="str">
        <x:v>Massachusetts</x:v>
      </x:c>
      <x:c r="B24" s="142" t="str">
        <x:v>MA</x:v>
      </x:c>
      <x:c r="C24" s="142" t="str">
        <x:v>Adult conviction sealing under M.G.L. c. 276, § 100A; Automatic non-conviction sealing for not-guilty, no-bill, or no-probable-cause outcomes (§ 100C); Court-requested sealing for dismissal or nolle prosequi (§ 100C); Juvenile record sealing under § 100B; Time-based expungement under §§ 100F–100J; Non-time-based expungement for false identity, error, fraud, or decriminalized conduct (§ 100K); Marijuana-only expungement</x:v>
      </x:c>
      <x:c r="D24" s="142" t="str">
        <x:v>How old were you when the offense or case began?; Was the arrest or record caused by mistaken identity, identity theft, or law-enforcement error?; Have you completed everything the court ordered in this case?; About how long ago did this case end or get resolved?</x:v>
      </x:c>
      <x:c r="E24" s="142" t="str">
        <x:v>offense_level; charge; case_outcome; record_type; court; age_at_offense; offense_category; identity_error; financial_obligations; residency_or_location</x:v>
      </x:c>
      <x:c r="F24" s="142" t="str">
        <x:v>guidance_only; needs_review; not_yet; packet_ready_with_caution</x:v>
      </x:c>
      <x:c r="G24" s="142" t="str">
        <x:v>Confirm ownership and Massachusetts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24" s="56" t="str">
        <x:v>https://github.com/Roger-LegalEase/legalease-partner-dashboard-clean/blob/2f0ef0403f16e57544ad0bc86b2d1b1cd08861b3/src/lib/rcap-engine/compiled/profiles/MA-massachusetts.json</x:v>
      </x:c>
    </x:row>
    <x:row r="25">
      <x:c r="A25" s="55" t="str">
        <x:v>Maryland</x:v>
      </x:c>
      <x:c r="B25" s="142" t="str">
        <x:v>MD</x:v>
      </x:c>
      <x:c r="C25" s="142" t="str">
        <x:v>Adult non-conviction expungement under Crim. Proc. § 10-105; Automatic expungement under Crim. Proc. § 10-105.1; Police-record expungement when no charge was filed under § 10-103; Eligible conviction expungement under Crim. Proc. § 10-110; Cannabis-specific expungement; Second Chance Act shielding; Juvenile expungement</x:v>
      </x:c>
      <x:c r="D25" s="142" t="str">
        <x:v>How old were you when the offense or case began?; Have you previously received record-clearing relief in Maryland or elsewhere?; Have you received a pardon, certificate of rehabilitation, or similar executive relief for this conviction?; Do you currently have any pending criminal charge, open case, probation, parole, or other supervision?; Have you completed everything the court ordered in this case?; About how long ago did this case end or get resolved?; Does the record involve any Maryland category that the source identifies as excluded or review-required?</x:v>
      </x:c>
      <x:c r="E25" s="142" t="str">
        <x:v>case_outcome; offense_category; charge; pending_cases; prior_relief; sentence_completion_date; court; age_at_offense; record_type; offense_level; county; pardon_status; financial_obligations; residency_or_location</x:v>
      </x:c>
      <x:c r="F25" s="142" t="str">
        <x:v>guidance_only; likely_not_eligible; needs_review; not_yet; packet_ready_with_caution</x:v>
      </x:c>
      <x:c r="G25" s="142" t="str">
        <x:v>Confirm ownership and Maryland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25" s="56" t="str">
        <x:v>https://github.com/Roger-LegalEase/legalease-partner-dashboard-clean/blob/2f0ef0403f16e57544ad0bc86b2d1b1cd08861b3/src/lib/rcap-engine/compiled/profiles/MD-maryland.json</x:v>
      </x:c>
    </x:row>
    <x:row r="26">
      <x:c r="A26" s="55" t="str">
        <x:v>Maine</x:v>
      </x:c>
      <x:c r="B26" s="142" t="str">
        <x:v>ME</x:v>
      </x:c>
      <x:c r="C26" s="142" t="str">
        <x:v>Adult conviction sealing; Sex-trafficking / sexual-exploitation-survivor sealing; Adult non-conviction record relief; Pardon route; Juvenile sealing</x:v>
      </x:c>
      <x:c r="D26" s="142" t="str">
        <x:v>How old were you when the offense or case began?; Was this offense connected to your status as a human-trafficking or sex-trafficking survivor?; Have you received a pardon, certificate of rehabilitation, or similar executive relief for this conviction?; Do you currently have any pending criminal charge, open case, probation, parole, or other supervision?; Have you completed everything the court ordered in this case?; About how long ago did this case end or get resolved?</x:v>
      </x:c>
      <x:c r="E26" s="142" t="str">
        <x:v>case_outcome; offense_level; offense_category; trafficking_status; charge; age_at_offense; court; sentence_completion_date; criminal_history; pardon_status; pending_cases; residency_or_location; disposition_date; financial_obligations; record_type</x:v>
      </x:c>
      <x:c r="F26" s="142" t="str">
        <x:v>guidance_only; likely_not_eligible; needs_review; not_yet; packet_ready_with_caution</x:v>
      </x:c>
      <x:c r="G26" s="142" t="str">
        <x:v>Confirm ownership and Maine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26" s="56" t="str">
        <x:v>https://github.com/Roger-LegalEase/legalease-partner-dashboard-clean/blob/2f0ef0403f16e57544ad0bc86b2d1b1cd08861b3/src/lib/rcap-engine/compiled/profiles/ME-maine.json</x:v>
      </x:c>
    </x:row>
    <x:row r="27">
      <x:c r="A27" s="55" t="str">
        <x:v>Michigan</x:v>
      </x:c>
      <x:c r="B27" s="142" t="str">
        <x:v>MI</x:v>
      </x:c>
      <x:c r="C27" s="142" t="str">
        <x:v>Set-aside by application under MCL 780.621; Automatic Clean Slate set-aside under MCL 780.621g; Misdemeanor marijuana set-aside under MCL 780.621e; First-offense OWI set-aside by application; Human-trafficking-related set-aside application</x:v>
      </x:c>
      <x:c r="D27" s="142" t="str">
        <x:v>Have you previously received record-clearing relief in Michigan or elsewhere?; Was this offense connected to your status as a human-trafficking or sex-trafficking survivor?; Do you currently have any pending criminal charge, open case, probation, parole, or other supervision?; Have you completed everything the court ordered in this case?; About how long ago did this case end or get resolved?; Does the record involve any Michigan category that the source identifies as excluded or review-required?</x:v>
      </x:c>
      <x:c r="E27" s="142" t="str">
        <x:v>offense_level; offense_category; charge; case_outcome; pending_cases; court; prior_relief; trafficking_status; residency_or_location; sentence_completion_date; financial_obligations</x:v>
      </x:c>
      <x:c r="F27" s="142" t="str">
        <x:v>guidance_only; likely_not_eligible; needs_review; not_yet; packet_ready_with_caution</x:v>
      </x:c>
      <x:c r="G27" s="142" t="str">
        <x:v>Confirm ownership and Michigan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27" s="56" t="str">
        <x:v>https://github.com/Roger-LegalEase/legalease-partner-dashboard-clean/blob/2f0ef0403f16e57544ad0bc86b2d1b1cd08861b3/src/lib/rcap-engine/compiled/profiles/MI-michigan.json</x:v>
      </x:c>
    </x:row>
    <x:row r="28">
      <x:c r="A28" s="55" t="str">
        <x:v>Minnesota</x:v>
      </x:c>
      <x:c r="B28" s="142" t="str">
        <x:v>MN</x:v>
      </x:c>
      <x:c r="C28" s="142" t="str">
        <x:v>Arrest-identification-data destruction when no charges were filed (Minn. Stat. § 299C.11); Automatic mistaken-identity expungement under § 609A.017; Automatic Clean Slate expungement under § 609A.015; Cannabis automatic or board-reviewed expungement under §§ 609A.055–.06; Prosecutor-agreed sealing without a full petition under § 609A.025; Petition-based expungement under §§ 609A.02–.03</x:v>
      </x:c>
      <x:c r="D28" s="142" t="str">
        <x:v>Was the arrest or record caused by mistaken identity, identity theft, or law-enforcement error?; Do you currently have any pending criminal charge, open case, probation, parole, or other supervision?; Have you completed everything the court ordered in this case?; About how long ago did this case end or get resolved?</x:v>
      </x:c>
      <x:c r="E28" s="142" t="str">
        <x:v>case_outcome; charge; pending_cases; court; identity_error; offense_level; offense_category; residency_or_location; record_type; disposition_date; criminal_history</x:v>
      </x:c>
      <x:c r="F28" s="142" t="str">
        <x:v>guidance_only; likely_not_eligible; needs_review; not_yet; packet_ready_with_caution</x:v>
      </x:c>
      <x:c r="G28" s="142" t="str">
        <x:v>Confirm ownership and Minnesota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28" s="56" t="str">
        <x:v>https://github.com/Roger-LegalEase/legalease-partner-dashboard-clean/blob/2f0ef0403f16e57544ad0bc86b2d1b1cd08861b3/src/lib/rcap-engine/compiled/profiles/MN-minnesota.json</x:v>
      </x:c>
    </x:row>
    <x:row r="29">
      <x:c r="A29" s="55" t="str">
        <x:v>Missouri</x:v>
      </x:c>
      <x:c r="B29" s="142" t="str">
        <x:v>MO</x:v>
      </x:c>
      <x:c r="C29" s="142" t="str">
        <x:v>General arrest, charge, plea, trial, or conviction expungement under RSMo § 610.140; Closed-record outcome under RSMo § 610.105; False-information or qualifying arrest-record expungement under §§ 610.122–.123; First intoxication-related traffic or boating expungement under § 610.130; Marijuana expungement under Missouri Constitution article XIV; Stolen- or mistaken-identity expungement under § 610.145; First minor-in-possession alcohol expungement under § 311.326</x:v>
      </x:c>
      <x:c r="D29" s="142" t="str">
        <x:v>Have you previously received record-clearing relief in Missouri or elsewhere?; Was the arrest or record caused by mistaken identity, identity theft, or law-enforcement error?; Do you currently have any pending criminal charge, open case, probation, parole, or other supervision?; Have you completed everything the court ordered in this case?; About how long ago did this case end or get resolved?; Does the record involve any Missouri category that the source identifies as excluded or review-required?</x:v>
      </x:c>
      <x:c r="E29" s="142" t="str">
        <x:v>offense_level; offense_category; charge; sentence_completion_date; financial_obligations; pending_cases; case_outcome; arrest_date; prior_relief; identity_error; residency_or_location; disposition_date; record_type; criminal_history; case_number</x:v>
      </x:c>
      <x:c r="F29" s="142" t="str">
        <x:v>likely_not_eligible; needs_review; not_yet; packet_ready_with_caution</x:v>
      </x:c>
      <x:c r="G29" s="142" t="str">
        <x:v>Confirm ownership and Missouri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29" s="56" t="str">
        <x:v>https://github.com/Roger-LegalEase/legalease-partner-dashboard-clean/blob/2f0ef0403f16e57544ad0bc86b2d1b1cd08861b3/src/lib/rcap-engine/compiled/profiles/MO-missouri.json</x:v>
      </x:c>
    </x:row>
    <x:row r="30">
      <x:c r="A30" s="55" t="str">
        <x:v>Mississippi</x:v>
      </x:c>
      <x:c r="B30" s="142" t="str">
        <x:v>MS</x:v>
      </x:c>
      <x:c r="C30" s="142" t="str">
        <x:v>Non-conviction expungement for dismissal, no disposition, or acquittal; Uncharged or unprosecuted misdemeanor after 12 months (§ 99-15-59); First-offender nontraffic misdemeanor conviction expungement (§ 99-19-71(1)); Additional justice- or municipal-court misdemeanor relief; Eligible felony-conviction expungement (§ 99-19-71); Nonadjudication under § 99-15-26; Pretrial intervention or diversion expungement; First-offense controlled-substance conditional-discharge relief; Intervention-court completion expungement; First-offense DUI expungement; DUI nonadjudication; Minor-in-possession / underage-alcohol expungement; Human-trafficking-survivor vacatur and expungement</x:v>
      </x:c>
      <x:c r="D30" s="142" t="str">
        <x:v>About how long ago did this case end or get resolved?</x:v>
      </x:c>
      <x:c r="E30" s="142" t="str">
        <x:v>case_outcome; offense_level; court; sentence_completion_date; financial_obligations; pending_cases; charge; prior_relief; record_type; disposition_date; residency_or_location; offense_category; county; age_at_offense; trafficking_status</x:v>
      </x:c>
      <x:c r="F30" s="142" t="str">
        <x:v>guidance_only; likely_not_eligible; needs_more_info; needs_review; not_yet; packet_ready_with_caution</x:v>
      </x:c>
      <x:c r="G30" s="142" t="str">
        <x:v>Confirm ownership and Mississippi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30" s="56" t="str">
        <x:v>https://github.com/Roger-LegalEase/legalease-partner-dashboard-clean/blob/2f0ef0403f16e57544ad0bc86b2d1b1cd08861b3/src/lib/rcap-engine/compiled/profiles/MS-mississippi.json</x:v>
      </x:c>
    </x:row>
    <x:row r="31">
      <x:c r="A31" s="55" t="str">
        <x:v>Montana</x:v>
      </x:c>
      <x:c r="B31" s="142" t="str">
        <x:v>MT</x:v>
      </x:c>
      <x:c r="C31" s="142" t="str">
        <x:v>Misdemeanor-conviction expungement under Mont. Code § 46-18-1104; Non-conviction criminal-history removal through CRISS; Deferred-sentence dismissal or confidentiality route; Marijuana-related redesignation / expungement under MMRTA; DOJ record-removal / update request</x:v>
      </x:c>
      <x:c r="D31" s="142" t="str">
        <x:v>How old were you when the offense or case began?; Have you previously received record-clearing relief in Montana or elsewhere?; Have you received a pardon, certificate of rehabilitation, or similar executive relief for this conviction?; Do you currently have any pending criminal charge, open case, probation, parole, or other supervision?; Have you completed everything the court ordered in this case?; About how long ago did this case end or get resolved?</x:v>
      </x:c>
      <x:c r="E31" s="142" t="str">
        <x:v>case_outcome; offense_level; criminal_history; court; sentence_completion_date; pending_cases; prior_relief; charge; residency_or_location; disposition_date; county; offense_category; pardon_status; record_type; financial_obligations</x:v>
      </x:c>
      <x:c r="F31" s="142" t="str">
        <x:v>guidance_only; hard_stop; needs_review; not_yet; packet_ready_with_caution</x:v>
      </x:c>
      <x:c r="G31" s="142" t="str">
        <x:v>Confirm ownership and Montana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31" s="56" t="str">
        <x:v>https://github.com/Roger-LegalEase/legalease-partner-dashboard-clean/blob/2f0ef0403f16e57544ad0bc86b2d1b1cd08861b3/src/lib/rcap-engine/compiled/profiles/MT-montana.json</x:v>
      </x:c>
    </x:row>
    <x:row r="32">
      <x:c r="A32" s="55" t="str">
        <x:v>North Carolina</x:v>
      </x:c>
      <x:c r="B32" s="142" t="str">
        <x:v>NC</x:v>
      </x:c>
      <x:c r="C32" s="142" t="str">
        <x:v>Dismissal and not-guilty expunction under G.S. 15A-146; Nonviolent conviction expunction under G.S. 15A-145.5; Youthful / pre-Raise-the-Age expunction under G.S. 15A-145.8A and related statutes</x:v>
      </x:c>
      <x:c r="D32" s="142" t="str">
        <x:v>Have you previously received record-clearing relief in North Carolina or elsewhere?; Do you currently have any pending criminal charge, open case, probation, parole, or other supervision?; Have you completed everything the court ordered in this case?; About how long ago did this case end or get resolved?; Does the record involve any North Carolina category that the source identifies as excluded or review-required?</x:v>
      </x:c>
      <x:c r="E32" s="142" t="str">
        <x:v>case_outcome; offense_level; offense_category; charge; pending_cases; disposition_date; court; financial_obligations; sentence_completion_date; prior_relief; residency_or_location</x:v>
      </x:c>
      <x:c r="F32" s="142" t="str">
        <x:v>guidance_only; likely_not_eligible; needs_review; not_yet; packet_ready_with_caution</x:v>
      </x:c>
      <x:c r="G32" s="142" t="str">
        <x:v>Confirm ownership and North Carolina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32" s="56" t="str">
        <x:v>https://github.com/Roger-LegalEase/legalease-partner-dashboard-clean/blob/2f0ef0403f16e57544ad0bc86b2d1b1cd08861b3/src/lib/rcap-engine/compiled/profiles/NC-north-carolina.json</x:v>
      </x:c>
    </x:row>
    <x:row r="33">
      <x:c r="A33" s="55" t="str">
        <x:v>North Dakota</x:v>
      </x:c>
      <x:c r="B33" s="142" t="str">
        <x:v>ND</x:v>
      </x:c>
      <x:c r="C33" s="142" t="str">
        <x:v>General conviction sealing under N.D.C.C. chapter 12-60.1; Non-conviction court-record closing under N.D.C.C. § 12-60.1-05; DUI-record sealing under the separate DUI statute; Deferred-imposition dismissal and sealing; First-offense possession sealing; Marijuana-specific summary-pardon or sealing relief</x:v>
      </x:c>
      <x:c r="D33" s="142" t="str">
        <x:v>About how long ago did this case end or get resolved?</x:v>
      </x:c>
      <x:c r="E33" s="142" t="str">
        <x:v>criminal_history; court; offense_category; case_outcome; offense_level; sentence_completion_date; financial_obligations; disposition_date; charge; record_type; pardon_status; age_at_offense; residency_or_location; trafficking_status; prior_relief</x:v>
      </x:c>
      <x:c r="F33" s="142" t="str">
        <x:v>guidance_only; likely_not_eligible; needs_review; not_yet; packet_ready_with_caution</x:v>
      </x:c>
      <x:c r="G33" s="142" t="str">
        <x:v>Confirm ownership and North Dakota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33" s="56" t="str">
        <x:v>https://github.com/Roger-LegalEase/legalease-partner-dashboard-clean/blob/2f0ef0403f16e57544ad0bc86b2d1b1cd08861b3/src/lib/rcap-engine/compiled/profiles/ND-north-dakota.json</x:v>
      </x:c>
    </x:row>
    <x:row r="34">
      <x:c r="A34" s="55" t="str">
        <x:v>Nebraska</x:v>
      </x:c>
      <x:c r="B34" s="142" t="str">
        <x:v>NE</x:v>
      </x:c>
      <x:c r="C34" s="142" t="str">
        <x:v>Automatic/time-based sealing of non-conviction records under § 29-3523; Conviction set-aside after probation, fine-only sentence, or community service under § 29-2264(2); Conviction set-aside after incarceration of one year or less under § 29-2264(3); Trafficking-survivor set-aside and sealing under § 29-3005; Pardon followed by motion to seal under § 29-3523(5); True expungement for arrest caused by law-enforcement error under § 29-3523(6); Juvenile automatic sealing under §§ 43-2,108.01 to 43-2,108.05; Juvenile petition-based sealing backstop</x:v>
      </x:c>
      <x:c r="D34" s="142" t="str">
        <x:v>How old were you when the offense or case began?; Have you received a pardon, certificate of rehabilitation, or similar executive relief for this conviction?; Was the arrest or record caused by mistaken identity, identity theft, or law-enforcement error?; Do you currently have any pending criminal charge, open case, probation, parole, or other supervision?; Have you completed everything the court ordered in this case?; About how long ago did this case end or get resolved?</x:v>
      </x:c>
      <x:c r="E34" s="142" t="str">
        <x:v>case_outcome; offense_category; pardon_status; residency_or_location; offense_level; charge; court; disposition_date; sentence_completion_date; pending_cases; county; age_at_offense; financial_obligations; record_type; identity_error; criminal_history; arrest_date</x:v>
      </x:c>
      <x:c r="F34" s="142" t="str">
        <x:v>guidance_only; likely_not_eligible; needs_more_info; needs_review; not_yet; packet_ready_with_caution</x:v>
      </x:c>
      <x:c r="G34" s="142" t="str">
        <x:v>Confirm ownership and Nebraska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34" s="56" t="str">
        <x:v>https://github.com/Roger-LegalEase/legalease-partner-dashboard-clean/blob/2f0ef0403f16e57544ad0bc86b2d1b1cd08861b3/src/lib/rcap-engine/compiled/profiles/NE-nebraska.json</x:v>
      </x:c>
    </x:row>
    <x:row r="35">
      <x:c r="A35" s="55" t="str">
        <x:v>New Hampshire</x:v>
      </x:c>
      <x:c r="B35" s="142" t="str">
        <x:v>NH</x:v>
      </x:c>
      <x:c r="C35" s="142" t="str">
        <x:v>Annulment after dismissal, acquittal, or nonprosecution; Annulment of a vacated conviction; Conviction annulment under RSA 651:5; Marijuana-possession annulment under RSA 651:5-b; DWI / DUI annulment; Out-of-state, federal, or military record guidance</x:v>
      </x:c>
      <x:c r="D35" s="142" t="str">
        <x:v>Have you completed everything the court ordered in this case?; About how long ago did this case end or get resolved?</x:v>
      </x:c>
      <x:c r="E35" s="142" t="str">
        <x:v>case_outcome; sentence_completion_date; pending_cases; charge; offense_category; offense_level; disposition_date; court; residency_or_location; record_type; criminal_history</x:v>
      </x:c>
      <x:c r="F35" s="142" t="str">
        <x:v>guidance_only; likely_not_eligible; needs_review; not_covered_yet; not_yet; packet_ready_with_caution</x:v>
      </x:c>
      <x:c r="G35" s="142" t="str">
        <x:v>Confirm ownership and New Hampshire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35" s="56" t="str">
        <x:v>https://github.com/Roger-LegalEase/legalease-partner-dashboard-clean/blob/2f0ef0403f16e57544ad0bc86b2d1b1cd08861b3/src/lib/rcap-engine/compiled/profiles/NH-new-hampshire.json</x:v>
      </x:c>
    </x:row>
    <x:row r="36">
      <x:c r="A36" s="55" t="str">
        <x:v>New Jersey</x:v>
      </x:c>
      <x:c r="B36" s="142" t="str">
        <x:v>NJ</x:v>
      </x:c>
      <x:c r="C36" s="142" t="str">
        <x:v>Regular expungement under N.J.S.A. 2C:52-2 / 2C:52-3; Clean Slate petition under N.J.S.A. 2C:52-5.3; Marijuana / hashish expungement under N.J.S.A. 2C:52-5.1, -5.2, and -6.1; Arrest, dismissal, and other non-conviction expungement under N.J.S.A. 2C:52-6</x:v>
      </x:c>
      <x:c r="D36" s="142" t="str">
        <x:v>How old were you when the offense or case began?; Have you previously received record-clearing relief in New Jersey or elsewhere?; Was this offense connected to your status as a human-trafficking or sex-trafficking survivor?; Have you received a pardon, certificate of rehabilitation, or similar executive relief for this conviction?; Do you currently have any pending criminal charge, open case, probation, parole, or other supervision?; Have you completed everything the court ordered in this case?; About how long ago did this case end or get resolved?; Does the record involve any New Jersey category that the source identifies as excluded or review-required?</x:v>
      </x:c>
      <x:c r="E36" s="142" t="str">
        <x:v>pending_cases; charge; case_outcome; offense_category; offense_level; court; financial_obligations; sentence_completion_date; age_at_offense; trafficking_status; pardon_status; prior_relief; residency_or_location</x:v>
      </x:c>
      <x:c r="F36" s="142" t="str">
        <x:v>guidance_only; likely_not_eligible; needs_review; not_yet; packet_ready_with_caution</x:v>
      </x:c>
      <x:c r="G36" s="142" t="str">
        <x:v>Confirm ownership and New Jersey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36" s="56" t="str">
        <x:v>https://github.com/Roger-LegalEase/legalease-partner-dashboard-clean/blob/2f0ef0403f16e57544ad0bc86b2d1b1cd08861b3/src/lib/rcap-engine/compiled/profiles/NJ-new-jersey.json</x:v>
      </x:c>
    </x:row>
    <x:row r="37">
      <x:c r="A37" s="55" t="str">
        <x:v>New Mexico</x:v>
      </x:c>
      <x:c r="B37" s="142" t="str">
        <x:v>NM</x:v>
      </x:c>
      <x:c r="C37" s="142" t="str">
        <x:v>No conviction / released without conviction; Conviction; Cannabis expungement; Cannabis sentence dismissal / incarcerated-person pathway; DNA sample/profile expungement</x:v>
      </x:c>
      <x:c r="D37" s="142" t="str">
        <x:v>How old were you when the offense or case began?; Was the arrest or record caused by mistaken identity, identity theft, or law-enforcement error?; Do you currently have any pending criminal charge, open case, probation, parole, or other supervision?; Have you completed everything the court ordered in this case?; About how long ago did this case end or get resolved?</x:v>
      </x:c>
      <x:c r="E37" s="142" t="str">
        <x:v>case_outcome; offense_level; offense_category; charge; financial_obligations; court; record_type; identity_error; disposition_date; sentence_completion_date; pending_cases; residency_or_location; arrest_date; age_at_offense</x:v>
      </x:c>
      <x:c r="F37" s="142" t="str">
        <x:v>guidance_only; needs_review; not_yet; packet_ready_with_caution</x:v>
      </x:c>
      <x:c r="G37" s="142" t="str">
        <x:v>Confirm ownership and New Mexico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37" s="56" t="str">
        <x:v>https://github.com/Roger-LegalEase/legalease-partner-dashboard-clean/blob/2f0ef0403f16e57544ad0bc86b2d1b1cd08861b3/src/lib/rcap-engine/compiled/profiles/NM-new-mexico.json</x:v>
      </x:c>
    </x:row>
    <x:row r="38">
      <x:c r="A38" s="55" t="str">
        <x:v>Nevada</x:v>
      </x:c>
      <x:c r="B38" s="142" t="str">
        <x:v>NV</x:v>
      </x:c>
      <x:c r="C38" s="142" t="str">
        <x:v>General conviction-record sealing under NRS 179.245; Deferred-judgment dismissal and sealing under NRS 176.211; Probation or specialty-court dismissal / set-aside sealing; Reentry-program sealing under NRS 179.259; Trafficking-victim vacatur and sealing under NRS 179.247; Controlled-substance possession sealing under NRS 453.3365; Non-conviction record sealing</x:v>
      </x:c>
      <x:c r="D38" s="142" t="str">
        <x:v>Have you received a pardon, certificate of rehabilitation, or similar executive relief for this conviction?; Do you currently have any pending criminal charge, open case, probation, parole, or other supervision?; Have you completed everything the court ordered in this case?; About how long ago did this case end or get resolved?</x:v>
      </x:c>
      <x:c r="E38" s="142" t="str">
        <x:v>case_outcome; record_type; pending_cases; charge; court; residency_or_location; offense_level; offense_category; disposition_date; arrest_date; sentence_completion_date</x:v>
      </x:c>
      <x:c r="F38" s="142" t="str">
        <x:v>needs_review; not_yet; packet_ready_with_caution</x:v>
      </x:c>
      <x:c r="G38" s="142" t="str">
        <x:v>Confirm ownership and Nevada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38" s="56" t="str">
        <x:v>https://github.com/Roger-LegalEase/legalease-partner-dashboard-clean/blob/2f0ef0403f16e57544ad0bc86b2d1b1cd08861b3/src/lib/rcap-engine/compiled/profiles/NV-nevada.json</x:v>
      </x:c>
    </x:row>
    <x:row r="39">
      <x:c r="A39" s="55" t="str">
        <x:v>New York</x:v>
      </x:c>
      <x:c r="B39" s="142" t="str">
        <x:v>NY</x:v>
      </x:c>
      <x:c r="C39" s="142" t="str">
        <x:v>Automatic non-conviction sealing under CPL 160.50 / 160.55; Marijuana-record destruction under the MRTA; Conditional / treatment sealing under CPL 160.58; Discretionary conviction sealing by petition under CPL 160.59; Automatic Clean Slate sealing under CPL 160.57</x:v>
      </x:c>
      <x:c r="D39" s="142" t="str">
        <x:v>Do you currently have any pending criminal charge, open case, probation, parole, or other supervision?; Have you completed everything the court ordered in this case?; About how long ago did this case end or get resolved?; Does the record involve any New York category that the source identifies as excluded or review-required?</x:v>
      </x:c>
      <x:c r="E39" s="142" t="str">
        <x:v>charge; case_outcome; court; offense_level; pending_cases; sentence_completion_date; offense_category; criminal_history; residency_or_location; disposition_date</x:v>
      </x:c>
      <x:c r="F39" s="142" t="str">
        <x:v>guidance_only; likely_not_eligible; needs_review; not_yet; packet_ready_with_caution</x:v>
      </x:c>
      <x:c r="G39" s="142" t="str">
        <x:v>Confirm ownership and New York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39" s="56" t="str">
        <x:v>https://github.com/Roger-LegalEase/legalease-partner-dashboard-clean/blob/2f0ef0403f16e57544ad0bc86b2d1b1cd08861b3/src/lib/rcap-engine/compiled/profiles/NY-new-york.json</x:v>
      </x:c>
    </x:row>
    <x:row r="40">
      <x:c r="A40" s="55" t="str">
        <x:v>Ohio</x:v>
      </x:c>
      <x:c r="B40" s="142" t="str">
        <x:v>OH</x:v>
      </x:c>
      <x:c r="C40" s="142" t="str">
        <x:v>Adult conviction sealing or expungement under Ohio Rev. Code § 2953.32; Adult non-conviction sealing or expungement under § 2953.33; Marijuana / hashish possession expungement under § 2953.321; Human-trafficking-survivor conviction expungement under § 2953.36; Human-trafficking-survivor non-conviction expungement under § 2953.521; Certain firearm / carry conviction expungement under § 2953.35; Juvenile sealing and expungement</x:v>
      </x:c>
      <x:c r="D40" s="142" t="str">
        <x:v>How old were you when the offense or case began?; Was this offense connected to your status as a human-trafficking or sex-trafficking survivor?; Have you received a pardon, certificate of rehabilitation, or similar executive relief for this conviction?; Do you currently have any pending criminal charge, open case, probation, parole, or other supervision?; Have you completed everything the court ordered in this case?; About how long ago did this case end or get resolved?</x:v>
      </x:c>
      <x:c r="E40" s="142" t="str">
        <x:v>case_outcome; offense_level; charge; age_at_offense; record_type; pardon_status; offense_category; sentence_completion_date; pending_cases; residency_or_location; disposition_date; trafficking_status</x:v>
      </x:c>
      <x:c r="F40" s="142" t="str">
        <x:v>likely_not_eligible; needs_review; not_yet; packet_ready_with_caution</x:v>
      </x:c>
      <x:c r="G40" s="142" t="str">
        <x:v>Confirm ownership and Ohio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40" s="56" t="str">
        <x:v>https://github.com/Roger-LegalEase/legalease-partner-dashboard-clean/blob/2f0ef0403f16e57544ad0bc86b2d1b1cd08861b3/src/lib/rcap-engine/compiled/profiles/OH-ohio.json</x:v>
      </x:c>
    </x:row>
    <x:row r="41">
      <x:c r="A41" s="55" t="str">
        <x:v>Oklahoma</x:v>
      </x:c>
      <x:c r="B41" s="142" t="str">
        <x:v>OK</x:v>
      </x:c>
      <x:c r="C41" s="142" t="str">
        <x:v>Arrest with no charges filed; Acquittal, dismissal, or other no-conviction expungement; Conviction reversed and case dismissed; DNA factual-innocence expungement; Misdemeanor deferred-dismissal expungement; Nonviolent-felony deferred-dismissal expungement; Up-to-two-felony deferred-dismissal expungement; Fine-only misdemeanor conviction expungement; Other eligible misdemeanor-conviction expungement; One eligible nonviolent-felony conviction expungement; Not-more-than-two eligible felony convictions expungement; Felony reclassified as a misdemeanor; Pardon-based expungement; Deferred-sentence court-record expungement under § 991(c); Clean Slate automatic expungement; Human-trafficking-survivor relief; Victim Protective Order record relief; Juvenile record expungement</x:v>
      </x:c>
      <x:c r="D41" s="142" t="str">
        <x:v>How old were you when the offense or case began?; Was this offense connected to your status as a human-trafficking or sex-trafficking survivor?; Have you received a pardon, certificate of rehabilitation, or similar executive relief for this conviction?; Have you completed everything the court ordered in this case?; About how long ago did this case end or get resolved?</x:v>
      </x:c>
      <x:c r="E41" s="142" t="str">
        <x:v>case_outcome; court; record_type; offense_level; charge; sentence_completion_date; offense_category; trafficking_status; age_at_offense; financial_obligations; disposition_date; arrest_date; pardon_status; identity_error; residency_or_location</x:v>
      </x:c>
      <x:c r="F41" s="142" t="str">
        <x:v>guidance_only; needs_more_info; needs_review; packet_ready_with_caution</x:v>
      </x:c>
      <x:c r="G41" s="142" t="str">
        <x:v>Confirm ownership and Oklahoma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41" s="56" t="str">
        <x:v>https://github.com/Roger-LegalEase/legalease-partner-dashboard-clean/blob/2f0ef0403f16e57544ad0bc86b2d1b1cd08861b3/src/lib/rcap-engine/compiled/profiles/OK-oklahoma.json</x:v>
      </x:c>
    </x:row>
    <x:row r="42">
      <x:c r="A42" s="55" t="str">
        <x:v>Oregon</x:v>
      </x:c>
      <x:c r="B42" s="142" t="str">
        <x:v>OR</x:v>
      </x:c>
      <x:c r="C42" s="142" t="str">
        <x:v>Set-aside of arrests or charges without conviction under ORS 137.225(1)(c); Set-aside of eligible convictions under ORS 137.225(1)(a); Marijuana-specific set-aside / redesignation</x:v>
      </x:c>
      <x:c r="D42" s="142" t="str">
        <x:v>Do you currently have any pending criminal charge, open case, probation, parole, or other supervision?; Have you completed everything the court ordered in this case?; About how long ago did this case end or get resolved?; Does the record involve any Oregon category that the source identifies as excluded or review-required?</x:v>
      </x:c>
      <x:c r="E42" s="142" t="str">
        <x:v>offense_category; case_outcome; charge; pending_cases; offense_level; financial_obligations; disposition_date; sentence_completion_date; court; residency_or_location; criminal_history; identity_error</x:v>
      </x:c>
      <x:c r="F42" s="142" t="str">
        <x:v>likely_not_eligible; needs_review; not_yet; packet_ready_with_caution</x:v>
      </x:c>
      <x:c r="G42" s="142" t="str">
        <x:v>Confirm ownership and Oregon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42" s="56" t="str">
        <x:v>https://github.com/Roger-LegalEase/legalease-partner-dashboard-clean/blob/2f0ef0403f16e57544ad0bc86b2d1b1cd08861b3/src/lib/rcap-engine/compiled/profiles/OR-oregon.json</x:v>
      </x:c>
    </x:row>
    <x:row r="43">
      <x:c r="A43" s="55" t="str">
        <x:v>Pennsylvania</x:v>
      </x:c>
      <x:c r="B43" s="142" t="str">
        <x:v>PA</x:v>
      </x:c>
      <x:c r="C43" s="142" t="str">
        <x:v>Path A — Non-conviction expungement; Path B — Complete-acquittal / not-guilty expungement; Path C — Summary-conviction expungement; Path D — ARD expungement; Path E — Age-70 expungement; Path F — Deceased-person expungement; Path G — Underage-drinking conviction expungement; Path H — Pardon-based expungement; Path I — Petition for limited access; Path J — Clean Slate automatic limited access; Path K — Human-trafficking vacatur / expungement</x:v>
      </x:c>
      <x:c r="D43" s="142" t="str">
        <x:v>About how long ago did this case end or get resolved?</x:v>
      </x:c>
      <x:c r="E43" s="142" t="str">
        <x:v>pardon_status; case_outcome; offense_level; financial_obligations; charge; disposition_date; court; offense_category; age_at_offense; record_type; trafficking_status; residency_or_location; criminal_history; county; sentence_completion_date</x:v>
      </x:c>
      <x:c r="F43" s="142" t="str">
        <x:v>guidance_only; needs_more_info; needs_review; not_yet; packet_ready_with_caution</x:v>
      </x:c>
      <x:c r="G43" s="142" t="str">
        <x:v>Confirm ownership and Pennsylvania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43" s="56" t="str">
        <x:v>https://github.com/Roger-LegalEase/legalease-partner-dashboard-clean/blob/2f0ef0403f16e57544ad0bc86b2d1b1cd08861b3/src/lib/rcap-engine/compiled/profiles/PA-pennsylvania.json</x:v>
      </x:c>
    </x:row>
    <x:row r="44">
      <x:c r="A44" s="55" t="str">
        <x:v>Rhode Island</x:v>
      </x:c>
      <x:c r="B44" s="142" t="str">
        <x:v>RI</x:v>
      </x:c>
      <x:c r="C44" s="142" t="str">
        <x:v>Path A — First-offender conviction expungement; Path B — Multiple-misdemeanor expungement; Path C — Deferred-sentence expungement; Path D — Non-conviction sealing / expungement; Path E — Filed-complaint relief under § 12-10-12; Path F — Marijuana-possession expungement; Path G — Decriminalized-offense expungement; Path H — Commercial-sexual-activity-related expungement</x:v>
      </x:c>
      <x:c r="D44" s="142" t="str">
        <x:v>About how long ago did this case end or get resolved?</x:v>
      </x:c>
      <x:c r="E44" s="142" t="str">
        <x:v>case_outcome; offense_level; charge; court; offense_category; pending_cases; disposition_date; financial_obligations; criminal_history; record_type; sentence_completion_date; residency_or_location</x:v>
      </x:c>
      <x:c r="F44" s="142" t="str">
        <x:v>guidance_only; likely_not_eligible; needs_more_info; needs_review; not_yet; packet_ready_with_caution</x:v>
      </x:c>
      <x:c r="G44" s="142" t="str">
        <x:v>Confirm ownership and Rhode Island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44" s="56" t="str">
        <x:v>https://github.com/Roger-LegalEase/legalease-partner-dashboard-clean/blob/2f0ef0403f16e57544ad0bc86b2d1b1cd08861b3/src/lib/rcap-engine/compiled/profiles/RI-rhode-island.json</x:v>
      </x:c>
    </x:row>
    <x:row r="45">
      <x:c r="A45" s="55" t="str">
        <x:v>South Carolina</x:v>
      </x:c>
      <x:c r="B45" s="142" t="str">
        <x:v>SC</x:v>
      </x:c>
      <x:c r="C45" s="142" t="str">
        <x:v>General Sessions non-conviction expungement; Summary-court non-conviction expungement; Diversion or program-completion expungement; Eligible conviction expungement; Human-trafficking-survivor expungement; Juvenile expungement; Pardon guidance for otherwise ineligible convictions</x:v>
      </x:c>
      <x:c r="D45" s="142" t="str">
        <x:v>How old were you when the offense or case began?; Have you previously received record-clearing relief in South Carolina or elsewhere?; Was this offense connected to your status as a human-trafficking or sex-trafficking survivor?; Have you received a pardon, certificate of rehabilitation, or similar executive relief for this conviction?; Do you currently have any pending criminal charge, open case, probation, parole, or other supervision?; Have you completed everything the court ordered in this case?; About how long ago did this case end or get resolved?</x:v>
      </x:c>
      <x:c r="E45" s="142" t="str">
        <x:v>case_outcome; offense_category; pending_cases; charge; age_at_offense; sentence_completion_date; court; pardon_status; disposition_date; prior_relief; offense_level; trafficking_status; criminal_history; financial_obligations; record_type</x:v>
      </x:c>
      <x:c r="F45" s="142" t="str">
        <x:v>guidance_only; needs_review; not_yet; packet_ready_with_caution</x:v>
      </x:c>
      <x:c r="G45" s="142" t="str">
        <x:v>Confirm ownership and South Carolina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45" s="56" t="str">
        <x:v>https://github.com/Roger-LegalEase/legalease-partner-dashboard-clean/blob/2f0ef0403f16e57544ad0bc86b2d1b1cd08861b3/src/lib/rcap-engine/compiled/profiles/SC-south-carolina.json</x:v>
      </x:c>
    </x:row>
    <x:row r="46">
      <x:c r="A46" s="55" t="str">
        <x:v>South Dakota</x:v>
      </x:c>
      <x:c r="B46" s="142" t="str">
        <x:v>SD</x:v>
      </x:c>
      <x:c r="C46" s="142" t="str">
        <x:v>Adult arrest-record expungement under SDCL § 23A-3-27; Diversion expungement; Automatic public-record removal for petty, municipal, and Class 2 misdemeanor cases; Suspended-imposition-of-sentence sealing; Controlled-substance deferred-disposition route; Pardon-based sealing; Juvenile-delinquency sealing; Juvenile-trafficking expungement</x:v>
      </x:c>
      <x:c r="D46" s="142" t="str">
        <x:v>How old were you when the offense or case began?; Was this offense connected to your status as a human-trafficking or sex-trafficking survivor?; Have you received a pardon, certificate of rehabilitation, or similar executive relief for this conviction?; Have you completed everything the court ordered in this case?; About how long ago did this case end or get resolved?</x:v>
      </x:c>
      <x:c r="E46" s="142" t="str">
        <x:v>offense_level; charge; case_outcome; pardon_status; financial_obligations; court; record_type; offense_category; age_at_offense; disposition_date; residency_or_location; sentence_completion_date; trafficking_status</x:v>
      </x:c>
      <x:c r="F46" s="142" t="str">
        <x:v>guidance_only; needs_review; packet_ready_with_caution</x:v>
      </x:c>
      <x:c r="G46" s="142" t="str">
        <x:v>Confirm ownership and South Dakota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46" s="56" t="str">
        <x:v>https://github.com/Roger-LegalEase/legalease-partner-dashboard-clean/blob/2f0ef0403f16e57544ad0bc86b2d1b1cd08861b3/src/lib/rcap-engine/compiled/profiles/SD-south-dakota.json</x:v>
      </x:c>
    </x:row>
    <x:row r="47">
      <x:c r="A47" s="55" t="str">
        <x:v>Tennessee</x:v>
      </x:c>
      <x:c r="B47" s="142" t="str">
        <x:v>TN</x:v>
      </x:c>
      <x:c r="C47" s="142" t="str">
        <x:v>Pathway 1 — Free non-conviction expunction under Tenn. Code §§ 40-32-101(a) / 40-32-106; Pathway 2 — Diversion expunction under §§ 40-15-105 / 40-35-313; Pathway 3 — Eligible-conviction expunction under §§ 40-32-101(g) / 40-32-107; Pathway 4 — Two-offense expunction under § 40-32-101(k)</x:v>
      </x:c>
      <x:c r="D47" s="142" t="str">
        <x:v>Have you previously received record-clearing relief in Tennessee or elsewhere?; Have you completed everything the court ordered in this case?; About how long ago did this case end or get resolved?; Does the record involve any Tennessee category that the source identifies as excluded or review-required?</x:v>
      </x:c>
      <x:c r="E47" s="142" t="str">
        <x:v>case_outcome; charge; offense_level; offense_category; residency_or_location; financial_obligations; court; sentence_completion_date; disposition_date; prior_relief; criminal_history</x:v>
      </x:c>
      <x:c r="F47" s="142" t="str">
        <x:v>guidance_only; likely_not_eligible; needs_review; not_yet; packet_ready_with_caution</x:v>
      </x:c>
      <x:c r="G47" s="142" t="str">
        <x:v>Confirm ownership and Tennessee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47" s="56" t="str">
        <x:v>https://github.com/Roger-LegalEase/legalease-partner-dashboard-clean/blob/2f0ef0403f16e57544ad0bc86b2d1b1cd08861b3/src/lib/rcap-engine/compiled/profiles/TN-tennessee.json</x:v>
      </x:c>
    </x:row>
    <x:row r="48">
      <x:c r="A48" s="55" t="str">
        <x:v>Texas</x:v>
      </x:c>
      <x:c r="B48" s="142" t="str">
        <x:v>TX</x:v>
      </x:c>
      <x:c r="C48" s="142" t="str">
        <x:v>Expunction after acquittal / not-guilty disposition (Chapter 55A); Expunction for arrest with no charge filed after the limitations period; Expunction after qualifying dismissal or quash; Expunction after pardon or actual-innocence relief; Expunction after qualifying Class C deferred disposition; Automatic nondisclosure for qualifying nonviolent misdemeanor deferred adjudication (§ 411.072); Petitioned nondisclosure after completed deferred adjudication (§ 411.0725); Petitioned nondisclosure for an eligible conviction (§ 411.0735); First-offense DWI nondisclosure</x:v>
      </x:c>
      <x:c r="D48" s="142" t="str">
        <x:v>Have you received a pardon, certificate of rehabilitation, or similar executive relief for this conviction?; Was the arrest or record caused by mistaken identity, identity theft, or law-enforcement error?; Do you currently have any pending criminal charge, open case, probation, parole, or other supervision?; Have you completed everything the court ordered in this case?; About how long ago did this case end or get resolved?; Does the record involve any Texas category that the source identifies as excluded or review-required?</x:v>
      </x:c>
      <x:c r="E48" s="142" t="str">
        <x:v>case_outcome; charge; offense_level; pending_cases; offense_category; financial_obligations; court; pardon_status; residency_or_location; disposition_date; identity_error; record_type; arrest_date; sentence_completion_date</x:v>
      </x:c>
      <x:c r="F48" s="142" t="str">
        <x:v>guidance_only; needs_review; not_yet; packet_ready_with_caution</x:v>
      </x:c>
      <x:c r="G48" s="142" t="str">
        <x:v>Confirm ownership and Texas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48" s="56" t="str">
        <x:v>https://github.com/Roger-LegalEase/legalease-partner-dashboard-clean/blob/2f0ef0403f16e57544ad0bc86b2d1b1cd08861b3/src/lib/rcap-engine/compiled/profiles/TX-texas.json</x:v>
      </x:c>
    </x:row>
    <x:row r="49">
      <x:c r="A49" s="55" t="str">
        <x:v>Utah</x:v>
      </x:c>
      <x:c r="B49" s="142" t="str">
        <x:v>UT</x:v>
      </x:c>
      <x:c r="C49" s="142" t="str">
        <x:v>Path A — Automatic Clean Slate expungement; Path B — Automatic expungement after acquittal or dismissal with prejudice; Path C — Clean Slate eligible convictions and plea-in-abeyance dismissals; Path D — Petition-based expungement with a BCI Certificate of Eligibility; Path E — Petition-based non-conviction expungement; Path F — Petition-based conviction expungement; Path I — Traffic-offense expungement or deletion; Path J — Cannabis-possession petition without a BCI certificate; Path K — Pardon-based expungement; Path L — Vacatur / human-trafficking-related expungement; Path M — Juvenile expungement</x:v>
      </x:c>
      <x:c r="D49" s="142" t="str">
        <x:v>About how long ago did this case end or get resolved?</x:v>
      </x:c>
      <x:c r="E49" s="142" t="str">
        <x:v>case_outcome; offense_level; offense_category; charge; pardon_status; court; disposition_date; sentence_completion_date; financial_obligations; pending_cases; criminal_history; prior_relief; trafficking_status; age_at_offense; record_type; residency_or_location</x:v>
      </x:c>
      <x:c r="F49" s="142" t="str">
        <x:v>guidance_only; likely_not_eligible; needs_review; not_yet; packet_ready_with_caution</x:v>
      </x:c>
      <x:c r="G49" s="142" t="str">
        <x:v>Confirm ownership and Utah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49" s="56" t="str">
        <x:v>https://github.com/Roger-LegalEase/legalease-partner-dashboard-clean/blob/2f0ef0403f16e57544ad0bc86b2d1b1cd08861b3/src/lib/rcap-engine/compiled/profiles/UT-utah.json</x:v>
      </x:c>
    </x:row>
    <x:row r="50">
      <x:c r="A50" s="55" t="str">
        <x:v>Virginia</x:v>
      </x:c>
      <x:c r="B50" s="142" t="str">
        <x:v>VA</x:v>
      </x:c>
      <x:c r="C50" s="142" t="str">
        <x:v>Regime 1 — Expungement (§ 19.2-392.2), available now; Automatic sealing (§ 19.2-392.7) — no filing; Petition-based sealing (§ 19.2-392.12 / .12:1)</x:v>
      </x:c>
      <x:c r="D50" s="142" t="str">
        <x:v>Was this offense connected to your status as a human-trafficking or sex-trafficking survivor?; Have you received a pardon, certificate of rehabilitation, or similar executive relief for this conviction?; Was the arrest or record caused by mistaken identity, identity theft, or law-enforcement error?; About how long ago did this case end or get resolved?; Does the record involve any Virginia category that the source identifies as excluded or review-required?</x:v>
      </x:c>
      <x:c r="E50" s="142" t="str">
        <x:v>offense_level; pardon_status; charge; case_outcome; offense_category; record_type; court; disposition_date; trafficking_status; residency_or_location; identity_error</x:v>
      </x:c>
      <x:c r="F50" s="142" t="str">
        <x:v>guidance_only; likely_not_eligible; needs_review; not_yet; packet_ready_with_caution</x:v>
      </x:c>
      <x:c r="G50" s="142" t="str">
        <x:v>Confirm ownership and Virginia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50" s="56" t="str">
        <x:v>https://github.com/Roger-LegalEase/legalease-partner-dashboard-clean/blob/2f0ef0403f16e57544ad0bc86b2d1b1cd08861b3/src/lib/rcap-engine/compiled/profiles/VA-virginia.json</x:v>
      </x:c>
    </x:row>
    <x:row r="51">
      <x:c r="A51" s="55" t="str">
        <x:v>Vermont</x:v>
      </x:c>
      <x:c r="B51" s="142" t="str">
        <x:v>VT</x:v>
      </x:c>
      <x:c r="C51" s="142" t="str">
        <x:v>Adult conviction expungement — narrow statutory route; Adult misdemeanor-conviction sealing; Adult felony-conviction sealing; DUI sealing; Non-conviction sealing; Young-adult sealing for offenses committed at ages 18–21; Offense-before-age-25 sealing under 33 V.S.A. § 5119(g); Juvenile sealing</x:v>
      </x:c>
      <x:c r="D51" s="142" t="str">
        <x:v>How old were you when the offense or case began?; Have you received a pardon, certificate of rehabilitation, or similar executive relief for this conviction?; Was the arrest or record caused by mistaken identity, identity theft, or law-enforcement error?; Do you currently have any pending criminal charge, open case, probation, parole, or other supervision?; Have you completed everything the court ordered in this case?; About how long ago did this case end or get resolved?</x:v>
      </x:c>
      <x:c r="E51" s="142" t="str">
        <x:v>offense_level; offense_category; sentence_completion_date; pending_cases; court; charge; case_outcome; financial_obligations; pardon_status; age_at_offense; record_type; identity_error; criminal_history; disposition_date</x:v>
      </x:c>
      <x:c r="F51" s="142" t="str">
        <x:v>guidance_only; likely_not_eligible; needs_review; not_yet; packet_ready_with_caution</x:v>
      </x:c>
      <x:c r="G51" s="142" t="str">
        <x:v>Confirm ownership and Vermont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51" s="56" t="str">
        <x:v>https://github.com/Roger-LegalEase/legalease-partner-dashboard-clean/blob/2f0ef0403f16e57544ad0bc86b2d1b1cd08861b3/src/lib/rcap-engine/compiled/profiles/VT-vermont.json</x:v>
      </x:c>
    </x:row>
    <x:row r="52">
      <x:c r="A52" s="55" t="str">
        <x:v>Washington</x:v>
      </x:c>
      <x:c r="B52" s="142" t="str">
        <x:v>WA</x:v>
      </x:c>
      <x:c r="C52" s="142" t="str">
        <x:v>Adult misdemeanor / gross-misdemeanor vacation under RCW 9.96.060; Adult felony vacation under RCW 9.94A.640; Non-conviction record deletion under RCW 10.97.060; Blake drug-possession vacation and refund route; Misdemeanor cannabis-conviction vacation; Victim / survivor conviction-vacation route; Juvenile-record sealing under RCW 13.50.260</x:v>
      </x:c>
      <x:c r="D52" s="142" t="str">
        <x:v>How old were you when the offense or case began?; Was this offense connected to your status as a human-trafficking or sex-trafficking survivor?; Do you currently have any pending criminal charge, open case, probation, parole, or other supervision?; Have you completed everything the court ordered in this case?; About how long ago did this case end or get resolved?</x:v>
      </x:c>
      <x:c r="E52" s="142" t="str">
        <x:v>offense_level; offense_category; charge; case_outcome; court; trafficking_status; age_at_offense; financial_obligations; sentence_completion_date; record_type; pending_cases</x:v>
      </x:c>
      <x:c r="F52" s="142" t="str">
        <x:v>guidance_only; likely_not_eligible; needs_review; packet_ready_with_caution</x:v>
      </x:c>
      <x:c r="G52" s="142" t="str">
        <x:v>Confirm ownership and Washington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52" s="56" t="str">
        <x:v>https://github.com/Roger-LegalEase/legalease-partner-dashboard-clean/blob/2f0ef0403f16e57544ad0bc86b2d1b1cd08861b3/src/lib/rcap-engine/compiled/profiles/WA-washington.json</x:v>
      </x:c>
    </x:row>
    <x:row r="53">
      <x:c r="A53" s="55" t="str">
        <x:v>Wisconsin</x:v>
      </x:c>
      <x:c r="B53" s="142" t="str">
        <x:v>WI</x:v>
      </x:c>
      <x:c r="C53" s="142" t="str">
        <x:v>Adult conviction expungement under Wis. Stat. § 973.015; Adult non-conviction / arrest-only record correction or removal; Human-trafficking / prostitution relief under § 973.015(2m); Juvenile-adjudication expungement under Wis. Stat. § 938.355(4m); Executive-pardon guidance</x:v>
      </x:c>
      <x:c r="D53" s="142" t="str">
        <x:v>How old were you when the offense or case began?; Was this offense connected to your status as a human-trafficking or sex-trafficking survivor?; Have you received a pardon, certificate of rehabilitation, or similar executive relief for this conviction?; Have you completed everything the court ordered in this case?; About how long ago did this case end or get resolved?</x:v>
      </x:c>
      <x:c r="E53" s="142" t="str">
        <x:v>case_outcome; sentence_completion_date; charge; court; offense_level; offense_category; trafficking_status; criminal_history; age_at_offense; pardon_status; disposition_date; record_type</x:v>
      </x:c>
      <x:c r="F53" s="142" t="str">
        <x:v>guidance_only; needs_review; packet_ready_with_caution</x:v>
      </x:c>
      <x:c r="G53" s="142" t="str">
        <x:v>Confirm ownership and Wisconsin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53" s="56" t="str">
        <x:v>https://github.com/Roger-LegalEase/legalease-partner-dashboard-clean/blob/2f0ef0403f16e57544ad0bc86b2d1b1cd08861b3/src/lib/rcap-engine/compiled/profiles/WI-wisconsin.json</x:v>
      </x:c>
    </x:row>
    <x:row r="54">
      <x:c r="A54" s="55" t="str">
        <x:v>West Virginia</x:v>
      </x:c>
      <x:c r="B54" s="142" t="str">
        <x:v>WV</x:v>
      </x:c>
      <x:c r="C54" s="142" t="str">
        <x:v>No-conviction expungement for acquittal, dismissal, diversion, or deferred adjudication; Eligible conviction expungement under W. Va. Code § 61-11-26; Accelerated treatment / recovery / job-readiness expungement under § 61-11-26a; First-offense drug-possession conditional-discharge relief; Pardon-based expungement; Sex-trafficking-victim vacatur and expungement; Juvenile-record relief</x:v>
      </x:c>
      <x:c r="D54" s="142" t="str">
        <x:v>How old were you when the offense or case began?; Have you previously received record-clearing relief in West Virginia or elsewhere?; Was this offense connected to your status as a human-trafficking or sex-trafficking survivor?; Have you received a pardon, certificate of rehabilitation, or similar executive relief for this conviction?; Have you completed everything the court ordered in this case?; About how long ago did this case end or get resolved?</x:v>
      </x:c>
      <x:c r="E54" s="142" t="str">
        <x:v>case_outcome; pardon_status; financial_obligations; court; charge; disposition_date; offense_level; offense_category; trafficking_status; age_at_offense; record_type; prior_relief; case_number; arrest_date; sentence_completion_date; criminal_history; identity_error; residency_or_location</x:v>
      </x:c>
      <x:c r="F54" s="142" t="str">
        <x:v>needs_review; not_yet; packet_ready_with_caution</x:v>
      </x:c>
      <x:c r="G54" s="142" t="str">
        <x:v>Confirm ownership and West Virginia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54" s="56" t="str">
        <x:v>https://github.com/Roger-LegalEase/legalease-partner-dashboard-clean/blob/2f0ef0403f16e57544ad0bc86b2d1b1cd08861b3/src/lib/rcap-engine/compiled/profiles/WV-west-virginia.json</x:v>
      </x:c>
    </x:row>
    <x:row r="55">
      <x:c r="A55" s="57" t="str">
        <x:v>Wyoming</x:v>
      </x:c>
      <x:c r="B55" s="143" t="str">
        <x:v>WY</x:v>
      </x:c>
      <x:c r="C55" s="143" t="str">
        <x:v>Adult non-conviction expungement - W.S. 7-13-1401; Misdemeanor conviction expungement - W.S. 7-13-1501; Felony conviction expungement - W.S. 7-13-1502; Human-trafficking victim vacatur - W.S. 6-2-708; Juvenile / minor expungement - W.S. 14-6-241</x:v>
      </x:c>
      <x:c r="D55" s="143" t="str">
        <x:v>How old were you when the offense or case began?; Have you previously received record-clearing relief in Wyoming or elsewhere?; Was this offense connected to your status as a human-trafficking or sex-trafficking survivor?; Have you received a pardon, certificate of rehabilitation, or similar executive relief for this conviction?; Do you currently have any pending criminal charge, open case, probation, parole, or other supervision?; Have you completed everything the court ordered in this case?; About how long ago did this case end or get resolved?</x:v>
      </x:c>
      <x:c r="E55" s="143" t="str">
        <x:v>case_outcome; offense_level; court; pending_cases; charge; offense_category; financial_obligations; prior_relief; age_at_offense; trafficking_status; disposition_date; sentence_completion_date; pardon_status</x:v>
      </x:c>
      <x:c r="F55" s="143" t="str">
        <x:v>guidance_only; likely_not_eligible; needs_review; not_yet; packet_ready_with_caution</x:v>
      </x:c>
      <x:c r="G55" s="143" t="str">
        <x:v>Confirm ownership and Wyoming state/local scope; use case outcome, offense type, and likely-pathway selection to establish candidate routes. Ask only candidate-route special, completion, approximate timing, pending-case, prior-relief, or exclusion questions. Return a preliminary packet path, guidance/automatic result, not-yet result, needs-information/review, or ineligible/out-of-scope result. Exact dates, court/case identifiers, records, service, and form fields are deferred until the authenticated matter's packet-completion and final-verification stages.</x:v>
      </x:c>
      <x:c r="H55" s="58" t="str">
        <x:v>https://github.com/Roger-LegalEase/legalease-partner-dashboard-clean/blob/2f0ef0403f16e57544ad0bc86b2d1b1cd08861b3/src/lib/rcap-engine/compiled/profiles/WY-wyoming.json</x:v>
      </x:c>
    </x:row>
  </x:sheetData>
  <x:mergeCells>
    <x:mergeCell ref="A1:H1"/>
    <x:mergeCell ref="A2:H2"/>
  </x:mergeCells>
  <x:pageMargins left="0.7" right="0.7" top="0.75" bottom="0.75" header="0.3" footer="0.3"/>
  <x:tableParts count="1">
    <x:tablePart xmlns:r="http://schemas.openxmlformats.org/officeDocument/2006/relationships" r:id="R299961daff3c44f0"/>
  </x:tableParts>
</x:worksheet>
</file>

<file path=xl/worksheets/sheet5.xml><?xml version="1.0" encoding="utf-8"?>
<x:worksheet xmlns:x="http://schemas.openxmlformats.org/spreadsheetml/2006/main">
  <x:sheetFormatPr defaultRowHeight="15"/>
  <x:cols>
    <x:col min="1" max="1" width="22" hidden="0" customWidth="1"/>
    <x:col min="2" max="2" width="7" hidden="0" customWidth="1"/>
    <x:col min="3" max="3" width="52" hidden="0" customWidth="1"/>
    <x:col min="4" max="4" width="55" hidden="0" customWidth="1"/>
    <x:col min="5" max="5" width="26" hidden="0" customWidth="1"/>
    <x:col min="6" max="6" width="26" hidden="0" customWidth="1"/>
    <x:col min="7" max="7" width="55" hidden="0" customWidth="1"/>
  </x:cols>
  <x:sheetData>
    <x:row r="1" ht="32" customHeight="1">
      <x:c r="A1" s="5" t="str">
        <x:v>State Pathways and Preliminary Presentations</x:v>
      </x:c>
    </x:row>
    <x:row r="2" ht="36" customHeight="1">
      <x:c r="A2" s="13" t="str">
        <x:v>The pathway catalog supplies route labels and preliminary service posture. Final packet authority still depends on exact packet completion and verification.</x:v>
      </x:c>
    </x:row>
    <x:row r="4">
      <x:c r="A4" s="109" t="str">
        <x:v>State</x:v>
      </x:c>
      <x:c r="B4" s="131" t="str">
        <x:v>Code</x:v>
      </x:c>
      <x:c r="C4" s="131" t="str">
        <x:v>Pathway ID</x:v>
      </x:c>
      <x:c r="D4" s="131" t="str">
        <x:v>Pathway</x:v>
      </x:c>
      <x:c r="E4" s="131" t="str">
        <x:v>Preliminary Presentation</x:v>
      </x:c>
      <x:c r="F4" s="131" t="str">
        <x:v>Filing Posture</x:v>
      </x:c>
      <x:c r="G4" s="110" t="str">
        <x:v>Profile URL</x:v>
      </x:c>
    </x:row>
    <x:row r="5">
      <x:c r="A5" s="53" t="str">
        <x:v>Alaska</x:v>
      </x:c>
      <x:c r="B5" s="141" t="str">
        <x:v>AK</x:v>
      </x:c>
      <x:c r="C5" s="141" t="str">
        <x:v>set-aside-after-a-suspended-imposition-of-sentence-as-12-55-085</x:v>
      </x:c>
      <x:c r="D5" s="141" t="str">
        <x:v>Set-aside after a Suspended Imposition of Sentence (AS 12.55.085)</x:v>
      </x:c>
      <x:c r="E5" s="141" t="str">
        <x:v>packet_ready_with_caution</x:v>
      </x:c>
      <x:c r="F5" s="141" t="str">
        <x:v>Filing path</x:v>
      </x:c>
      <x:c r="G5" s="54" t="str">
        <x:v>https://github.com/Roger-LegalEase/legalease-partner-dashboard-clean/blob/2f0ef0403f16e57544ad0bc86b2d1b1cd08861b3/src/lib/rcap-engine/compiled/profiles/AK-alaska.json</x:v>
      </x:c>
    </x:row>
    <x:row r="6">
      <x:c r="A6" s="55" t="str">
        <x:v>Alaska</x:v>
      </x:c>
      <x:c r="B6" s="142" t="str">
        <x:v>AK</x:v>
      </x:c>
      <x:c r="C6" s="142" t="str">
        <x:v>sealing-for-mistaken-identity-or-false-accusation-as-12-62-180</x:v>
      </x:c>
      <x:c r="D6" s="142" t="str">
        <x:v>Sealing for mistaken identity or false accusation (AS 12.62.180)</x:v>
      </x:c>
      <x:c r="E6" s="142" t="str">
        <x:v>packet_ready_with_caution</x:v>
      </x:c>
      <x:c r="F6" s="142" t="str">
        <x:v>Filing path</x:v>
      </x:c>
      <x:c r="G6" s="56" t="str">
        <x:v>https://github.com/Roger-LegalEase/legalease-partner-dashboard-clean/blob/2f0ef0403f16e57544ad0bc86b2d1b1cd08861b3/src/lib/rcap-engine/compiled/profiles/AK-alaska.json</x:v>
      </x:c>
    </x:row>
    <x:row r="7">
      <x:c r="A7" s="55" t="str">
        <x:v>Alaska</x:v>
      </x:c>
      <x:c r="B7" s="142" t="str">
        <x:v>AK</x:v>
      </x:c>
      <x:c r="C7" s="142" t="str">
        <x:v>confidentiality-of-acquittals-and-dismissals-as-22-35-030-administrative-rule-40</x:v>
      </x:c>
      <x:c r="D7" s="142" t="str">
        <x:v>Confidentiality of acquittals and dismissals (AS 22.35.030 / Administrative Rule 40)</x:v>
      </x:c>
      <x:c r="E7" s="142" t="str">
        <x:v>guidance_only</x:v>
      </x:c>
      <x:c r="F7" s="142" t="str">
        <x:v>No filing / verification</x:v>
      </x:c>
      <x:c r="G7" s="56" t="str">
        <x:v>https://github.com/Roger-LegalEase/legalease-partner-dashboard-clean/blob/2f0ef0403f16e57544ad0bc86b2d1b1cd08861b3/src/lib/rcap-engine/compiled/profiles/AK-alaska.json</x:v>
      </x:c>
    </x:row>
    <x:row r="8">
      <x:c r="A8" s="55" t="str">
        <x:v>Alaska</x:v>
      </x:c>
      <x:c r="B8" s="142" t="str">
        <x:v>AK</x:v>
      </x:c>
      <x:c r="C8" s="142" t="str">
        <x:v>juvenile-record-sealing-as-47-12-300</x:v>
      </x:c>
      <x:c r="D8" s="142" t="str">
        <x:v>Juvenile-record sealing (AS 47.12.300)</x:v>
      </x:c>
      <x:c r="E8" s="142" t="str">
        <x:v>guidance_only</x:v>
      </x:c>
      <x:c r="F8" s="142" t="str">
        <x:v>No filing / verification</x:v>
      </x:c>
      <x:c r="G8" s="56" t="str">
        <x:v>https://github.com/Roger-LegalEase/legalease-partner-dashboard-clean/blob/2f0ef0403f16e57544ad0bc86b2d1b1cd08861b3/src/lib/rcap-engine/compiled/profiles/AK-alaska.json</x:v>
      </x:c>
    </x:row>
    <x:row r="9">
      <x:c r="A9" s="55" t="str">
        <x:v>Alaska</x:v>
      </x:c>
      <x:c r="B9" s="142" t="str">
        <x:v>AK</x:v>
      </x:c>
      <x:c r="C9" s="142" t="str">
        <x:v>executive-pardon-backstop</x:v>
      </x:c>
      <x:c r="D9" s="142" t="str">
        <x:v>Executive-pardon backstop</x:v>
      </x:c>
      <x:c r="E9" s="142" t="str">
        <x:v>guidance_only</x:v>
      </x:c>
      <x:c r="F9" s="142" t="str">
        <x:v>No filing / verification</x:v>
      </x:c>
      <x:c r="G9" s="56" t="str">
        <x:v>https://github.com/Roger-LegalEase/legalease-partner-dashboard-clean/blob/2f0ef0403f16e57544ad0bc86b2d1b1cd08861b3/src/lib/rcap-engine/compiled/profiles/AK-alaska.json</x:v>
      </x:c>
    </x:row>
    <x:row r="10">
      <x:c r="A10" s="55" t="str">
        <x:v>Alabama</x:v>
      </x:c>
      <x:c r="B10" s="142" t="str">
        <x:v>AL</x:v>
      </x:c>
      <x:c r="C10" s="142" t="str">
        <x:v>non-conviction-expungement-under-ala-code-15-27-1-a-and-15-27-2-a</x:v>
      </x:c>
      <x:c r="D10" s="142" t="str">
        <x:v>Non-conviction expungement under Ala. Code §§ 15-27-1(a) and 15-27-2(a)</x:v>
      </x:c>
      <x:c r="E10" s="142" t="str">
        <x:v>packet_ready_with_caution</x:v>
      </x:c>
      <x:c r="F10" s="142" t="str">
        <x:v>Filing path</x:v>
      </x:c>
      <x:c r="G10" s="56" t="str">
        <x:v>https://github.com/Roger-LegalEase/legalease-partner-dashboard-clean/blob/2f0ef0403f16e57544ad0bc86b2d1b1cd08861b3/src/lib/rcap-engine/compiled/profiles/AL-alabama.json</x:v>
      </x:c>
    </x:row>
    <x:row r="11">
      <x:c r="A11" s="55" t="str">
        <x:v>Alabama</x:v>
      </x:c>
      <x:c r="B11" s="142" t="str">
        <x:v>AL</x:v>
      </x:c>
      <x:c r="C11" s="142" t="str">
        <x:v>eligible-conviction-expungement-under-the-redeemer-act</x:v>
      </x:c>
      <x:c r="D11" s="142" t="str">
        <x:v>Eligible conviction expungement under the REDEEMER Act</x:v>
      </x:c>
      <x:c r="E11" s="142" t="str">
        <x:v>packet_ready_with_caution</x:v>
      </x:c>
      <x:c r="F11" s="142" t="str">
        <x:v>Filing path</x:v>
      </x:c>
      <x:c r="G11" s="56" t="str">
        <x:v>https://github.com/Roger-LegalEase/legalease-partner-dashboard-clean/blob/2f0ef0403f16e57544ad0bc86b2d1b1cd08861b3/src/lib/rcap-engine/compiled/profiles/AL-alabama.json</x:v>
      </x:c>
    </x:row>
    <x:row r="12">
      <x:c r="A12" s="55" t="str">
        <x:v>Alabama</x:v>
      </x:c>
      <x:c r="B12" s="142" t="str">
        <x:v>AL</x:v>
      </x:c>
      <x:c r="C12" s="142" t="str">
        <x:v>pardoned-felony-expungement-under-ala-code-15-27-2-c</x:v>
      </x:c>
      <x:c r="D12" s="142" t="str">
        <x:v>Pardoned felony expungement under Ala. Code § 15-27-2(c)</x:v>
      </x:c>
      <x:c r="E12" s="142" t="str">
        <x:v>packet_ready_with_caution</x:v>
      </x:c>
      <x:c r="F12" s="142" t="str">
        <x:v>Filing path</x:v>
      </x:c>
      <x:c r="G12" s="56" t="str">
        <x:v>https://github.com/Roger-LegalEase/legalease-partner-dashboard-clean/blob/2f0ef0403f16e57544ad0bc86b2d1b1cd08861b3/src/lib/rcap-engine/compiled/profiles/AL-alabama.json</x:v>
      </x:c>
    </x:row>
    <x:row r="13">
      <x:c r="A13" s="55" t="str">
        <x:v>Alabama</x:v>
      </x:c>
      <x:c r="B13" s="142" t="str">
        <x:v>AL</x:v>
      </x:c>
      <x:c r="C13" s="142" t="str">
        <x:v>human-trafficking-victim-expungement</x:v>
      </x:c>
      <x:c r="D13" s="142" t="str">
        <x:v>Human-trafficking-victim expungement</x:v>
      </x:c>
      <x:c r="E13" s="142" t="str">
        <x:v>packet_ready_with_caution</x:v>
      </x:c>
      <x:c r="F13" s="142" t="str">
        <x:v>Filing path</x:v>
      </x:c>
      <x:c r="G13" s="56" t="str">
        <x:v>https://github.com/Roger-LegalEase/legalease-partner-dashboard-clean/blob/2f0ef0403f16e57544ad0bc86b2d1b1cd08861b3/src/lib/rcap-engine/compiled/profiles/AL-alabama.json</x:v>
      </x:c>
    </x:row>
    <x:row r="14">
      <x:c r="A14" s="55" t="str">
        <x:v>Arkansas</x:v>
      </x:c>
      <x:c r="B14" s="142" t="str">
        <x:v>AR</x:v>
      </x:c>
      <x:c r="C14" s="142" t="str">
        <x:v>situation-a-non-convictions</x:v>
      </x:c>
      <x:c r="D14" s="142" t="str">
        <x:v>Situation A — Non-convictions (§§ 16-90-1409, 1410)</x:v>
      </x:c>
      <x:c r="E14" s="142" t="str">
        <x:v>packet_ready_with_caution</x:v>
      </x:c>
      <x:c r="F14" s="142" t="str">
        <x:v>Filing path</x:v>
      </x:c>
      <x:c r="G14" s="56" t="str">
        <x:v>https://github.com/Roger-LegalEase/legalease-partner-dashboard-clean/blob/2f0ef0403f16e57544ad0bc86b2d1b1cd08861b3/src/lib/rcap-engine/compiled/profiles/AR-arkansas.json</x:v>
      </x:c>
    </x:row>
    <x:row r="15">
      <x:c r="A15" s="55" t="str">
        <x:v>Arkansas</x:v>
      </x:c>
      <x:c r="B15" s="142" t="str">
        <x:v>AR</x:v>
      </x:c>
      <x:c r="C15" s="142" t="str">
        <x:v>situation-b-misdemeanor-convictions</x:v>
      </x:c>
      <x:c r="D15" s="142" t="str">
        <x:v>Situation B — Misdemeanor convictions (§ 16-90-1405)</x:v>
      </x:c>
      <x:c r="E15" s="142" t="str">
        <x:v>packet_ready_with_caution</x:v>
      </x:c>
      <x:c r="F15" s="142" t="str">
        <x:v>Backend decides</x:v>
      </x:c>
      <x:c r="G15" s="56" t="str">
        <x:v>https://github.com/Roger-LegalEase/legalease-partner-dashboard-clean/blob/2f0ef0403f16e57544ad0bc86b2d1b1cd08861b3/src/lib/rcap-engine/compiled/profiles/AR-arkansas.json</x:v>
      </x:c>
    </x:row>
    <x:row r="16">
      <x:c r="A16" s="55" t="str">
        <x:v>Arkansas</x:v>
      </x:c>
      <x:c r="B16" s="142" t="str">
        <x:v>AR</x:v>
      </x:c>
      <x:c r="C16" s="142" t="str">
        <x:v>situation-c-felony-convictions</x:v>
      </x:c>
      <x:c r="D16" s="142" t="str">
        <x:v>Situation C — Felony convictions (§§ 16-90-1406, 1407)</x:v>
      </x:c>
      <x:c r="E16" s="142" t="str">
        <x:v>packet_ready_with_caution</x:v>
      </x:c>
      <x:c r="F16" s="142" t="str">
        <x:v>Filing path</x:v>
      </x:c>
      <x:c r="G16" s="56" t="str">
        <x:v>https://github.com/Roger-LegalEase/legalease-partner-dashboard-clean/blob/2f0ef0403f16e57544ad0bc86b2d1b1cd08861b3/src/lib/rcap-engine/compiled/profiles/AR-arkansas.json</x:v>
      </x:c>
    </x:row>
    <x:row r="17">
      <x:c r="A17" s="55" t="str">
        <x:v>Arizona</x:v>
      </x:c>
      <x:c r="B17" s="142" t="str">
        <x:v>AZ</x:v>
      </x:c>
      <x:c r="C17" s="142" t="str">
        <x:v>remedy-1-record-sealing</x:v>
      </x:c>
      <x:c r="D17" s="142" t="str">
        <x:v>Remedy 1 — Record sealing (A.R.S. § 13-911)</x:v>
      </x:c>
      <x:c r="E17" s="142" t="str">
        <x:v>packet_ready_with_caution</x:v>
      </x:c>
      <x:c r="F17" s="142" t="str">
        <x:v>Filing path</x:v>
      </x:c>
      <x:c r="G17" s="56" t="str">
        <x:v>https://github.com/Roger-LegalEase/legalease-partner-dashboard-clean/blob/2f0ef0403f16e57544ad0bc86b2d1b1cd08861b3/src/lib/rcap-engine/compiled/profiles/AZ-arizona.json</x:v>
      </x:c>
    </x:row>
    <x:row r="18">
      <x:c r="A18" s="55" t="str">
        <x:v>Arizona</x:v>
      </x:c>
      <x:c r="B18" s="142" t="str">
        <x:v>AZ</x:v>
      </x:c>
      <x:c r="C18" s="142" t="str">
        <x:v>remedy-2-set-aside-of-a-conviction</x:v>
      </x:c>
      <x:c r="D18" s="142" t="str">
        <x:v>Remedy 2 — Set-aside of a conviction (A.R.S. § 13-905)</x:v>
      </x:c>
      <x:c r="E18" s="142" t="str">
        <x:v>packet_ready_with_caution</x:v>
      </x:c>
      <x:c r="F18" s="142" t="str">
        <x:v>Backend decides</x:v>
      </x:c>
      <x:c r="G18" s="56" t="str">
        <x:v>https://github.com/Roger-LegalEase/legalease-partner-dashboard-clean/blob/2f0ef0403f16e57544ad0bc86b2d1b1cd08861b3/src/lib/rcap-engine/compiled/profiles/AZ-arizona.json</x:v>
      </x:c>
    </x:row>
    <x:row r="19">
      <x:c r="A19" s="55" t="str">
        <x:v>Arizona</x:v>
      </x:c>
      <x:c r="B19" s="142" t="str">
        <x:v>AZ</x:v>
      </x:c>
      <x:c r="C19" s="142" t="str">
        <x:v>remedy-3-marijuana-expungement</x:v>
      </x:c>
      <x:c r="D19" s="142" t="str">
        <x:v>Remedy 3 — Marijuana expungement (A.R.S. § 36-2862, Prop 207)</x:v>
      </x:c>
      <x:c r="E19" s="142" t="str">
        <x:v>packet_ready_with_caution</x:v>
      </x:c>
      <x:c r="F19" s="142" t="str">
        <x:v>Filing path</x:v>
      </x:c>
      <x:c r="G19" s="56" t="str">
        <x:v>https://github.com/Roger-LegalEase/legalease-partner-dashboard-clean/blob/2f0ef0403f16e57544ad0bc86b2d1b1cd08861b3/src/lib/rcap-engine/compiled/profiles/AZ-arizona.json</x:v>
      </x:c>
    </x:row>
    <x:row r="20">
      <x:c r="A20" s="55" t="str">
        <x:v>California</x:v>
      </x:c>
      <x:c r="B20" s="142" t="str">
        <x:v>CA</x:v>
      </x:c>
      <x:c r="C20" s="142" t="str">
        <x:v>tool-1-dismissal-set-aside</x:v>
      </x:c>
      <x:c r="D20" s="142" t="str">
        <x:v>Tool 1 — Dismissal / set-aside (PC 1203.4 and variants)</x:v>
      </x:c>
      <x:c r="E20" s="142" t="str">
        <x:v>packet_ready_with_caution</x:v>
      </x:c>
      <x:c r="F20" s="142" t="str">
        <x:v>Filing path</x:v>
      </x:c>
      <x:c r="G20" s="56" t="str">
        <x:v>https://github.com/Roger-LegalEase/legalease-partner-dashboard-clean/blob/2f0ef0403f16e57544ad0bc86b2d1b1cd08861b3/src/lib/rcap-engine/compiled/profiles/CA-california.json</x:v>
      </x:c>
    </x:row>
    <x:row r="21">
      <x:c r="A21" s="55" t="str">
        <x:v>California</x:v>
      </x:c>
      <x:c r="B21" s="142" t="str">
        <x:v>CA</x:v>
      </x:c>
      <x:c r="C21" s="142" t="str">
        <x:v>tool-2-automatic-relief</x:v>
      </x:c>
      <x:c r="D21" s="142" t="str">
        <x:v>Tool 2 — Automatic relief (PC 851.93 arrests / 1203.425 convictions)</x:v>
      </x:c>
      <x:c r="E21" s="142" t="str">
        <x:v>guidance_only</x:v>
      </x:c>
      <x:c r="F21" s="142" t="str">
        <x:v>No filing / verification</x:v>
      </x:c>
      <x:c r="G21" s="56" t="str">
        <x:v>https://github.com/Roger-LegalEase/legalease-partner-dashboard-clean/blob/2f0ef0403f16e57544ad0bc86b2d1b1cd08861b3/src/lib/rcap-engine/compiled/profiles/CA-california.json</x:v>
      </x:c>
    </x:row>
    <x:row r="22">
      <x:c r="A22" s="55" t="str">
        <x:v>California</x:v>
      </x:c>
      <x:c r="B22" s="142" t="str">
        <x:v>CA</x:v>
      </x:c>
      <x:c r="C22" s="142" t="str">
        <x:v>tool-3-petition-based-felony-sealing</x:v>
      </x:c>
      <x:c r="D22" s="142" t="str">
        <x:v>Tool 3 — Petition-based felony sealing (SB 731 / PC 1203.49 framework)</x:v>
      </x:c>
      <x:c r="E22" s="142" t="str">
        <x:v>packet_ready_with_caution</x:v>
      </x:c>
      <x:c r="F22" s="142" t="str">
        <x:v>Filing path</x:v>
      </x:c>
      <x:c r="G22" s="56" t="str">
        <x:v>https://github.com/Roger-LegalEase/legalease-partner-dashboard-clean/blob/2f0ef0403f16e57544ad0bc86b2d1b1cd08861b3/src/lib/rcap-engine/compiled/profiles/CA-california.json</x:v>
      </x:c>
    </x:row>
    <x:row r="23">
      <x:c r="A23" s="55" t="str">
        <x:v>California</x:v>
      </x:c>
      <x:c r="B23" s="142" t="str">
        <x:v>CA</x:v>
      </x:c>
      <x:c r="C23" s="142" t="str">
        <x:v>tool-4-arrest-record-sealing</x:v>
      </x:c>
      <x:c r="D23" s="142" t="str">
        <x:v>Tool 4 — Arrest-record sealing (PC 851.91; factual innocence PC 851.8)</x:v>
      </x:c>
      <x:c r="E23" s="142" t="str">
        <x:v>packet_ready_with_caution</x:v>
      </x:c>
      <x:c r="F23" s="142" t="str">
        <x:v>Backend decides</x:v>
      </x:c>
      <x:c r="G23" s="56" t="str">
        <x:v>https://github.com/Roger-LegalEase/legalease-partner-dashboard-clean/blob/2f0ef0403f16e57544ad0bc86b2d1b1cd08861b3/src/lib/rcap-engine/compiled/profiles/CA-california.json</x:v>
      </x:c>
    </x:row>
    <x:row r="24">
      <x:c r="A24" s="55" t="str">
        <x:v>California</x:v>
      </x:c>
      <x:c r="B24" s="142" t="str">
        <x:v>CA</x:v>
      </x:c>
      <x:c r="C24" s="142" t="str">
        <x:v>tool-5-proposition-64-marijuana-relief</x:v>
      </x:c>
      <x:c r="D24" s="142" t="str">
        <x:v>Tool 5 — Proposition 64 marijuana relief (H&amp;S 11361.8 / 11361.9)</x:v>
      </x:c>
      <x:c r="E24" s="142" t="str">
        <x:v>guidance_only</x:v>
      </x:c>
      <x:c r="F24" s="142" t="str">
        <x:v>No filing / verification</x:v>
      </x:c>
      <x:c r="G24" s="56" t="str">
        <x:v>https://github.com/Roger-LegalEase/legalease-partner-dashboard-clean/blob/2f0ef0403f16e57544ad0bc86b2d1b1cd08861b3/src/lib/rcap-engine/compiled/profiles/CA-california.json</x:v>
      </x:c>
    </x:row>
    <x:row r="25">
      <x:c r="A25" s="55" t="str">
        <x:v>Colorado</x:v>
      </x:c>
      <x:c r="B25" s="142" t="str">
        <x:v>CO</x:v>
      </x:c>
      <x:c r="C25" s="142" t="str">
        <x:v>petition-based-non-conviction-sealing-jdf-417-24-72-704</x:v>
      </x:c>
      <x:c r="D25" s="142" t="str">
        <x:v>Petition-based non-conviction sealing (JDF 417 / § 24-72-704)</x:v>
      </x:c>
      <x:c r="E25" s="142" t="str">
        <x:v>packet_ready_with_caution</x:v>
      </x:c>
      <x:c r="F25" s="142" t="str">
        <x:v>Filing path</x:v>
      </x:c>
      <x:c r="G25" s="56" t="str">
        <x:v>https://github.com/Roger-LegalEase/legalease-partner-dashboard-clean/blob/2f0ef0403f16e57544ad0bc86b2d1b1cd08861b3/src/lib/rcap-engine/compiled/profiles/CO-colorado.json</x:v>
      </x:c>
    </x:row>
    <x:row r="26">
      <x:c r="A26" s="55" t="str">
        <x:v>Colorado</x:v>
      </x:c>
      <x:c r="B26" s="142" t="str">
        <x:v>CO</x:v>
      </x:c>
      <x:c r="C26" s="142" t="str">
        <x:v>petition-based-conviction-sealing-jdf-612-24-72-706</x:v>
      </x:c>
      <x:c r="D26" s="142" t="str">
        <x:v>Petition-based conviction sealing (JDF 612 / § 24-72-706)</x:v>
      </x:c>
      <x:c r="E26" s="142" t="str">
        <x:v>packet_ready_with_caution</x:v>
      </x:c>
      <x:c r="F26" s="142" t="str">
        <x:v>Filing path</x:v>
      </x:c>
      <x:c r="G26" s="56" t="str">
        <x:v>https://github.com/Roger-LegalEase/legalease-partner-dashboard-clean/blob/2f0ef0403f16e57544ad0bc86b2d1b1cd08861b3/src/lib/rcap-engine/compiled/profiles/CO-colorado.json</x:v>
      </x:c>
    </x:row>
    <x:row r="27">
      <x:c r="A27" s="55" t="str">
        <x:v>Colorado</x:v>
      </x:c>
      <x:c r="B27" s="142" t="str">
        <x:v>CO</x:v>
      </x:c>
      <x:c r="C27" s="142" t="str">
        <x:v>automatic-clean-slate-sealing-13-3-117</x:v>
      </x:c>
      <x:c r="D27" s="142" t="str">
        <x:v>Automatic Clean Slate sealing (§ 13-3-117)</x:v>
      </x:c>
      <x:c r="E27" s="142" t="str">
        <x:v>guidance_only</x:v>
      </x:c>
      <x:c r="F27" s="142" t="str">
        <x:v>No filing / verification</x:v>
      </x:c>
      <x:c r="G27" s="56" t="str">
        <x:v>https://github.com/Roger-LegalEase/legalease-partner-dashboard-clean/blob/2f0ef0403f16e57544ad0bc86b2d1b1cd08861b3/src/lib/rcap-engine/compiled/profiles/CO-colorado.json</x:v>
      </x:c>
    </x:row>
    <x:row r="28">
      <x:c r="A28" s="55" t="str">
        <x:v>Colorado</x:v>
      </x:c>
      <x:c r="B28" s="142" t="str">
        <x:v>CO</x:v>
      </x:c>
      <x:c r="C28" s="142" t="str">
        <x:v>juvenile-expungement-19-1-306</x:v>
      </x:c>
      <x:c r="D28" s="142" t="str">
        <x:v>Juvenile expungement (§ 19-1-306)</x:v>
      </x:c>
      <x:c r="E28" s="142" t="str">
        <x:v>packet_ready_with_caution</x:v>
      </x:c>
      <x:c r="F28" s="142" t="str">
        <x:v>Filing path</x:v>
      </x:c>
      <x:c r="G28" s="56" t="str">
        <x:v>https://github.com/Roger-LegalEase/legalease-partner-dashboard-clean/blob/2f0ef0403f16e57544ad0bc86b2d1b1cd08861b3/src/lib/rcap-engine/compiled/profiles/CO-colorado.json</x:v>
      </x:c>
    </x:row>
    <x:row r="29">
      <x:c r="A29" s="55" t="str">
        <x:v>Connecticut</x:v>
      </x:c>
      <x:c r="B29" s="142" t="str">
        <x:v>CT</x:v>
      </x:c>
      <x:c r="C29" s="142" t="str">
        <x:v>automatic-non-conviction-erasure-under-conn-gen-stat-54-142a</x:v>
      </x:c>
      <x:c r="D29" s="142" t="str">
        <x:v>Automatic non-conviction erasure under Conn. Gen. Stat. § 54-142a</x:v>
      </x:c>
      <x:c r="E29" s="142" t="str">
        <x:v>guidance_only</x:v>
      </x:c>
      <x:c r="F29" s="142" t="str">
        <x:v>No filing / verification</x:v>
      </x:c>
      <x:c r="G29" s="56" t="str">
        <x:v>https://github.com/Roger-LegalEase/legalease-partner-dashboard-clean/blob/2f0ef0403f16e57544ad0bc86b2d1b1cd08861b3/src/lib/rcap-engine/compiled/profiles/CT-connecticut.json</x:v>
      </x:c>
    </x:row>
    <x:row r="30">
      <x:c r="A30" s="55" t="str">
        <x:v>Connecticut</x:v>
      </x:c>
      <x:c r="B30" s="142" t="str">
        <x:v>CT</x:v>
      </x:c>
      <x:c r="C30" s="142" t="str">
        <x:v>automatic-clean-slate-erasure-for-eligible-post-2000-convictions</x:v>
      </x:c>
      <x:c r="D30" s="142" t="str">
        <x:v>Automatic Clean Slate erasure for eligible post-2000 convictions</x:v>
      </x:c>
      <x:c r="E30" s="142" t="str">
        <x:v>guidance_only</x:v>
      </x:c>
      <x:c r="F30" s="142" t="str">
        <x:v>No filing / verification</x:v>
      </x:c>
      <x:c r="G30" s="56" t="str">
        <x:v>https://github.com/Roger-LegalEase/legalease-partner-dashboard-clean/blob/2f0ef0403f16e57544ad0bc86b2d1b1cd08861b3/src/lib/rcap-engine/compiled/profiles/CT-connecticut.json</x:v>
      </x:c>
    </x:row>
    <x:row r="31">
      <x:c r="A31" s="55" t="str">
        <x:v>Connecticut</x:v>
      </x:c>
      <x:c r="B31" s="142" t="str">
        <x:v>CT</x:v>
      </x:c>
      <x:c r="C31" s="142" t="str">
        <x:v>petitioned-clean-slate-erasure-for-eligible-pre-2000-convictions-jd-cr-202</x:v>
      </x:c>
      <x:c r="D31" s="142" t="str">
        <x:v>Petitioned Clean Slate erasure for eligible pre-2000 convictions (JD-CR-202)</x:v>
      </x:c>
      <x:c r="E31" s="142" t="str">
        <x:v>packet_ready_with_caution</x:v>
      </x:c>
      <x:c r="F31" s="142" t="str">
        <x:v>Filing path</x:v>
      </x:c>
      <x:c r="G31" s="56" t="str">
        <x:v>https://github.com/Roger-LegalEase/legalease-partner-dashboard-clean/blob/2f0ef0403f16e57544ad0bc86b2d1b1cd08861b3/src/lib/rcap-engine/compiled/profiles/CT-connecticut.json</x:v>
      </x:c>
    </x:row>
    <x:row r="32">
      <x:c r="A32" s="55" t="str">
        <x:v>Connecticut</x:v>
      </x:c>
      <x:c r="B32" s="142" t="str">
        <x:v>CT</x:v>
      </x:c>
      <x:c r="C32" s="142" t="str">
        <x:v>cannabis-conviction-erasure</x:v>
      </x:c>
      <x:c r="D32" s="142" t="str">
        <x:v>Cannabis-conviction erasure</x:v>
      </x:c>
      <x:c r="E32" s="142" t="str">
        <x:v>guidance_only</x:v>
      </x:c>
      <x:c r="F32" s="142" t="str">
        <x:v>No filing / verification</x:v>
      </x:c>
      <x:c r="G32" s="56" t="str">
        <x:v>https://github.com/Roger-LegalEase/legalease-partner-dashboard-clean/blob/2f0ef0403f16e57544ad0bc86b2d1b1cd08861b3/src/lib/rcap-engine/compiled/profiles/CT-connecticut.json</x:v>
      </x:c>
    </x:row>
    <x:row r="33">
      <x:c r="A33" s="55" t="str">
        <x:v>Connecticut</x:v>
      </x:c>
      <x:c r="B33" s="142" t="str">
        <x:v>CT</x:v>
      </x:c>
      <x:c r="C33" s="142" t="str">
        <x:v>absolute-pardon-resulting-in-erasure</x:v>
      </x:c>
      <x:c r="D33" s="142" t="str">
        <x:v>Absolute pardon resulting in erasure</x:v>
      </x:c>
      <x:c r="E33" s="142" t="str">
        <x:v>guidance_only</x:v>
      </x:c>
      <x:c r="F33" s="142" t="str">
        <x:v>Filing path</x:v>
      </x:c>
      <x:c r="G33" s="56" t="str">
        <x:v>https://github.com/Roger-LegalEase/legalease-partner-dashboard-clean/blob/2f0ef0403f16e57544ad0bc86b2d1b1cd08861b3/src/lib/rcap-engine/compiled/profiles/CT-connecticut.json</x:v>
      </x:c>
    </x:row>
    <x:row r="34">
      <x:c r="A34" s="55" t="str">
        <x:v>District of Columbia</x:v>
      </x:c>
      <x:c r="B34" s="142" t="str">
        <x:v>DC</x:v>
      </x:c>
      <x:c r="C34" s="142" t="str">
        <x:v>automatic-expungement-under-d-c-code-16-802</x:v>
      </x:c>
      <x:c r="D34" s="142" t="str">
        <x:v>Automatic expungement under D.C. Code § 16-802</x:v>
      </x:c>
      <x:c r="E34" s="142" t="str">
        <x:v>packet_ready_with_caution</x:v>
      </x:c>
      <x:c r="F34" s="142" t="str">
        <x:v>Filing path</x:v>
      </x:c>
      <x:c r="G34" s="56" t="str">
        <x:v>https://github.com/Roger-LegalEase/legalease-partner-dashboard-clean/blob/2f0ef0403f16e57544ad0bc86b2d1b1cd08861b3/src/lib/rcap-engine/compiled/profiles/DC-district-of-columbia.json</x:v>
      </x:c>
    </x:row>
    <x:row r="35">
      <x:c r="A35" s="55" t="str">
        <x:v>District of Columbia</x:v>
      </x:c>
      <x:c r="B35" s="142" t="str">
        <x:v>DC</x:v>
      </x:c>
      <x:c r="C35" s="142" t="str">
        <x:v>actual-innocence-expungement-by-motion-under-d-c-code-16-803</x:v>
      </x:c>
      <x:c r="D35" s="142" t="str">
        <x:v>Actual-innocence expungement by motion under D.C. Code § 16-803</x:v>
      </x:c>
      <x:c r="E35" s="142" t="str">
        <x:v>packet_ready_with_caution</x:v>
      </x:c>
      <x:c r="F35" s="142" t="str">
        <x:v>Filing path</x:v>
      </x:c>
      <x:c r="G35" s="56" t="str">
        <x:v>https://github.com/Roger-LegalEase/legalease-partner-dashboard-clean/blob/2f0ef0403f16e57544ad0bc86b2d1b1cd08861b3/src/lib/rcap-engine/compiled/profiles/DC-district-of-columbia.json</x:v>
      </x:c>
    </x:row>
    <x:row r="36">
      <x:c r="A36" s="55" t="str">
        <x:v>District of Columbia</x:v>
      </x:c>
      <x:c r="B36" s="142" t="str">
        <x:v>DC</x:v>
      </x:c>
      <x:c r="C36" s="142" t="str">
        <x:v>automatic-sealing-under-d-c-code-16-805</x:v>
      </x:c>
      <x:c r="D36" s="142" t="str">
        <x:v>Automatic sealing under D.C. Code § 16-805</x:v>
      </x:c>
      <x:c r="E36" s="142" t="str">
        <x:v>guidance_only</x:v>
      </x:c>
      <x:c r="F36" s="142" t="str">
        <x:v>No filing / verification</x:v>
      </x:c>
      <x:c r="G36" s="56" t="str">
        <x:v>https://github.com/Roger-LegalEase/legalease-partner-dashboard-clean/blob/2f0ef0403f16e57544ad0bc86b2d1b1cd08861b3/src/lib/rcap-engine/compiled/profiles/DC-district-of-columbia.json</x:v>
      </x:c>
    </x:row>
    <x:row r="37">
      <x:c r="A37" s="55" t="str">
        <x:v>District of Columbia</x:v>
      </x:c>
      <x:c r="B37" s="142" t="str">
        <x:v>DC</x:v>
      </x:c>
      <x:c r="C37" s="142" t="str">
        <x:v>non-conviction-sealing-by-motion-under-d-c-code-16-806</x:v>
      </x:c>
      <x:c r="D37" s="142" t="str">
        <x:v>Non-conviction sealing by motion under D.C. Code § 16-806</x:v>
      </x:c>
      <x:c r="E37" s="142" t="str">
        <x:v>packet_ready_with_caution</x:v>
      </x:c>
      <x:c r="F37" s="142" t="str">
        <x:v>Filing path</x:v>
      </x:c>
      <x:c r="G37" s="56" t="str">
        <x:v>https://github.com/Roger-LegalEase/legalease-partner-dashboard-clean/blob/2f0ef0403f16e57544ad0bc86b2d1b1cd08861b3/src/lib/rcap-engine/compiled/profiles/DC-district-of-columbia.json</x:v>
      </x:c>
    </x:row>
    <x:row r="38">
      <x:c r="A38" s="55" t="str">
        <x:v>District of Columbia</x:v>
      </x:c>
      <x:c r="B38" s="142" t="str">
        <x:v>DC</x:v>
      </x:c>
      <x:c r="C38" s="142" t="str">
        <x:v>fugitive-from-justice-sealing</x:v>
      </x:c>
      <x:c r="D38" s="142" t="str">
        <x:v>Fugitive-from-justice sealing</x:v>
      </x:c>
      <x:c r="E38" s="142" t="str">
        <x:v>packet_ready_with_caution</x:v>
      </x:c>
      <x:c r="F38" s="142" t="str">
        <x:v>Filing path</x:v>
      </x:c>
      <x:c r="G38" s="56" t="str">
        <x:v>https://github.com/Roger-LegalEase/legalease-partner-dashboard-clean/blob/2f0ef0403f16e57544ad0bc86b2d1b1cd08861b3/src/lib/rcap-engine/compiled/profiles/DC-district-of-columbia.json</x:v>
      </x:c>
    </x:row>
    <x:row r="39">
      <x:c r="A39" s="55" t="str">
        <x:v>District of Columbia</x:v>
      </x:c>
      <x:c r="B39" s="142" t="str">
        <x:v>DC</x:v>
      </x:c>
      <x:c r="C39" s="142" t="str">
        <x:v>conviction-sealing-by-motion-under-d-c-code-16-806</x:v>
      </x:c>
      <x:c r="D39" s="142" t="str">
        <x:v>Conviction sealing by motion under D.C. Code § 16-806</x:v>
      </x:c>
      <x:c r="E39" s="142" t="str">
        <x:v>packet_ready_with_caution</x:v>
      </x:c>
      <x:c r="F39" s="142" t="str">
        <x:v>Filing path</x:v>
      </x:c>
      <x:c r="G39" s="56" t="str">
        <x:v>https://github.com/Roger-LegalEase/legalease-partner-dashboard-clean/blob/2f0ef0403f16e57544ad0bc86b2d1b1cd08861b3/src/lib/rcap-engine/compiled/profiles/DC-district-of-columbia.json</x:v>
      </x:c>
    </x:row>
    <x:row r="40">
      <x:c r="A40" s="55" t="str">
        <x:v>District of Columbia</x:v>
      </x:c>
      <x:c r="B40" s="142" t="str">
        <x:v>DC</x:v>
      </x:c>
      <x:c r="C40" s="142" t="str">
        <x:v>incorrect-identity-or-mistaken-arrest-record-correction</x:v>
      </x:c>
      <x:c r="D40" s="142" t="str">
        <x:v>Incorrect-identity or mistaken-arrest record correction</x:v>
      </x:c>
      <x:c r="E40" s="142" t="str">
        <x:v>packet_ready_with_caution</x:v>
      </x:c>
      <x:c r="F40" s="142" t="str">
        <x:v>Filing path</x:v>
      </x:c>
      <x:c r="G40" s="56" t="str">
        <x:v>https://github.com/Roger-LegalEase/legalease-partner-dashboard-clean/blob/2f0ef0403f16e57544ad0bc86b2d1b1cd08861b3/src/lib/rcap-engine/compiled/profiles/DC-district-of-columbia.json</x:v>
      </x:c>
    </x:row>
    <x:row r="41">
      <x:c r="A41" s="55" t="str">
        <x:v>District of Columbia</x:v>
      </x:c>
      <x:c r="B41" s="142" t="str">
        <x:v>DC</x:v>
      </x:c>
      <x:c r="C41" s="142" t="str">
        <x:v>juvenile-record-sealing-under-d-c-code-16-2335</x:v>
      </x:c>
      <x:c r="D41" s="142" t="str">
        <x:v>Juvenile-record sealing under D.C. Code § 16-2335</x:v>
      </x:c>
      <x:c r="E41" s="142" t="str">
        <x:v>packet_ready_with_caution</x:v>
      </x:c>
      <x:c r="F41" s="142" t="str">
        <x:v>Filing path</x:v>
      </x:c>
      <x:c r="G41" s="56" t="str">
        <x:v>https://github.com/Roger-LegalEase/legalease-partner-dashboard-clean/blob/2f0ef0403f16e57544ad0bc86b2d1b1cd08861b3/src/lib/rcap-engine/compiled/profiles/DC-district-of-columbia.json</x:v>
      </x:c>
    </x:row>
    <x:row r="42">
      <x:c r="A42" s="55" t="str">
        <x:v>Delaware</x:v>
      </x:c>
      <x:c r="B42" s="142" t="str">
        <x:v>DE</x:v>
      </x:c>
      <x:c r="C42" s="142" t="str">
        <x:v>mandatory-and-automatic-expungement-under-11-del-c-4373-and-4373a</x:v>
      </x:c>
      <x:c r="D42" s="142" t="str">
        <x:v>Mandatory and automatic expungement under 11 Del. C. §§ 4373 and 4373A</x:v>
      </x:c>
      <x:c r="E42" s="142" t="str">
        <x:v>guidance_only</x:v>
      </x:c>
      <x:c r="F42" s="142" t="str">
        <x:v>No filing / verification</x:v>
      </x:c>
      <x:c r="G42" s="56" t="str">
        <x:v>https://github.com/Roger-LegalEase/legalease-partner-dashboard-clean/blob/2f0ef0403f16e57544ad0bc86b2d1b1cd08861b3/src/lib/rcap-engine/compiled/profiles/DE-delaware.json</x:v>
      </x:c>
    </x:row>
    <x:row r="43">
      <x:c r="A43" s="55" t="str">
        <x:v>Delaware</x:v>
      </x:c>
      <x:c r="B43" s="142" t="str">
        <x:v>DE</x:v>
      </x:c>
      <x:c r="C43" s="142" t="str">
        <x:v>discretionary-court-expungement-under-11-del-c-4374</x:v>
      </x:c>
      <x:c r="D43" s="142" t="str">
        <x:v>Discretionary court expungement under 11 Del. C. § 4374</x:v>
      </x:c>
      <x:c r="E43" s="142" t="str">
        <x:v>packet_ready_with_caution</x:v>
      </x:c>
      <x:c r="F43" s="142" t="str">
        <x:v>Filing path</x:v>
      </x:c>
      <x:c r="G43" s="56" t="str">
        <x:v>https://github.com/Roger-LegalEase/legalease-partner-dashboard-clean/blob/2f0ef0403f16e57544ad0bc86b2d1b1cd08861b3/src/lib/rcap-engine/compiled/profiles/DE-delaware.json</x:v>
      </x:c>
    </x:row>
    <x:row r="44">
      <x:c r="A44" s="55" t="str">
        <x:v>Delaware</x:v>
      </x:c>
      <x:c r="B44" s="142" t="str">
        <x:v>DE</x:v>
      </x:c>
      <x:c r="C44" s="142" t="str">
        <x:v>pardon-based-discretionary-expungement-under-11-del-c-4375</x:v>
      </x:c>
      <x:c r="D44" s="142" t="str">
        <x:v>Pardon-based discretionary expungement under 11 Del. C. § 4375</x:v>
      </x:c>
      <x:c r="E44" s="142" t="str">
        <x:v>packet_ready_with_caution</x:v>
      </x:c>
      <x:c r="F44" s="142" t="str">
        <x:v>Filing path</x:v>
      </x:c>
      <x:c r="G44" s="56" t="str">
        <x:v>https://github.com/Roger-LegalEase/legalease-partner-dashboard-clean/blob/2f0ef0403f16e57544ad0bc86b2d1b1cd08861b3/src/lib/rcap-engine/compiled/profiles/DE-delaware.json</x:v>
      </x:c>
    </x:row>
    <x:row r="45">
      <x:c r="A45" s="55" t="str">
        <x:v>Delaware</x:v>
      </x:c>
      <x:c r="B45" s="142" t="str">
        <x:v>DE</x:v>
      </x:c>
      <x:c r="C45" s="142" t="str">
        <x:v>juvenile-expungement-under-10-del-c-1017-1019-1017a</x:v>
      </x:c>
      <x:c r="D45" s="142" t="str">
        <x:v>Juvenile expungement under 10 Del. C. §§ 1017–1019 / 1017A</x:v>
      </x:c>
      <x:c r="E45" s="142" t="str">
        <x:v>packet_ready_with_caution</x:v>
      </x:c>
      <x:c r="F45" s="142" t="str">
        <x:v>Filing path</x:v>
      </x:c>
      <x:c r="G45" s="56" t="str">
        <x:v>https://github.com/Roger-LegalEase/legalease-partner-dashboard-clean/blob/2f0ef0403f16e57544ad0bc86b2d1b1cd08861b3/src/lib/rcap-engine/compiled/profiles/DE-delaware.json</x:v>
      </x:c>
    </x:row>
    <x:row r="46">
      <x:c r="A46" s="55" t="str">
        <x:v>Florida</x:v>
      </x:c>
      <x:c r="B46" s="142" t="str">
        <x:v>FL</x:v>
      </x:c>
      <x:c r="C46" s="142" t="str">
        <x:v>court-ordered-expunction-943-0585</x:v>
      </x:c>
      <x:c r="D46" s="142" t="str">
        <x:v>Court-ordered expunction - 943.0585</x:v>
      </x:c>
      <x:c r="E46" s="142" t="str">
        <x:v>packet_ready_with_caution</x:v>
      </x:c>
      <x:c r="F46" s="142" t="str">
        <x:v>Filing path</x:v>
      </x:c>
      <x:c r="G46" s="56" t="str">
        <x:v>https://github.com/Roger-LegalEase/legalease-partner-dashboard-clean/blob/2f0ef0403f16e57544ad0bc86b2d1b1cd08861b3/src/lib/rcap-engine/compiled/profiles/FL-florida.json</x:v>
      </x:c>
    </x:row>
    <x:row r="47">
      <x:c r="A47" s="55" t="str">
        <x:v>Florida</x:v>
      </x:c>
      <x:c r="B47" s="142" t="str">
        <x:v>FL</x:v>
      </x:c>
      <x:c r="C47" s="142" t="str">
        <x:v>court-ordered-sealing-943-059</x:v>
      </x:c>
      <x:c r="D47" s="142" t="str">
        <x:v>Court-ordered sealing - 943.059</x:v>
      </x:c>
      <x:c r="E47" s="142" t="str">
        <x:v>packet_ready_with_caution</x:v>
      </x:c>
      <x:c r="F47" s="142" t="str">
        <x:v>Backend decides</x:v>
      </x:c>
      <x:c r="G47" s="56" t="str">
        <x:v>https://github.com/Roger-LegalEase/legalease-partner-dashboard-clean/blob/2f0ef0403f16e57544ad0bc86b2d1b1cd08861b3/src/lib/rcap-engine/compiled/profiles/FL-florida.json</x:v>
      </x:c>
    </x:row>
    <x:row r="48">
      <x:c r="A48" s="55" t="str">
        <x:v>Florida</x:v>
      </x:c>
      <x:c r="B48" s="142" t="str">
        <x:v>FL</x:v>
      </x:c>
      <x:c r="C48" s="142" t="str">
        <x:v>automatic-sealing-943-0595</x:v>
      </x:c>
      <x:c r="D48" s="142" t="str">
        <x:v>Automatic sealing - 943.0595</x:v>
      </x:c>
      <x:c r="E48" s="142" t="str">
        <x:v>guidance_only</x:v>
      </x:c>
      <x:c r="F48" s="142" t="str">
        <x:v>No filing / verification</x:v>
      </x:c>
      <x:c r="G48" s="56" t="str">
        <x:v>https://github.com/Roger-LegalEase/legalease-partner-dashboard-clean/blob/2f0ef0403f16e57544ad0bc86b2d1b1cd08861b3/src/lib/rcap-engine/compiled/profiles/FL-florida.json</x:v>
      </x:c>
    </x:row>
    <x:row r="49">
      <x:c r="A49" s="55" t="str">
        <x:v>Florida</x:v>
      </x:c>
      <x:c r="B49" s="142" t="str">
        <x:v>FL</x:v>
      </x:c>
      <x:c r="C49" s="142" t="str">
        <x:v>human-trafficking-victim-expunction-943-0583</x:v>
      </x:c>
      <x:c r="D49" s="142" t="str">
        <x:v>Human trafficking victim expunction - 943.0583</x:v>
      </x:c>
      <x:c r="E49" s="142" t="str">
        <x:v>packet_ready_with_caution</x:v>
      </x:c>
      <x:c r="F49" s="142" t="str">
        <x:v>Filing path</x:v>
      </x:c>
      <x:c r="G49" s="56" t="str">
        <x:v>https://github.com/Roger-LegalEase/legalease-partner-dashboard-clean/blob/2f0ef0403f16e57544ad0bc86b2d1b1cd08861b3/src/lib/rcap-engine/compiled/profiles/FL-florida.json</x:v>
      </x:c>
    </x:row>
    <x:row r="50">
      <x:c r="A50" s="55" t="str">
        <x:v>Florida</x:v>
      </x:c>
      <x:c r="B50" s="142" t="str">
        <x:v>FL</x:v>
      </x:c>
      <x:c r="C50" s="142" t="str">
        <x:v>lawful-self-defense-expunction-943-0578</x:v>
      </x:c>
      <x:c r="D50" s="142" t="str">
        <x:v>Lawful self-defense expunction - 943.0578</x:v>
      </x:c>
      <x:c r="E50" s="142" t="str">
        <x:v>packet_ready_with_caution</x:v>
      </x:c>
      <x:c r="F50" s="142" t="str">
        <x:v>Filing path</x:v>
      </x:c>
      <x:c r="G50" s="56" t="str">
        <x:v>https://github.com/Roger-LegalEase/legalease-partner-dashboard-clean/blob/2f0ef0403f16e57544ad0bc86b2d1b1cd08861b3/src/lib/rcap-engine/compiled/profiles/FL-florida.json</x:v>
      </x:c>
    </x:row>
    <x:row r="51">
      <x:c r="A51" s="55" t="str">
        <x:v>Florida</x:v>
      </x:c>
      <x:c r="B51" s="142" t="str">
        <x:v>FL</x:v>
      </x:c>
      <x:c r="C51" s="142" t="str">
        <x:v>juvenile-diversion-expunction-943-0582</x:v>
      </x:c>
      <x:c r="D51" s="142" t="str">
        <x:v>Juvenile diversion expunction - 943.0582</x:v>
      </x:c>
      <x:c r="E51" s="142" t="str">
        <x:v>packet_ready_with_caution</x:v>
      </x:c>
      <x:c r="F51" s="142" t="str">
        <x:v>Filing path</x:v>
      </x:c>
      <x:c r="G51" s="56" t="str">
        <x:v>https://github.com/Roger-LegalEase/legalease-partner-dashboard-clean/blob/2f0ef0403f16e57544ad0bc86b2d1b1cd08861b3/src/lib/rcap-engine/compiled/profiles/FL-florida.json</x:v>
      </x:c>
    </x:row>
    <x:row r="52">
      <x:c r="A52" s="55" t="str">
        <x:v>Florida</x:v>
      </x:c>
      <x:c r="B52" s="142" t="str">
        <x:v>FL</x:v>
      </x:c>
      <x:c r="C52" s="142" t="str">
        <x:v>early-juvenile-expunction-943-0515</x:v>
      </x:c>
      <x:c r="D52" s="142" t="str">
        <x:v>Early juvenile expunction - 943.0515</x:v>
      </x:c>
      <x:c r="E52" s="142" t="str">
        <x:v>packet_ready_with_caution</x:v>
      </x:c>
      <x:c r="F52" s="142" t="str">
        <x:v>Filing path</x:v>
      </x:c>
      <x:c r="G52" s="56" t="str">
        <x:v>https://github.com/Roger-LegalEase/legalease-partner-dashboard-clean/blob/2f0ef0403f16e57544ad0bc86b2d1b1cd08861b3/src/lib/rcap-engine/compiled/profiles/FL-florida.json</x:v>
      </x:c>
    </x:row>
    <x:row r="53">
      <x:c r="A53" s="55" t="str">
        <x:v>Florida</x:v>
      </x:c>
      <x:c r="B53" s="142" t="str">
        <x:v>FL</x:v>
      </x:c>
      <x:c r="C53" s="142" t="str">
        <x:v>administrative-expunction-mistaken-or-unlawful-arrest</x:v>
      </x:c>
      <x:c r="D53" s="142" t="str">
        <x:v>Administrative expunction - mistaken or unlawful arrest</x:v>
      </x:c>
      <x:c r="E53" s="142" t="str">
        <x:v>packet_ready_with_caution</x:v>
      </x:c>
      <x:c r="F53" s="142" t="str">
        <x:v>Filing path</x:v>
      </x:c>
      <x:c r="G53" s="56" t="str">
        <x:v>https://github.com/Roger-LegalEase/legalease-partner-dashboard-clean/blob/2f0ef0403f16e57544ad0bc86b2d1b1cd08861b3/src/lib/rcap-engine/compiled/profiles/FL-florida.json</x:v>
      </x:c>
    </x:row>
    <x:row r="54">
      <x:c r="A54" s="55" t="str">
        <x:v>Georgia</x:v>
      </x:c>
      <x:c r="B54" s="142" t="str">
        <x:v>GA</x:v>
      </x:c>
      <x:c r="C54" s="142" t="str">
        <x:v>non-conviction-record-restriction-through-the-agency-prosecutor-process</x:v>
      </x:c>
      <x:c r="D54" s="142" t="str">
        <x:v>Non-conviction record restriction through the agency/prosecutor process</x:v>
      </x:c>
      <x:c r="E54" s="142" t="str">
        <x:v>packet_ready_with_caution</x:v>
      </x:c>
      <x:c r="F54" s="142" t="str">
        <x:v>Filing path</x:v>
      </x:c>
      <x:c r="G54" s="56" t="str">
        <x:v>https://github.com/Roger-LegalEase/legalease-partner-dashboard-clean/blob/2f0ef0403f16e57544ad0bc86b2d1b1cd08861b3/src/lib/rcap-engine/compiled/profiles/GA-georgia.json</x:v>
      </x:c>
    </x:row>
    <x:row r="55">
      <x:c r="A55" s="55" t="str">
        <x:v>Georgia</x:v>
      </x:c>
      <x:c r="B55" s="142" t="str">
        <x:v>GA</x:v>
      </x:c>
      <x:c r="C55" s="142" t="str">
        <x:v>automatic-restriction-of-qualifying-post-july-1-2013-non-convictions</x:v>
      </x:c>
      <x:c r="D55" s="142" t="str">
        <x:v>Automatic restriction of qualifying post-July 1, 2013 non-convictions</x:v>
      </x:c>
      <x:c r="E55" s="142" t="str">
        <x:v>guidance_only</x:v>
      </x:c>
      <x:c r="F55" s="142" t="str">
        <x:v>No filing / verification</x:v>
      </x:c>
      <x:c r="G55" s="56" t="str">
        <x:v>https://github.com/Roger-LegalEase/legalease-partner-dashboard-clean/blob/2f0ef0403f16e57544ad0bc86b2d1b1cd08861b3/src/lib/rcap-engine/compiled/profiles/GA-georgia.json</x:v>
      </x:c>
    </x:row>
    <x:row r="56">
      <x:c r="A56" s="55" t="str">
        <x:v>Georgia</x:v>
      </x:c>
      <x:c r="B56" s="142" t="str">
        <x:v>GA</x:v>
      </x:c>
      <x:c r="C56" s="142" t="str">
        <x:v>sb-288-misdemeanor-conviction-restriction-and-sealing</x:v>
      </x:c>
      <x:c r="D56" s="142" t="str">
        <x:v>SB 288 misdemeanor-conviction restriction and sealing</x:v>
      </x:c>
      <x:c r="E56" s="142" t="str">
        <x:v>packet_ready_with_caution</x:v>
      </x:c>
      <x:c r="F56" s="142" t="str">
        <x:v>Filing path</x:v>
      </x:c>
      <x:c r="G56" s="56" t="str">
        <x:v>https://github.com/Roger-LegalEase/legalease-partner-dashboard-clean/blob/2f0ef0403f16e57544ad0bc86b2d1b1cd08861b3/src/lib/rcap-engine/compiled/profiles/GA-georgia.json</x:v>
      </x:c>
    </x:row>
    <x:row r="57">
      <x:c r="A57" s="55" t="str">
        <x:v>Georgia</x:v>
      </x:c>
      <x:c r="B57" s="142" t="str">
        <x:v>GA</x:v>
      </x:c>
      <x:c r="C57" s="142" t="str">
        <x:v>restriction-and-sealing-of-a-pardoned-felony</x:v>
      </x:c>
      <x:c r="D57" s="142" t="str">
        <x:v>Restriction and sealing of a pardoned felony</x:v>
      </x:c>
      <x:c r="E57" s="142" t="str">
        <x:v>packet_ready_with_caution</x:v>
      </x:c>
      <x:c r="F57" s="142" t="str">
        <x:v>Filing path</x:v>
      </x:c>
      <x:c r="G57" s="56" t="str">
        <x:v>https://github.com/Roger-LegalEase/legalease-partner-dashboard-clean/blob/2f0ef0403f16e57544ad0bc86b2d1b1cd08861b3/src/lib/rcap-engine/compiled/profiles/GA-georgia.json</x:v>
      </x:c>
    </x:row>
    <x:row r="58">
      <x:c r="A58" s="55" t="str">
        <x:v>Georgia</x:v>
      </x:c>
      <x:c r="B58" s="142" t="str">
        <x:v>GA</x:v>
      </x:c>
      <x:c r="C58" s="142" t="str">
        <x:v>youthful-first-offender-restriction-route</x:v>
      </x:c>
      <x:c r="D58" s="142" t="str">
        <x:v>Youthful / first-offender restriction route</x:v>
      </x:c>
      <x:c r="E58" s="142" t="str">
        <x:v>packet_ready_with_caution</x:v>
      </x:c>
      <x:c r="F58" s="142" t="str">
        <x:v>Filing path</x:v>
      </x:c>
      <x:c r="G58" s="56" t="str">
        <x:v>https://github.com/Roger-LegalEase/legalease-partner-dashboard-clean/blob/2f0ef0403f16e57544ad0bc86b2d1b1cd08861b3/src/lib/rcap-engine/compiled/profiles/GA-georgia.json</x:v>
      </x:c>
    </x:row>
    <x:row r="59">
      <x:c r="A59" s="55" t="str">
        <x:v>Hawaii</x:v>
      </x:c>
      <x:c r="B59" s="142" t="str">
        <x:v>HI</x:v>
      </x:c>
      <x:c r="C59" s="142" t="str">
        <x:v>nonconviction-arrest-expungement</x:v>
      </x:c>
      <x:c r="D59" s="142" t="str">
        <x:v>Non-conviction arrest-information expungement under HRS § 831-3.2</x:v>
      </x:c>
      <x:c r="E59" s="142" t="str">
        <x:v>packet_ready_with_caution</x:v>
      </x:c>
      <x:c r="F59" s="142" t="str">
        <x:v>Filing path</x:v>
      </x:c>
      <x:c r="G59" s="56" t="str">
        <x:v>https://github.com/Roger-LegalEase/legalease-partner-dashboard-clean/blob/2f0ef0403f16e57544ad0bc86b2d1b1cd08861b3/src/lib/rcap-engine/compiled/profiles/HI-hawaii.json</x:v>
      </x:c>
    </x:row>
    <x:row r="60">
      <x:c r="A60" s="55" t="str">
        <x:v>Hawaii</x:v>
      </x:c>
      <x:c r="B60" s="142" t="str">
        <x:v>HI</x:v>
      </x:c>
      <x:c r="C60" s="142" t="str">
        <x:v>deferred-acceptance-one-year</x:v>
      </x:c>
      <x:c r="D60" s="142" t="str">
        <x:v>Deferred acceptance dismissal — general one-year route</x:v>
      </x:c>
      <x:c r="E60" s="142" t="str">
        <x:v>packet_ready_with_caution</x:v>
      </x:c>
      <x:c r="F60" s="142" t="str">
        <x:v>Filing path</x:v>
      </x:c>
      <x:c r="G60" s="56" t="str">
        <x:v>https://github.com/Roger-LegalEase/legalease-partner-dashboard-clean/blob/2f0ef0403f16e57544ad0bc86b2d1b1cd08861b3/src/lib/rcap-engine/compiled/profiles/HI-hawaii.json</x:v>
      </x:c>
    </x:row>
    <x:row r="61">
      <x:c r="A61" s="55" t="str">
        <x:v>Hawaii</x:v>
      </x:c>
      <x:c r="B61" s="142" t="str">
        <x:v>HI</x:v>
      </x:c>
      <x:c r="C61" s="142" t="str">
        <x:v>deferred-prostitution-three-year</x:v>
      </x:c>
      <x:c r="D61" s="142" t="str">
        <x:v>Deferred acceptance dismissal — HRS § 712-1200 three-year route</x:v>
      </x:c>
      <x:c r="E61" s="142" t="str">
        <x:v>packet_ready_with_caution</x:v>
      </x:c>
      <x:c r="F61" s="142" t="str">
        <x:v>Filing path</x:v>
      </x:c>
      <x:c r="G61" s="56" t="str">
        <x:v>https://github.com/Roger-LegalEase/legalease-partner-dashboard-clean/blob/2f0ef0403f16e57544ad0bc86b2d1b1cd08861b3/src/lib/rcap-engine/compiled/profiles/HI-hawaii.json</x:v>
      </x:c>
    </x:row>
    <x:row r="62">
      <x:c r="A62" s="55" t="str">
        <x:v>Hawaii</x:v>
      </x:c>
      <x:c r="B62" s="142" t="str">
        <x:v>HI</x:v>
      </x:c>
      <x:c r="C62" s="142" t="str">
        <x:v>first-time-drug-conviction</x:v>
      </x:c>
      <x:c r="D62" s="142" t="str">
        <x:v>First-time drug-offender conviction expungement</x:v>
      </x:c>
      <x:c r="E62" s="142" t="str">
        <x:v>packet_ready_with_caution</x:v>
      </x:c>
      <x:c r="F62" s="142" t="str">
        <x:v>Filing path</x:v>
      </x:c>
      <x:c r="G62" s="56" t="str">
        <x:v>https://github.com/Roger-LegalEase/legalease-partner-dashboard-clean/blob/2f0ef0403f16e57544ad0bc86b2d1b1cd08861b3/src/lib/rcap-engine/compiled/profiles/HI-hawaii.json</x:v>
      </x:c>
    </x:row>
    <x:row r="63">
      <x:c r="A63" s="55" t="str">
        <x:v>Hawaii</x:v>
      </x:c>
      <x:c r="B63" s="142" t="str">
        <x:v>HI</x:v>
      </x:c>
      <x:c r="C63" s="142" t="str">
        <x:v>dui-under-21-conviction</x:v>
      </x:c>
      <x:c r="D63" s="142" t="str">
        <x:v>DUI under age 21 conviction expungement</x:v>
      </x:c>
      <x:c r="E63" s="142" t="str">
        <x:v>packet_ready_with_caution</x:v>
      </x:c>
      <x:c r="F63" s="142" t="str">
        <x:v>Filing path</x:v>
      </x:c>
      <x:c r="G63" s="56" t="str">
        <x:v>https://github.com/Roger-LegalEase/legalease-partner-dashboard-clean/blob/2f0ef0403f16e57544ad0bc86b2d1b1cd08861b3/src/lib/rcap-engine/compiled/profiles/HI-hawaii.json</x:v>
      </x:c>
    </x:row>
    <x:row r="64">
      <x:c r="A64" s="55" t="str">
        <x:v>Iowa</x:v>
      </x:c>
      <x:c r="B64" s="142" t="str">
        <x:v>IA</x:v>
      </x:c>
      <x:c r="C64" s="142" t="str">
        <x:v>nonconviction-901c2</x:v>
      </x:c>
      <x:c r="D64" s="142" t="str">
        <x:v>Acquittal or all-charges-dismissed expungement under Iowa Code § 901C.2</x:v>
      </x:c>
      <x:c r="E64" s="142" t="str">
        <x:v>packet_ready_with_caution</x:v>
      </x:c>
      <x:c r="F64" s="142" t="str">
        <x:v>Filing path</x:v>
      </x:c>
      <x:c r="G64" s="56" t="str">
        <x:v>https://github.com/Roger-LegalEase/legalease-partner-dashboard-clean/blob/2f0ef0403f16e57544ad0bc86b2d1b1cd08861b3/src/lib/rcap-engine/compiled/profiles/IA-iowa.json</x:v>
      </x:c>
    </x:row>
    <x:row r="65">
      <x:c r="A65" s="55" t="str">
        <x:v>Iowa</x:v>
      </x:c>
      <x:c r="B65" s="142" t="str">
        <x:v>IA</x:v>
      </x:c>
      <x:c r="C65" s="142" t="str">
        <x:v>misdemeanor-901c3</x:v>
      </x:c>
      <x:c r="D65" s="142" t="str">
        <x:v>Misdemeanor conviction expungement under Iowa Code § 901C.3</x:v>
      </x:c>
      <x:c r="E65" s="142" t="str">
        <x:v>packet_ready_with_caution</x:v>
      </x:c>
      <x:c r="F65" s="142" t="str">
        <x:v>Filing path</x:v>
      </x:c>
      <x:c r="G65" s="56" t="str">
        <x:v>https://github.com/Roger-LegalEase/legalease-partner-dashboard-clean/blob/2f0ef0403f16e57544ad0bc86b2d1b1cd08861b3/src/lib/rcap-engine/compiled/profiles/IA-iowa.json</x:v>
      </x:c>
    </x:row>
    <x:row r="66">
      <x:c r="A66" s="55" t="str">
        <x:v>Iowa</x:v>
      </x:c>
      <x:c r="B66" s="142" t="str">
        <x:v>IA</x:v>
      </x:c>
      <x:c r="C66" s="142" t="str">
        <x:v>public-intoxication-12346</x:v>
      </x:c>
      <x:c r="D66" s="142" t="str">
        <x:v>Public-intoxication conviction expungement under Iowa Code § 123.46</x:v>
      </x:c>
      <x:c r="E66" s="142" t="str">
        <x:v>packet_ready_with_caution</x:v>
      </x:c>
      <x:c r="F66" s="142" t="str">
        <x:v>Filing path</x:v>
      </x:c>
      <x:c r="G66" s="56" t="str">
        <x:v>https://github.com/Roger-LegalEase/legalease-partner-dashboard-clean/blob/2f0ef0403f16e57544ad0bc86b2d1b1cd08861b3/src/lib/rcap-engine/compiled/profiles/IA-iowa.json</x:v>
      </x:c>
    </x:row>
    <x:row r="67">
      <x:c r="A67" s="55" t="str">
        <x:v>Iowa</x:v>
      </x:c>
      <x:c r="B67" s="142" t="str">
        <x:v>IA</x:v>
      </x:c>
      <x:c r="C67" s="142" t="str">
        <x:v>underage-alcohol-12347</x:v>
      </x:c>
      <x:c r="D67" s="142" t="str">
        <x:v>Underage-alcohol conviction expungement under Iowa Code § 123.47</x:v>
      </x:c>
      <x:c r="E67" s="142" t="str">
        <x:v>packet_ready_with_caution</x:v>
      </x:c>
      <x:c r="F67" s="142" t="str">
        <x:v>Filing path</x:v>
      </x:c>
      <x:c r="G67" s="56" t="str">
        <x:v>https://github.com/Roger-LegalEase/legalease-partner-dashboard-clean/blob/2f0ef0403f16e57544ad0bc86b2d1b1cd08861b3/src/lib/rcap-engine/compiled/profiles/IA-iowa.json</x:v>
      </x:c>
    </x:row>
    <x:row r="68">
      <x:c r="A68" s="55" t="str">
        <x:v>Iowa</x:v>
      </x:c>
      <x:c r="B68" s="142" t="str">
        <x:v>IA</x:v>
      </x:c>
      <x:c r="C68" s="142" t="str">
        <x:v>minor-prostitution-7251</x:v>
      </x:c>
      <x:c r="D68" s="142" t="str">
        <x:v>Prostitution conviction expungement for conduct while under 18 under Iowa Code § 725.1</x:v>
      </x:c>
      <x:c r="E68" s="142" t="str">
        <x:v>packet_ready_with_caution</x:v>
      </x:c>
      <x:c r="F68" s="142" t="str">
        <x:v>Filing path</x:v>
      </x:c>
      <x:c r="G68" s="56" t="str">
        <x:v>https://github.com/Roger-LegalEase/legalease-partner-dashboard-clean/blob/2f0ef0403f16e57544ad0bc86b2d1b1cd08861b3/src/lib/rcap-engine/compiled/profiles/IA-iowa.json</x:v>
      </x:c>
    </x:row>
    <x:row r="69">
      <x:c r="A69" s="55" t="str">
        <x:v>Idaho</x:v>
      </x:c>
      <x:c r="B69" s="142" t="str">
        <x:v>ID</x:v>
      </x:c>
      <x:c r="C69" s="142" t="str">
        <x:v>non-conviction-fingerprint-and-criminal-history-expungement-under-idaho-code-67-3004-10</x:v>
      </x:c>
      <x:c r="D69" s="142" t="str">
        <x:v>Non-conviction fingerprint and criminal-history expungement under Idaho Code § 67-3004(10)</x:v>
      </x:c>
      <x:c r="E69" s="142" t="str">
        <x:v>packet_ready_with_caution</x:v>
      </x:c>
      <x:c r="F69" s="142" t="str">
        <x:v>Filing path</x:v>
      </x:c>
      <x:c r="G69" s="56" t="str">
        <x:v>https://github.com/Roger-LegalEase/legalease-partner-dashboard-clean/blob/2f0ef0403f16e57544ad0bc86b2d1b1cd08861b3/src/lib/rcap-engine/compiled/profiles/ID-idaho.json</x:v>
      </x:c>
    </x:row>
    <x:row r="70">
      <x:c r="A70" s="55" t="str">
        <x:v>Idaho</x:v>
      </x:c>
      <x:c r="B70" s="142" t="str">
        <x:v>ID</x:v>
      </x:c>
      <x:c r="C70" s="142" t="str">
        <x:v>clean-slate-shielding-under-idaho-code-67-3004-11</x:v>
      </x:c>
      <x:c r="D70" s="142" t="str">
        <x:v>Clean Slate shielding under Idaho Code § 67-3004(11)</x:v>
      </x:c>
      <x:c r="E70" s="142" t="str">
        <x:v>packet_ready_with_caution</x:v>
      </x:c>
      <x:c r="F70" s="142" t="str">
        <x:v>Filing path</x:v>
      </x:c>
      <x:c r="G70" s="56" t="str">
        <x:v>https://github.com/Roger-LegalEase/legalease-partner-dashboard-clean/blob/2f0ef0403f16e57544ad0bc86b2d1b1cd08861b3/src/lib/rcap-engine/compiled/profiles/ID-idaho.json</x:v>
      </x:c>
    </x:row>
    <x:row r="71">
      <x:c r="A71" s="55" t="str">
        <x:v>Idaho</x:v>
      </x:c>
      <x:c r="B71" s="142" t="str">
        <x:v>ID</x:v>
      </x:c>
      <x:c r="C71" s="142" t="str">
        <x:v>withheld-judgment-idaho-code-19-2604-review-branch</x:v>
      </x:c>
      <x:c r="D71" s="142" t="str">
        <x:v>Withheld-judgment / Idaho Code § 19-2604 review branch</x:v>
      </x:c>
      <x:c r="E71" s="142" t="str">
        <x:v>needs_review</x:v>
      </x:c>
      <x:c r="F71" s="142" t="str">
        <x:v>Filing path</x:v>
      </x:c>
      <x:c r="G71" s="56" t="str">
        <x:v>https://github.com/Roger-LegalEase/legalease-partner-dashboard-clean/blob/2f0ef0403f16e57544ad0bc86b2d1b1cd08861b3/src/lib/rcap-engine/compiled/profiles/ID-idaho.json</x:v>
      </x:c>
    </x:row>
    <x:row r="72">
      <x:c r="A72" s="55" t="str">
        <x:v>Idaho</x:v>
      </x:c>
      <x:c r="B72" s="142" t="str">
        <x:v>ID</x:v>
      </x:c>
      <x:c r="C72" s="142" t="str">
        <x:v>juvenile-expungement</x:v>
      </x:c>
      <x:c r="D72" s="142" t="str">
        <x:v>Juvenile expungement</x:v>
      </x:c>
      <x:c r="E72" s="142" t="str">
        <x:v>packet_ready_with_caution</x:v>
      </x:c>
      <x:c r="F72" s="142" t="str">
        <x:v>Filing path</x:v>
      </x:c>
      <x:c r="G72" s="56" t="str">
        <x:v>https://github.com/Roger-LegalEase/legalease-partner-dashboard-clean/blob/2f0ef0403f16e57544ad0bc86b2d1b1cd08861b3/src/lib/rcap-engine/compiled/profiles/ID-idaho.json</x:v>
      </x:c>
    </x:row>
    <x:row r="73">
      <x:c r="A73" s="55" t="str">
        <x:v>Idaho</x:v>
      </x:c>
      <x:c r="B73" s="142" t="str">
        <x:v>ID</x:v>
      </x:c>
      <x:c r="C73" s="142" t="str">
        <x:v>human-trafficking-survivor-vacatur-and-expungement</x:v>
      </x:c>
      <x:c r="D73" s="142" t="str">
        <x:v>Human-trafficking-survivor vacatur and expungement</x:v>
      </x:c>
      <x:c r="E73" s="142" t="str">
        <x:v>packet_ready_with_caution</x:v>
      </x:c>
      <x:c r="F73" s="142" t="str">
        <x:v>Filing path</x:v>
      </x:c>
      <x:c r="G73" s="56" t="str">
        <x:v>https://github.com/Roger-LegalEase/legalease-partner-dashboard-clean/blob/2f0ef0403f16e57544ad0bc86b2d1b1cd08861b3/src/lib/rcap-engine/compiled/profiles/ID-idaho.json</x:v>
      </x:c>
    </x:row>
    <x:row r="74">
      <x:c r="A74" s="55" t="str">
        <x:v>Illinois</x:v>
      </x:c>
      <x:c r="B74" s="142" t="str">
        <x:v>IL</x:v>
      </x:c>
      <x:c r="C74" s="142" t="str">
        <x:v>adult-non-conviction-expungement</x:v>
      </x:c>
      <x:c r="D74" s="142" t="str">
        <x:v>Adult non-conviction expungement</x:v>
      </x:c>
      <x:c r="E74" s="142" t="str">
        <x:v>packet_ready_with_caution</x:v>
      </x:c>
      <x:c r="F74" s="142" t="str">
        <x:v>Filing path</x:v>
      </x:c>
      <x:c r="G74" s="56" t="str">
        <x:v>https://github.com/Roger-LegalEase/legalease-partner-dashboard-clean/blob/2f0ef0403f16e57544ad0bc86b2d1b1cd08861b3/src/lib/rcap-engine/compiled/profiles/IL-illinois.json</x:v>
      </x:c>
    </x:row>
    <x:row r="75">
      <x:c r="A75" s="55" t="str">
        <x:v>Illinois</x:v>
      </x:c>
      <x:c r="B75" s="142" t="str">
        <x:v>IL</x:v>
      </x:c>
      <x:c r="C75" s="142" t="str">
        <x:v>expungement-after-eligible-supervision-or-qualified-probation</x:v>
      </x:c>
      <x:c r="D75" s="142" t="str">
        <x:v>Expungement after eligible supervision or qualified probation</x:v>
      </x:c>
      <x:c r="E75" s="142" t="str">
        <x:v>packet_ready_with_caution</x:v>
      </x:c>
      <x:c r="F75" s="142" t="str">
        <x:v>Filing path</x:v>
      </x:c>
      <x:c r="G75" s="56" t="str">
        <x:v>https://github.com/Roger-LegalEase/legalease-partner-dashboard-clean/blob/2f0ef0403f16e57544ad0bc86b2d1b1cd08861b3/src/lib/rcap-engine/compiled/profiles/IL-illinois.json</x:v>
      </x:c>
    </x:row>
    <x:row r="76">
      <x:c r="A76" s="55" t="str">
        <x:v>Illinois</x:v>
      </x:c>
      <x:c r="B76" s="142" t="str">
        <x:v>IL</x:v>
      </x:c>
      <x:c r="C76" s="142" t="str">
        <x:v>adult-conviction-sealing</x:v>
      </x:c>
      <x:c r="D76" s="142" t="str">
        <x:v>Adult conviction sealing</x:v>
      </x:c>
      <x:c r="E76" s="142" t="str">
        <x:v>packet_ready_with_caution</x:v>
      </x:c>
      <x:c r="F76" s="142" t="str">
        <x:v>Filing path</x:v>
      </x:c>
      <x:c r="G76" s="56" t="str">
        <x:v>https://github.com/Roger-LegalEase/legalease-partner-dashboard-clean/blob/2f0ef0403f16e57544ad0bc86b2d1b1cd08861b3/src/lib/rcap-engine/compiled/profiles/IL-illinois.json</x:v>
      </x:c>
    </x:row>
    <x:row r="77">
      <x:c r="A77" s="55" t="str">
        <x:v>Illinois</x:v>
      </x:c>
      <x:c r="B77" s="142" t="str">
        <x:v>IL</x:v>
      </x:c>
      <x:c r="C77" s="142" t="str">
        <x:v>cannabis-specific-automatic-or-petition-expungement</x:v>
      </x:c>
      <x:c r="D77" s="142" t="str">
        <x:v>Cannabis-specific automatic or petition expungement</x:v>
      </x:c>
      <x:c r="E77" s="142" t="str">
        <x:v>packet_ready_with_caution</x:v>
      </x:c>
      <x:c r="F77" s="142" t="str">
        <x:v>Filing path</x:v>
      </x:c>
      <x:c r="G77" s="56" t="str">
        <x:v>https://github.com/Roger-LegalEase/legalease-partner-dashboard-clean/blob/2f0ef0403f16e57544ad0bc86b2d1b1cd08861b3/src/lib/rcap-engine/compiled/profiles/IL-illinois.json</x:v>
      </x:c>
    </x:row>
    <x:row r="78">
      <x:c r="A78" s="55" t="str">
        <x:v>Illinois</x:v>
      </x:c>
      <x:c r="B78" s="142" t="str">
        <x:v>IL</x:v>
      </x:c>
      <x:c r="C78" s="142" t="str">
        <x:v>human-trafficking-survivor-vacatur-and-expungement</x:v>
      </x:c>
      <x:c r="D78" s="142" t="str">
        <x:v>Human-trafficking-survivor vacatur and expungement</x:v>
      </x:c>
      <x:c r="E78" s="142" t="str">
        <x:v>packet_ready_with_caution</x:v>
      </x:c>
      <x:c r="F78" s="142" t="str">
        <x:v>Filing path</x:v>
      </x:c>
      <x:c r="G78" s="56" t="str">
        <x:v>https://github.com/Roger-LegalEase/legalease-partner-dashboard-clean/blob/2f0ef0403f16e57544ad0bc86b2d1b1cd08861b3/src/lib/rcap-engine/compiled/profiles/IL-illinois.json</x:v>
      </x:c>
    </x:row>
    <x:row r="79">
      <x:c r="A79" s="55" t="str">
        <x:v>Illinois</x:v>
      </x:c>
      <x:c r="B79" s="142" t="str">
        <x:v>IL</x:v>
      </x:c>
      <x:c r="C79" s="142" t="str">
        <x:v>felony-prostitution-relief</x:v>
      </x:c>
      <x:c r="D79" s="142" t="str">
        <x:v>Felony-prostitution relief</x:v>
      </x:c>
      <x:c r="E79" s="142" t="str">
        <x:v>packet_ready_with_caution</x:v>
      </x:c>
      <x:c r="F79" s="142" t="str">
        <x:v>Filing path</x:v>
      </x:c>
      <x:c r="G79" s="56" t="str">
        <x:v>https://github.com/Roger-LegalEase/legalease-partner-dashboard-clean/blob/2f0ef0403f16e57544ad0bc86b2d1b1cd08861b3/src/lib/rcap-engine/compiled/profiles/IL-illinois.json</x:v>
      </x:c>
    </x:row>
    <x:row r="80">
      <x:c r="A80" s="55" t="str">
        <x:v>Illinois</x:v>
      </x:c>
      <x:c r="B80" s="142" t="str">
        <x:v>IL</x:v>
      </x:c>
      <x:c r="C80" s="142" t="str">
        <x:v>criminal-identity-theft-mistaken-identity-relief</x:v>
      </x:c>
      <x:c r="D80" s="142" t="str">
        <x:v>Criminal identity-theft / mistaken-identity relief</x:v>
      </x:c>
      <x:c r="E80" s="142" t="str">
        <x:v>packet_ready_with_caution</x:v>
      </x:c>
      <x:c r="F80" s="142" t="str">
        <x:v>Filing path</x:v>
      </x:c>
      <x:c r="G80" s="56" t="str">
        <x:v>https://github.com/Roger-LegalEase/legalease-partner-dashboard-clean/blob/2f0ef0403f16e57544ad0bc86b2d1b1cd08861b3/src/lib/rcap-engine/compiled/profiles/IL-illinois.json</x:v>
      </x:c>
    </x:row>
    <x:row r="81">
      <x:c r="A81" s="55" t="str">
        <x:v>Illinois</x:v>
      </x:c>
      <x:c r="B81" s="142" t="str">
        <x:v>IL</x:v>
      </x:c>
      <x:c r="C81" s="142" t="str">
        <x:v>juvenile-automatic-or-petition-expungement</x:v>
      </x:c>
      <x:c r="D81" s="142" t="str">
        <x:v>Juvenile automatic or petition expungement</x:v>
      </x:c>
      <x:c r="E81" s="142" t="str">
        <x:v>packet_ready_with_caution</x:v>
      </x:c>
      <x:c r="F81" s="142" t="str">
        <x:v>Filing path</x:v>
      </x:c>
      <x:c r="G81" s="56" t="str">
        <x:v>https://github.com/Roger-LegalEase/legalease-partner-dashboard-clean/blob/2f0ef0403f16e57544ad0bc86b2d1b1cd08861b3/src/lib/rcap-engine/compiled/profiles/IL-illinois.json</x:v>
      </x:c>
    </x:row>
    <x:row r="82">
      <x:c r="A82" s="55" t="str">
        <x:v>Illinois</x:v>
      </x:c>
      <x:c r="B82" s="142" t="str">
        <x:v>IL</x:v>
      </x:c>
      <x:c r="C82" s="142" t="str">
        <x:v>clean-slate-automatic-sealing</x:v>
      </x:c>
      <x:c r="D82" s="142" t="str">
        <x:v>Clean Slate automatic sealing</x:v>
      </x:c>
      <x:c r="E82" s="142" t="str">
        <x:v>guidance_only</x:v>
      </x:c>
      <x:c r="F82" s="142" t="str">
        <x:v>No filing / verification</x:v>
      </x:c>
      <x:c r="G82" s="56" t="str">
        <x:v>https://github.com/Roger-LegalEase/legalease-partner-dashboard-clean/blob/2f0ef0403f16e57544ad0bc86b2d1b1cd08861b3/src/lib/rcap-engine/compiled/profiles/IL-illinois.json</x:v>
      </x:c>
    </x:row>
    <x:row r="83">
      <x:c r="A83" s="55" t="str">
        <x:v>Indiana</x:v>
      </x:c>
      <x:c r="B83" s="142" t="str">
        <x:v>IN</x:v>
      </x:c>
      <x:c r="C83" s="142" t="str">
        <x:v>non-conviction-arrest-or-criminal-charge-expungement</x:v>
      </x:c>
      <x:c r="D83" s="142" t="str">
        <x:v>Non-conviction arrest or criminal-charge expungement</x:v>
      </x:c>
      <x:c r="E83" s="142" t="str">
        <x:v>packet_ready_with_caution</x:v>
      </x:c>
      <x:c r="F83" s="142" t="str">
        <x:v>Filing path</x:v>
      </x:c>
      <x:c r="G83" s="56" t="str">
        <x:v>https://github.com/Roger-LegalEase/legalease-partner-dashboard-clean/blob/2f0ef0403f16e57544ad0bc86b2d1b1cd08861b3/src/lib/rcap-engine/compiled/profiles/IN-indiana.json</x:v>
      </x:c>
    </x:row>
    <x:row r="84">
      <x:c r="A84" s="55" t="str">
        <x:v>Indiana</x:v>
      </x:c>
      <x:c r="B84" s="142" t="str">
        <x:v>IN</x:v>
      </x:c>
      <x:c r="C84" s="142" t="str">
        <x:v>juvenile-allegation-expungement</x:v>
      </x:c>
      <x:c r="D84" s="142" t="str">
        <x:v>Juvenile-allegation expungement</x:v>
      </x:c>
      <x:c r="E84" s="142" t="str">
        <x:v>packet_ready_with_caution</x:v>
      </x:c>
      <x:c r="F84" s="142" t="str">
        <x:v>Filing path</x:v>
      </x:c>
      <x:c r="G84" s="56" t="str">
        <x:v>https://github.com/Roger-LegalEase/legalease-partner-dashboard-clean/blob/2f0ef0403f16e57544ad0bc86b2d1b1cd08861b3/src/lib/rcap-engine/compiled/profiles/IN-indiana.json</x:v>
      </x:c>
    </x:row>
    <x:row r="85">
      <x:c r="A85" s="55" t="str">
        <x:v>Indiana</x:v>
      </x:c>
      <x:c r="B85" s="142" t="str">
        <x:v>IN</x:v>
      </x:c>
      <x:c r="C85" s="142" t="str">
        <x:v>conviction-expungement-with-sealed-confidential-access</x:v>
      </x:c>
      <x:c r="D85" s="142" t="str">
        <x:v>Conviction expungement with sealed/confidential access</x:v>
      </x:c>
      <x:c r="E85" s="142" t="str">
        <x:v>packet_ready_with_caution</x:v>
      </x:c>
      <x:c r="F85" s="142" t="str">
        <x:v>Filing path</x:v>
      </x:c>
      <x:c r="G85" s="56" t="str">
        <x:v>https://github.com/Roger-LegalEase/legalease-partner-dashboard-clean/blob/2f0ef0403f16e57544ad0bc86b2d1b1cd08861b3/src/lib/rcap-engine/compiled/profiles/IN-indiana.json</x:v>
      </x:c>
    </x:row>
    <x:row r="86">
      <x:c r="A86" s="55" t="str">
        <x:v>Indiana</x:v>
      </x:c>
      <x:c r="B86" s="142" t="str">
        <x:v>IN</x:v>
      </x:c>
      <x:c r="C86" s="142" t="str">
        <x:v>conviction-expungement-with-records-marked-expunged</x:v>
      </x:c>
      <x:c r="D86" s="142" t="str">
        <x:v>Conviction expungement with records marked expunged</x:v>
      </x:c>
      <x:c r="E86" s="142" t="str">
        <x:v>packet_ready_with_caution</x:v>
      </x:c>
      <x:c r="F86" s="142" t="str">
        <x:v>Filing path</x:v>
      </x:c>
      <x:c r="G86" s="56" t="str">
        <x:v>https://github.com/Roger-LegalEase/legalease-partner-dashboard-clean/blob/2f0ef0403f16e57544ad0bc86b2d1b1cd08861b3/src/lib/rcap-engine/compiled/profiles/IN-indiana.json</x:v>
      </x:c>
    </x:row>
    <x:row r="87">
      <x:c r="A87" s="55" t="str">
        <x:v>Kansas</x:v>
      </x:c>
      <x:c r="B87" s="142" t="str">
        <x:v>KS</x:v>
      </x:c>
      <x:c r="C87" s="142" t="str">
        <x:v>conviction-or-diversion-216614</x:v>
      </x:c>
      <x:c r="D87" s="142" t="str">
        <x:v>Conviction or diversion expungement under K.S.A. 21-6614</x:v>
      </x:c>
      <x:c r="E87" s="142" t="str">
        <x:v>packet_ready_with_caution</x:v>
      </x:c>
      <x:c r="F87" s="142" t="str">
        <x:v>Filing path</x:v>
      </x:c>
      <x:c r="G87" s="56" t="str">
        <x:v>https://github.com/Roger-LegalEase/legalease-partner-dashboard-clean/blob/2f0ef0403f16e57544ad0bc86b2d1b1cd08861b3/src/lib/rcap-engine/compiled/profiles/KS-kansas.json</x:v>
      </x:c>
    </x:row>
    <x:row r="88">
      <x:c r="A88" s="55" t="str">
        <x:v>Kansas</x:v>
      </x:c>
      <x:c r="B88" s="142" t="str">
        <x:v>KS</x:v>
      </x:c>
      <x:c r="C88" s="142" t="str">
        <x:v>specialty-court-accelerated</x:v>
      </x:c>
      <x:c r="D88" s="142" t="str">
        <x:v>Specialty-court completion route</x:v>
      </x:c>
      <x:c r="E88" s="142" t="str">
        <x:v>packet_ready_with_caution</x:v>
      </x:c>
      <x:c r="F88" s="142" t="str">
        <x:v>Filing path</x:v>
      </x:c>
      <x:c r="G88" s="56" t="str">
        <x:v>https://github.com/Roger-LegalEase/legalease-partner-dashboard-clean/blob/2f0ef0403f16e57544ad0bc86b2d1b1cd08861b3/src/lib/rcap-engine/compiled/profiles/KS-kansas.json</x:v>
      </x:c>
    </x:row>
    <x:row r="89">
      <x:c r="A89" s="55" t="str">
        <x:v>Kansas</x:v>
      </x:c>
      <x:c r="B89" s="142" t="str">
        <x:v>KS</x:v>
      </x:c>
      <x:c r="C89" s="142" t="str">
        <x:v>prostitution-coercion</x:v>
      </x:c>
      <x:c r="D89" s="142" t="str">
        <x:v>Prostitution offense committed under coercion</x:v>
      </x:c>
      <x:c r="E89" s="142" t="str">
        <x:v>packet_ready_with_caution</x:v>
      </x:c>
      <x:c r="F89" s="142" t="str">
        <x:v>Filing path</x:v>
      </x:c>
      <x:c r="G89" s="56" t="str">
        <x:v>https://github.com/Roger-LegalEase/legalease-partner-dashboard-clean/blob/2f0ef0403f16e57544ad0bc86b2d1b1cd08861b3/src/lib/rcap-engine/compiled/profiles/KS-kansas.json</x:v>
      </x:c>
    </x:row>
    <x:row r="90">
      <x:c r="A90" s="55" t="str">
        <x:v>Kansas</x:v>
      </x:c>
      <x:c r="B90" s="142" t="str">
        <x:v>KS</x:v>
      </x:c>
      <x:c r="C90" s="142" t="str">
        <x:v>drug-registration-relief-coordination</x:v>
      </x:c>
      <x:c r="D90" s="142" t="str">
        <x:v>Drug-offender registration relief coordinated with expungement</x:v>
      </x:c>
      <x:c r="E90" s="142" t="str">
        <x:v>guidance_only</x:v>
      </x:c>
      <x:c r="F90" s="142" t="str">
        <x:v>No filing / verification</x:v>
      </x:c>
      <x:c r="G90" s="56" t="str">
        <x:v>https://github.com/Roger-LegalEase/legalease-partner-dashboard-clean/blob/2f0ef0403f16e57544ad0bc86b2d1b1cd08861b3/src/lib/rcap-engine/compiled/profiles/KS-kansas.json</x:v>
      </x:c>
    </x:row>
    <x:row r="91">
      <x:c r="A91" s="55" t="str">
        <x:v>Kentucky</x:v>
      </x:c>
      <x:c r="B91" s="142" t="str">
        <x:v>KY</x:v>
      </x:c>
      <x:c r="C91" s="142" t="str">
        <x:v>misdemeanor-violation-traffic-conviction</x:v>
      </x:c>
      <x:c r="D91" s="142" t="str">
        <x:v>Misdemeanor, violation, or traffic-infraction conviction expungement under KRS 431.078</x:v>
      </x:c>
      <x:c r="E91" s="142" t="str">
        <x:v>packet_ready_with_caution</x:v>
      </x:c>
      <x:c r="F91" s="142" t="str">
        <x:v>Filing path</x:v>
      </x:c>
      <x:c r="G91" s="56" t="str">
        <x:v>https://github.com/Roger-LegalEase/legalease-partner-dashboard-clean/blob/2f0ef0403f16e57544ad0bc86b2d1b1cd08861b3/src/lib/rcap-engine/compiled/profiles/KY-kentucky.json</x:v>
      </x:c>
    </x:row>
    <x:row r="92">
      <x:c r="A92" s="55" t="str">
        <x:v>Kentucky</x:v>
      </x:c>
      <x:c r="B92" s="142" t="str">
        <x:v>KY</x:v>
      </x:c>
      <x:c r="C92" s="142" t="str">
        <x:v>felony-conviction-431073</x:v>
      </x:c>
      <x:c r="D92" s="142" t="str">
        <x:v>Eligible felony conviction vacatur and expungement under KRS 431.073</x:v>
      </x:c>
      <x:c r="E92" s="142" t="str">
        <x:v>packet_ready_with_caution</x:v>
      </x:c>
      <x:c r="F92" s="142" t="str">
        <x:v>Filing path</x:v>
      </x:c>
      <x:c r="G92" s="56" t="str">
        <x:v>https://github.com/Roger-LegalEase/legalease-partner-dashboard-clean/blob/2f0ef0403f16e57544ad0bc86b2d1b1cd08861b3/src/lib/rcap-engine/compiled/profiles/KY-kentucky.json</x:v>
      </x:c>
    </x:row>
    <x:row r="93">
      <x:c r="A93" s="55" t="str">
        <x:v>Kentucky</x:v>
      </x:c>
      <x:c r="B93" s="142" t="str">
        <x:v>KY</x:v>
      </x:c>
      <x:c r="C93" s="142" t="str">
        <x:v>nonconviction-431076</x:v>
      </x:c>
      <x:c r="D93" s="142" t="str">
        <x:v>Acquittal, dismissal, or failure-to-indict expungement under KRS 431.076</x:v>
      </x:c>
      <x:c r="E93" s="142" t="str">
        <x:v>packet_ready_with_caution</x:v>
      </x:c>
      <x:c r="F93" s="142" t="str">
        <x:v>Filing path</x:v>
      </x:c>
      <x:c r="G93" s="56" t="str">
        <x:v>https://github.com/Roger-LegalEase/legalease-partner-dashboard-clean/blob/2f0ef0403f16e57544ad0bc86b2d1b1cd08861b3/src/lib/rcap-engine/compiled/profiles/KY-kentucky.json</x:v>
      </x:c>
    </x:row>
    <x:row r="94">
      <x:c r="A94" s="55" t="str">
        <x:v>Kentucky</x:v>
      </x:c>
      <x:c r="B94" s="142" t="str">
        <x:v>KY</x:v>
      </x:c>
      <x:c r="C94" s="142" t="str">
        <x:v>juvenile-automatic-dismissal</x:v>
      </x:c>
      <x:c r="D94" s="142" t="str">
        <x:v>Juvenile automatic expungement on qualifying dismissal</x:v>
      </x:c>
      <x:c r="E94" s="142" t="str">
        <x:v>guidance_only</x:v>
      </x:c>
      <x:c r="F94" s="142" t="str">
        <x:v>No filing / verification</x:v>
      </x:c>
      <x:c r="G94" s="56" t="str">
        <x:v>https://github.com/Roger-LegalEase/legalease-partner-dashboard-clean/blob/2f0ef0403f16e57544ad0bc86b2d1b1cd08861b3/src/lib/rcap-engine/compiled/profiles/KY-kentucky.json</x:v>
      </x:c>
    </x:row>
    <x:row r="95">
      <x:c r="A95" s="55" t="str">
        <x:v>Kentucky</x:v>
      </x:c>
      <x:c r="B95" s="142" t="str">
        <x:v>KY</x:v>
      </x:c>
      <x:c r="C95" s="142" t="str">
        <x:v>juvenile-petition-610330</x:v>
      </x:c>
      <x:c r="D95" s="142" t="str">
        <x:v>Juvenile petition to vacate and expunge under KRS 610.330</x:v>
      </x:c>
      <x:c r="E95" s="142" t="str">
        <x:v>guidance_only</x:v>
      </x:c>
      <x:c r="F95" s="142" t="str">
        <x:v>No filing / verification</x:v>
      </x:c>
      <x:c r="G95" s="56" t="str">
        <x:v>https://github.com/Roger-LegalEase/legalease-partner-dashboard-clean/blob/2f0ef0403f16e57544ad0bc86b2d1b1cd08861b3/src/lib/rcap-engine/compiled/profiles/KY-kentucky.json</x:v>
      </x:c>
    </x:row>
    <x:row r="96">
      <x:c r="A96" s="55" t="str">
        <x:v>Louisiana</x:v>
      </x:c>
      <x:c r="B96" s="142" t="str">
        <x:v>LA</x:v>
      </x:c>
      <x:c r="C96" s="142" t="str">
        <x:v>non-conviction-arrest-expungement</x:v>
      </x:c>
      <x:c r="D96" s="142" t="str">
        <x:v>Non-conviction arrest expungement</x:v>
      </x:c>
      <x:c r="E96" s="142" t="str">
        <x:v>packet_ready_with_caution</x:v>
      </x:c>
      <x:c r="F96" s="142" t="str">
        <x:v>Filing path</x:v>
      </x:c>
      <x:c r="G96" s="56" t="str">
        <x:v>https://github.com/Roger-LegalEase/legalease-partner-dashboard-clean/blob/2f0ef0403f16e57544ad0bc86b2d1b1cd08861b3/src/lib/rcap-engine/compiled/profiles/LA-louisiana.json</x:v>
      </x:c>
    </x:row>
    <x:row r="97">
      <x:c r="A97" s="55" t="str">
        <x:v>Louisiana</x:v>
      </x:c>
      <x:c r="B97" s="142" t="str">
        <x:v>LA</x:v>
      </x:c>
      <x:c r="C97" s="142" t="str">
        <x:v>misdemeanor-article-894-b-set-aside-followed-by-expungement</x:v>
      </x:c>
      <x:c r="D97" s="142" t="str">
        <x:v>Misdemeanor Article 894(B) set-aside followed by expungement</x:v>
      </x:c>
      <x:c r="E97" s="142" t="str">
        <x:v>packet_ready_with_caution</x:v>
      </x:c>
      <x:c r="F97" s="142" t="str">
        <x:v>Filing path</x:v>
      </x:c>
      <x:c r="G97" s="56" t="str">
        <x:v>https://github.com/Roger-LegalEase/legalease-partner-dashboard-clean/blob/2f0ef0403f16e57544ad0bc86b2d1b1cd08861b3/src/lib/rcap-engine/compiled/profiles/LA-louisiana.json</x:v>
      </x:c>
    </x:row>
    <x:row r="98">
      <x:c r="A98" s="55" t="str">
        <x:v>Louisiana</x:v>
      </x:c>
      <x:c r="B98" s="142" t="str">
        <x:v>LA</x:v>
      </x:c>
      <x:c r="C98" s="142" t="str">
        <x:v>misdemeanor-five-year-clean-period-expungement</x:v>
      </x:c>
      <x:c r="D98" s="142" t="str">
        <x:v>Misdemeanor five-year clean-period expungement</x:v>
      </x:c>
      <x:c r="E98" s="142" t="str">
        <x:v>packet_ready_with_caution</x:v>
      </x:c>
      <x:c r="F98" s="142" t="str">
        <x:v>Filing path</x:v>
      </x:c>
      <x:c r="G98" s="56" t="str">
        <x:v>https://github.com/Roger-LegalEase/legalease-partner-dashboard-clean/blob/2f0ef0403f16e57544ad0bc86b2d1b1cd08861b3/src/lib/rcap-engine/compiled/profiles/LA-louisiana.json</x:v>
      </x:c>
    </x:row>
    <x:row r="99">
      <x:c r="A99" s="55" t="str">
        <x:v>Louisiana</x:v>
      </x:c>
      <x:c r="B99" s="142" t="str">
        <x:v>LA</x:v>
      </x:c>
      <x:c r="C99" s="142" t="str">
        <x:v>first-offense-marijuana-expungement-after-90-days-art-998</x:v>
      </x:c>
      <x:c r="D99" s="142" t="str">
        <x:v>First-offense marijuana expungement after 90 days (Art. 998)</x:v>
      </x:c>
      <x:c r="E99" s="142" t="str">
        <x:v>packet_ready_with_caution</x:v>
      </x:c>
      <x:c r="F99" s="142" t="str">
        <x:v>Filing path</x:v>
      </x:c>
      <x:c r="G99" s="56" t="str">
        <x:v>https://github.com/Roger-LegalEase/legalease-partner-dashboard-clean/blob/2f0ef0403f16e57544ad0bc86b2d1b1cd08861b3/src/lib/rcap-engine/compiled/profiles/LA-louisiana.json</x:v>
      </x:c>
    </x:row>
    <x:row r="100">
      <x:c r="A100" s="55" t="str">
        <x:v>Louisiana</x:v>
      </x:c>
      <x:c r="B100" s="142" t="str">
        <x:v>LA</x:v>
      </x:c>
      <x:c r="C100" s="142" t="str">
        <x:v>felony-article-893-e-set-aside-followed-by-expungement</x:v>
      </x:c>
      <x:c r="D100" s="142" t="str">
        <x:v>Felony Article 893(E) set-aside followed by expungement</x:v>
      </x:c>
      <x:c r="E100" s="142" t="str">
        <x:v>packet_ready_with_caution</x:v>
      </x:c>
      <x:c r="F100" s="142" t="str">
        <x:v>Filing path</x:v>
      </x:c>
      <x:c r="G100" s="56" t="str">
        <x:v>https://github.com/Roger-LegalEase/legalease-partner-dashboard-clean/blob/2f0ef0403f16e57544ad0bc86b2d1b1cd08861b3/src/lib/rcap-engine/compiled/profiles/LA-louisiana.json</x:v>
      </x:c>
    </x:row>
    <x:row r="101">
      <x:c r="A101" s="55" t="str">
        <x:v>Louisiana</x:v>
      </x:c>
      <x:c r="B101" s="142" t="str">
        <x:v>LA</x:v>
      </x:c>
      <x:c r="C101" s="142" t="str">
        <x:v>felony-ten-year-clean-period-expungement</x:v>
      </x:c>
      <x:c r="D101" s="142" t="str">
        <x:v>Felony ten-year clean-period expungement</x:v>
      </x:c>
      <x:c r="E101" s="142" t="str">
        <x:v>packet_ready_with_caution</x:v>
      </x:c>
      <x:c r="F101" s="142" t="str">
        <x:v>Filing path</x:v>
      </x:c>
      <x:c r="G101" s="56" t="str">
        <x:v>https://github.com/Roger-LegalEase/legalease-partner-dashboard-clean/blob/2f0ef0403f16e57544ad0bc86b2d1b1cd08861b3/src/lib/rcap-engine/compiled/profiles/LA-louisiana.json</x:v>
      </x:c>
    </x:row>
    <x:row r="102">
      <x:c r="A102" s="55" t="str">
        <x:v>Louisiana</x:v>
      </x:c>
      <x:c r="B102" s="142" t="str">
        <x:v>LA</x:v>
      </x:c>
      <x:c r="C102" s="142" t="str">
        <x:v>first-offender-pardon-felony-expungement</x:v>
      </x:c>
      <x:c r="D102" s="142" t="str">
        <x:v>First-offender-pardon felony expungement</x:v>
      </x:c>
      <x:c r="E102" s="142" t="str">
        <x:v>packet_ready_with_caution</x:v>
      </x:c>
      <x:c r="F102" s="142" t="str">
        <x:v>Filing path</x:v>
      </x:c>
      <x:c r="G102" s="56" t="str">
        <x:v>https://github.com/Roger-LegalEase/legalease-partner-dashboard-clean/blob/2f0ef0403f16e57544ad0bc86b2d1b1cd08861b3/src/lib/rcap-engine/compiled/profiles/LA-louisiana.json</x:v>
      </x:c>
    </x:row>
    <x:row r="103">
      <x:c r="A103" s="55" t="str">
        <x:v>Louisiana</x:v>
      </x:c>
      <x:c r="B103" s="142" t="str">
        <x:v>LA</x:v>
      </x:c>
      <x:c r="C103" s="142" t="str">
        <x:v>interim-expungement-of-a-felony-arrest-reduced-to-a-misdemeanor-conviction</x:v>
      </x:c>
      <x:c r="D103" s="142" t="str">
        <x:v>Interim expungement of a felony arrest reduced to a misdemeanor conviction</x:v>
      </x:c>
      <x:c r="E103" s="142" t="str">
        <x:v>packet_ready_with_caution</x:v>
      </x:c>
      <x:c r="F103" s="142" t="str">
        <x:v>Filing path</x:v>
      </x:c>
      <x:c r="G103" s="56" t="str">
        <x:v>https://github.com/Roger-LegalEase/legalease-partner-dashboard-clean/blob/2f0ef0403f16e57544ad0bc86b2d1b1cd08861b3/src/lib/rcap-engine/compiled/profiles/LA-louisiana.json</x:v>
      </x:c>
    </x:row>
    <x:row r="104">
      <x:c r="A104" s="55" t="str">
        <x:v>Louisiana</x:v>
      </x:c>
      <x:c r="B104" s="142" t="str">
        <x:v>LA</x:v>
      </x:c>
      <x:c r="C104" s="142" t="str">
        <x:v>expungement-by-redaction-for-multi-person-records</x:v>
      </x:c>
      <x:c r="D104" s="142" t="str">
        <x:v>Expungement by redaction for multi-person records</x:v>
      </x:c>
      <x:c r="E104" s="142" t="str">
        <x:v>packet_ready_with_caution</x:v>
      </x:c>
      <x:c r="F104" s="142" t="str">
        <x:v>Filing path</x:v>
      </x:c>
      <x:c r="G104" s="56" t="str">
        <x:v>https://github.com/Roger-LegalEase/legalease-partner-dashboard-clean/blob/2f0ef0403f16e57544ad0bc86b2d1b1cd08861b3/src/lib/rcap-engine/compiled/profiles/LA-louisiana.json</x:v>
      </x:c>
    </x:row>
    <x:row r="105">
      <x:c r="A105" s="55" t="str">
        <x:v>Louisiana</x:v>
      </x:c>
      <x:c r="B105" s="142" t="str">
        <x:v>LA</x:v>
      </x:c>
      <x:c r="C105" s="142" t="str">
        <x:v>human-trafficking-survivor-expungement-fee-exempt-route</x:v>
      </x:c>
      <x:c r="D105" s="142" t="str">
        <x:v>Human-trafficking-survivor expungement / fee-exempt route</x:v>
      </x:c>
      <x:c r="E105" s="142" t="str">
        <x:v>packet_ready_with_caution</x:v>
      </x:c>
      <x:c r="F105" s="142" t="str">
        <x:v>Filing path</x:v>
      </x:c>
      <x:c r="G105" s="56" t="str">
        <x:v>https://github.com/Roger-LegalEase/legalease-partner-dashboard-clean/blob/2f0ef0403f16e57544ad0bc86b2d1b1cd08861b3/src/lib/rcap-engine/compiled/profiles/LA-louisiana.json</x:v>
      </x:c>
    </x:row>
    <x:row r="106">
      <x:c r="A106" s="55" t="str">
        <x:v>Louisiana</x:v>
      </x:c>
      <x:c r="B106" s="142" t="str">
        <x:v>LA</x:v>
      </x:c>
      <x:c r="C106" s="142" t="str">
        <x:v>immediate-expungement-after-successful-court-program-completion-art-985-3</x:v>
      </x:c>
      <x:c r="D106" s="142" t="str">
        <x:v>Immediate expungement after successful court-program completion (Art. 985.3)</x:v>
      </x:c>
      <x:c r="E106" s="142" t="str">
        <x:v>packet_ready_with_caution</x:v>
      </x:c>
      <x:c r="F106" s="142" t="str">
        <x:v>Filing path</x:v>
      </x:c>
      <x:c r="G106" s="56" t="str">
        <x:v>https://github.com/Roger-LegalEase/legalease-partner-dashboard-clean/blob/2f0ef0403f16e57544ad0bc86b2d1b1cd08861b3/src/lib/rcap-engine/compiled/profiles/LA-louisiana.json</x:v>
      </x:c>
    </x:row>
    <x:row r="107">
      <x:c r="A107" s="55" t="str">
        <x:v>Louisiana</x:v>
      </x:c>
      <x:c r="B107" s="142" t="str">
        <x:v>LA</x:v>
      </x:c>
      <x:c r="C107" s="142" t="str">
        <x:v>automated-expungement-status-verification-art-985-2</x:v>
      </x:c>
      <x:c r="D107" s="142" t="str">
        <x:v>Automated-expungement status verification (Art. 985.2)</x:v>
      </x:c>
      <x:c r="E107" s="142" t="str">
        <x:v>guidance_only</x:v>
      </x:c>
      <x:c r="F107" s="142" t="str">
        <x:v>No filing / verification</x:v>
      </x:c>
      <x:c r="G107" s="56" t="str">
        <x:v>https://github.com/Roger-LegalEase/legalease-partner-dashboard-clean/blob/2f0ef0403f16e57544ad0bc86b2d1b1cd08861b3/src/lib/rcap-engine/compiled/profiles/LA-louisiana.json</x:v>
      </x:c>
    </x:row>
    <x:row r="108">
      <x:c r="A108" s="55" t="str">
        <x:v>Massachusetts</x:v>
      </x:c>
      <x:c r="B108" s="142" t="str">
        <x:v>MA</x:v>
      </x:c>
      <x:c r="C108" s="142" t="str">
        <x:v>adult-conviction-sealing-under-m-g-l-c-276-100a</x:v>
      </x:c>
      <x:c r="D108" s="142" t="str">
        <x:v>Adult conviction sealing under M.G.L. c. 276, § 100A</x:v>
      </x:c>
      <x:c r="E108" s="142" t="str">
        <x:v>packet_ready_with_caution</x:v>
      </x:c>
      <x:c r="F108" s="142" t="str">
        <x:v>Filing path</x:v>
      </x:c>
      <x:c r="G108" s="56" t="str">
        <x:v>https://github.com/Roger-LegalEase/legalease-partner-dashboard-clean/blob/2f0ef0403f16e57544ad0bc86b2d1b1cd08861b3/src/lib/rcap-engine/compiled/profiles/MA-massachusetts.json</x:v>
      </x:c>
    </x:row>
    <x:row r="109">
      <x:c r="A109" s="55" t="str">
        <x:v>Massachusetts</x:v>
      </x:c>
      <x:c r="B109" s="142" t="str">
        <x:v>MA</x:v>
      </x:c>
      <x:c r="C109" s="142" t="str">
        <x:v>automatic-non-conviction-sealing-for-not-guilty-no-bill-or-no-probable-cause-outcomes-100c</x:v>
      </x:c>
      <x:c r="D109" s="142" t="str">
        <x:v>Automatic non-conviction sealing for not-guilty, no-bill, or no-probable-cause outcomes (§ 100C)</x:v>
      </x:c>
      <x:c r="E109" s="142" t="str">
        <x:v>guidance_only</x:v>
      </x:c>
      <x:c r="F109" s="142" t="str">
        <x:v>No filing / verification</x:v>
      </x:c>
      <x:c r="G109" s="56" t="str">
        <x:v>https://github.com/Roger-LegalEase/legalease-partner-dashboard-clean/blob/2f0ef0403f16e57544ad0bc86b2d1b1cd08861b3/src/lib/rcap-engine/compiled/profiles/MA-massachusetts.json</x:v>
      </x:c>
    </x:row>
    <x:row r="110">
      <x:c r="A110" s="55" t="str">
        <x:v>Massachusetts</x:v>
      </x:c>
      <x:c r="B110" s="142" t="str">
        <x:v>MA</x:v>
      </x:c>
      <x:c r="C110" s="142" t="str">
        <x:v>court-requested-sealing-for-dismissal-or-nolle-prosequi-100c</x:v>
      </x:c>
      <x:c r="D110" s="142" t="str">
        <x:v>Court-requested sealing for dismissal or nolle prosequi (§ 100C)</x:v>
      </x:c>
      <x:c r="E110" s="142" t="str">
        <x:v>packet_ready_with_caution</x:v>
      </x:c>
      <x:c r="F110" s="142" t="str">
        <x:v>Filing path</x:v>
      </x:c>
      <x:c r="G110" s="56" t="str">
        <x:v>https://github.com/Roger-LegalEase/legalease-partner-dashboard-clean/blob/2f0ef0403f16e57544ad0bc86b2d1b1cd08861b3/src/lib/rcap-engine/compiled/profiles/MA-massachusetts.json</x:v>
      </x:c>
    </x:row>
    <x:row r="111">
      <x:c r="A111" s="55" t="str">
        <x:v>Massachusetts</x:v>
      </x:c>
      <x:c r="B111" s="142" t="str">
        <x:v>MA</x:v>
      </x:c>
      <x:c r="C111" s="142" t="str">
        <x:v>juvenile-record-sealing-under-100b</x:v>
      </x:c>
      <x:c r="D111" s="142" t="str">
        <x:v>Juvenile record sealing under § 100B</x:v>
      </x:c>
      <x:c r="E111" s="142" t="str">
        <x:v>packet_ready_with_caution</x:v>
      </x:c>
      <x:c r="F111" s="142" t="str">
        <x:v>Filing path</x:v>
      </x:c>
      <x:c r="G111" s="56" t="str">
        <x:v>https://github.com/Roger-LegalEase/legalease-partner-dashboard-clean/blob/2f0ef0403f16e57544ad0bc86b2d1b1cd08861b3/src/lib/rcap-engine/compiled/profiles/MA-massachusetts.json</x:v>
      </x:c>
    </x:row>
    <x:row r="112">
      <x:c r="A112" s="55" t="str">
        <x:v>Massachusetts</x:v>
      </x:c>
      <x:c r="B112" s="142" t="str">
        <x:v>MA</x:v>
      </x:c>
      <x:c r="C112" s="142" t="str">
        <x:v>time-based-expungement-under-100f-100j</x:v>
      </x:c>
      <x:c r="D112" s="142" t="str">
        <x:v>Time-based expungement under §§ 100F–100J</x:v>
      </x:c>
      <x:c r="E112" s="142" t="str">
        <x:v>packet_ready_with_caution</x:v>
      </x:c>
      <x:c r="F112" s="142" t="str">
        <x:v>Filing path</x:v>
      </x:c>
      <x:c r="G112" s="56" t="str">
        <x:v>https://github.com/Roger-LegalEase/legalease-partner-dashboard-clean/blob/2f0ef0403f16e57544ad0bc86b2d1b1cd08861b3/src/lib/rcap-engine/compiled/profiles/MA-massachusetts.json</x:v>
      </x:c>
    </x:row>
    <x:row r="113">
      <x:c r="A113" s="55" t="str">
        <x:v>Massachusetts</x:v>
      </x:c>
      <x:c r="B113" s="142" t="str">
        <x:v>MA</x:v>
      </x:c>
      <x:c r="C113" s="142" t="str">
        <x:v>non-time-based-expungement-for-false-identity-error-fraud-or-decriminalized-conduct-100k</x:v>
      </x:c>
      <x:c r="D113" s="142" t="str">
        <x:v>Non-time-based expungement for false identity, error, fraud, or decriminalized conduct (§ 100K)</x:v>
      </x:c>
      <x:c r="E113" s="142" t="str">
        <x:v>packet_ready_with_caution</x:v>
      </x:c>
      <x:c r="F113" s="142" t="str">
        <x:v>Filing path</x:v>
      </x:c>
      <x:c r="G113" s="56" t="str">
        <x:v>https://github.com/Roger-LegalEase/legalease-partner-dashboard-clean/blob/2f0ef0403f16e57544ad0bc86b2d1b1cd08861b3/src/lib/rcap-engine/compiled/profiles/MA-massachusetts.json</x:v>
      </x:c>
    </x:row>
    <x:row r="114">
      <x:c r="A114" s="55" t="str">
        <x:v>Massachusetts</x:v>
      </x:c>
      <x:c r="B114" s="142" t="str">
        <x:v>MA</x:v>
      </x:c>
      <x:c r="C114" s="142" t="str">
        <x:v>marijuana-only-expungement</x:v>
      </x:c>
      <x:c r="D114" s="142" t="str">
        <x:v>Marijuana-only expungement</x:v>
      </x:c>
      <x:c r="E114" s="142" t="str">
        <x:v>packet_ready_with_caution</x:v>
      </x:c>
      <x:c r="F114" s="142" t="str">
        <x:v>Filing path</x:v>
      </x:c>
      <x:c r="G114" s="56" t="str">
        <x:v>https://github.com/Roger-LegalEase/legalease-partner-dashboard-clean/blob/2f0ef0403f16e57544ad0bc86b2d1b1cd08861b3/src/lib/rcap-engine/compiled/profiles/MA-massachusetts.json</x:v>
      </x:c>
    </x:row>
    <x:row r="115">
      <x:c r="A115" s="55" t="str">
        <x:v>Maryland</x:v>
      </x:c>
      <x:c r="B115" s="142" t="str">
        <x:v>MD</x:v>
      </x:c>
      <x:c r="C115" s="142" t="str">
        <x:v>adult-non-conviction-expungement-under-crim-proc-10-105</x:v>
      </x:c>
      <x:c r="D115" s="142" t="str">
        <x:v>Adult non-conviction expungement under Crim. Proc. § 10-105</x:v>
      </x:c>
      <x:c r="E115" s="142" t="str">
        <x:v>packet_ready_with_caution</x:v>
      </x:c>
      <x:c r="F115" s="142" t="str">
        <x:v>Filing path</x:v>
      </x:c>
      <x:c r="G115" s="56" t="str">
        <x:v>https://github.com/Roger-LegalEase/legalease-partner-dashboard-clean/blob/2f0ef0403f16e57544ad0bc86b2d1b1cd08861b3/src/lib/rcap-engine/compiled/profiles/MD-maryland.json</x:v>
      </x:c>
    </x:row>
    <x:row r="116">
      <x:c r="A116" s="55" t="str">
        <x:v>Maryland</x:v>
      </x:c>
      <x:c r="B116" s="142" t="str">
        <x:v>MD</x:v>
      </x:c>
      <x:c r="C116" s="142" t="str">
        <x:v>automatic-expungement-under-crim-proc-10-105-1</x:v>
      </x:c>
      <x:c r="D116" s="142" t="str">
        <x:v>Automatic expungement under Crim. Proc. § 10-105.1</x:v>
      </x:c>
      <x:c r="E116" s="142" t="str">
        <x:v>guidance_only</x:v>
      </x:c>
      <x:c r="F116" s="142" t="str">
        <x:v>No filing / verification</x:v>
      </x:c>
      <x:c r="G116" s="56" t="str">
        <x:v>https://github.com/Roger-LegalEase/legalease-partner-dashboard-clean/blob/2f0ef0403f16e57544ad0bc86b2d1b1cd08861b3/src/lib/rcap-engine/compiled/profiles/MD-maryland.json</x:v>
      </x:c>
    </x:row>
    <x:row r="117">
      <x:c r="A117" s="55" t="str">
        <x:v>Maryland</x:v>
      </x:c>
      <x:c r="B117" s="142" t="str">
        <x:v>MD</x:v>
      </x:c>
      <x:c r="C117" s="142" t="str">
        <x:v>police-record-expungement-when-no-charge-was-filed-under-10-103</x:v>
      </x:c>
      <x:c r="D117" s="142" t="str">
        <x:v>Police-record expungement when no charge was filed under § 10-103</x:v>
      </x:c>
      <x:c r="E117" s="142" t="str">
        <x:v>packet_ready_with_caution</x:v>
      </x:c>
      <x:c r="F117" s="142" t="str">
        <x:v>Filing path</x:v>
      </x:c>
      <x:c r="G117" s="56" t="str">
        <x:v>https://github.com/Roger-LegalEase/legalease-partner-dashboard-clean/blob/2f0ef0403f16e57544ad0bc86b2d1b1cd08861b3/src/lib/rcap-engine/compiled/profiles/MD-maryland.json</x:v>
      </x:c>
    </x:row>
    <x:row r="118">
      <x:c r="A118" s="55" t="str">
        <x:v>Maryland</x:v>
      </x:c>
      <x:c r="B118" s="142" t="str">
        <x:v>MD</x:v>
      </x:c>
      <x:c r="C118" s="142" t="str">
        <x:v>eligible-conviction-expungement-under-crim-proc-10-110</x:v>
      </x:c>
      <x:c r="D118" s="142" t="str">
        <x:v>Eligible conviction expungement under Crim. Proc. § 10-110</x:v>
      </x:c>
      <x:c r="E118" s="142" t="str">
        <x:v>packet_ready_with_caution</x:v>
      </x:c>
      <x:c r="F118" s="142" t="str">
        <x:v>Filing path</x:v>
      </x:c>
      <x:c r="G118" s="56" t="str">
        <x:v>https://github.com/Roger-LegalEase/legalease-partner-dashboard-clean/blob/2f0ef0403f16e57544ad0bc86b2d1b1cd08861b3/src/lib/rcap-engine/compiled/profiles/MD-maryland.json</x:v>
      </x:c>
    </x:row>
    <x:row r="119">
      <x:c r="A119" s="55" t="str">
        <x:v>Maryland</x:v>
      </x:c>
      <x:c r="B119" s="142" t="str">
        <x:v>MD</x:v>
      </x:c>
      <x:c r="C119" s="142" t="str">
        <x:v>cannabis-specific-expungement</x:v>
      </x:c>
      <x:c r="D119" s="142" t="str">
        <x:v>Cannabis-specific expungement</x:v>
      </x:c>
      <x:c r="E119" s="142" t="str">
        <x:v>packet_ready_with_caution</x:v>
      </x:c>
      <x:c r="F119" s="142" t="str">
        <x:v>Filing path</x:v>
      </x:c>
      <x:c r="G119" s="56" t="str">
        <x:v>https://github.com/Roger-LegalEase/legalease-partner-dashboard-clean/blob/2f0ef0403f16e57544ad0bc86b2d1b1cd08861b3/src/lib/rcap-engine/compiled/profiles/MD-maryland.json</x:v>
      </x:c>
    </x:row>
    <x:row r="120">
      <x:c r="A120" s="55" t="str">
        <x:v>Maryland</x:v>
      </x:c>
      <x:c r="B120" s="142" t="str">
        <x:v>MD</x:v>
      </x:c>
      <x:c r="C120" s="142" t="str">
        <x:v>second-chance-act-shielding</x:v>
      </x:c>
      <x:c r="D120" s="142" t="str">
        <x:v>Second Chance Act shielding</x:v>
      </x:c>
      <x:c r="E120" s="142" t="str">
        <x:v>packet_ready_with_caution</x:v>
      </x:c>
      <x:c r="F120" s="142" t="str">
        <x:v>Filing path</x:v>
      </x:c>
      <x:c r="G120" s="56" t="str">
        <x:v>https://github.com/Roger-LegalEase/legalease-partner-dashboard-clean/blob/2f0ef0403f16e57544ad0bc86b2d1b1cd08861b3/src/lib/rcap-engine/compiled/profiles/MD-maryland.json</x:v>
      </x:c>
    </x:row>
    <x:row r="121">
      <x:c r="A121" s="55" t="str">
        <x:v>Maryland</x:v>
      </x:c>
      <x:c r="B121" s="142" t="str">
        <x:v>MD</x:v>
      </x:c>
      <x:c r="C121" s="142" t="str">
        <x:v>juvenile-expungement</x:v>
      </x:c>
      <x:c r="D121" s="142" t="str">
        <x:v>Juvenile expungement</x:v>
      </x:c>
      <x:c r="E121" s="142" t="str">
        <x:v>packet_ready_with_caution</x:v>
      </x:c>
      <x:c r="F121" s="142" t="str">
        <x:v>Filing path</x:v>
      </x:c>
      <x:c r="G121" s="56" t="str">
        <x:v>https://github.com/Roger-LegalEase/legalease-partner-dashboard-clean/blob/2f0ef0403f16e57544ad0bc86b2d1b1cd08861b3/src/lib/rcap-engine/compiled/profiles/MD-maryland.json</x:v>
      </x:c>
    </x:row>
    <x:row r="122">
      <x:c r="A122" s="55" t="str">
        <x:v>Maine</x:v>
      </x:c>
      <x:c r="B122" s="142" t="str">
        <x:v>ME</x:v>
      </x:c>
      <x:c r="C122" s="142" t="str">
        <x:v>adult-conviction-sealing</x:v>
      </x:c>
      <x:c r="D122" s="142" t="str">
        <x:v>Adult conviction sealing</x:v>
      </x:c>
      <x:c r="E122" s="142" t="str">
        <x:v>packet_ready_with_caution</x:v>
      </x:c>
      <x:c r="F122" s="142" t="str">
        <x:v>Filing path</x:v>
      </x:c>
      <x:c r="G122" s="56" t="str">
        <x:v>https://github.com/Roger-LegalEase/legalease-partner-dashboard-clean/blob/2f0ef0403f16e57544ad0bc86b2d1b1cd08861b3/src/lib/rcap-engine/compiled/profiles/ME-maine.json</x:v>
      </x:c>
    </x:row>
    <x:row r="123">
      <x:c r="A123" s="55" t="str">
        <x:v>Maine</x:v>
      </x:c>
      <x:c r="B123" s="142" t="str">
        <x:v>ME</x:v>
      </x:c>
      <x:c r="C123" s="142" t="str">
        <x:v>sex-trafficking-sexual-exploitation-survivor-sealing</x:v>
      </x:c>
      <x:c r="D123" s="142" t="str">
        <x:v>Sex-trafficking / sexual-exploitation-survivor sealing</x:v>
      </x:c>
      <x:c r="E123" s="142" t="str">
        <x:v>packet_ready_with_caution</x:v>
      </x:c>
      <x:c r="F123" s="142" t="str">
        <x:v>Filing path</x:v>
      </x:c>
      <x:c r="G123" s="56" t="str">
        <x:v>https://github.com/Roger-LegalEase/legalease-partner-dashboard-clean/blob/2f0ef0403f16e57544ad0bc86b2d1b1cd08861b3/src/lib/rcap-engine/compiled/profiles/ME-maine.json</x:v>
      </x:c>
    </x:row>
    <x:row r="124">
      <x:c r="A124" s="55" t="str">
        <x:v>Maine</x:v>
      </x:c>
      <x:c r="B124" s="142" t="str">
        <x:v>ME</x:v>
      </x:c>
      <x:c r="C124" s="142" t="str">
        <x:v>adult-non-conviction-record-relief</x:v>
      </x:c>
      <x:c r="D124" s="142" t="str">
        <x:v>Adult non-conviction record relief</x:v>
      </x:c>
      <x:c r="E124" s="142" t="str">
        <x:v>packet_ready_with_caution</x:v>
      </x:c>
      <x:c r="F124" s="142" t="str">
        <x:v>Filing path</x:v>
      </x:c>
      <x:c r="G124" s="56" t="str">
        <x:v>https://github.com/Roger-LegalEase/legalease-partner-dashboard-clean/blob/2f0ef0403f16e57544ad0bc86b2d1b1cd08861b3/src/lib/rcap-engine/compiled/profiles/ME-maine.json</x:v>
      </x:c>
    </x:row>
    <x:row r="125">
      <x:c r="A125" s="55" t="str">
        <x:v>Maine</x:v>
      </x:c>
      <x:c r="B125" s="142" t="str">
        <x:v>ME</x:v>
      </x:c>
      <x:c r="C125" s="142" t="str">
        <x:v>pardon-route</x:v>
      </x:c>
      <x:c r="D125" s="142" t="str">
        <x:v>Pardon route</x:v>
      </x:c>
      <x:c r="E125" s="142" t="str">
        <x:v>guidance_only</x:v>
      </x:c>
      <x:c r="F125" s="142" t="str">
        <x:v>Filing path</x:v>
      </x:c>
      <x:c r="G125" s="56" t="str">
        <x:v>https://github.com/Roger-LegalEase/legalease-partner-dashboard-clean/blob/2f0ef0403f16e57544ad0bc86b2d1b1cd08861b3/src/lib/rcap-engine/compiled/profiles/ME-maine.json</x:v>
      </x:c>
    </x:row>
    <x:row r="126">
      <x:c r="A126" s="55" t="str">
        <x:v>Maine</x:v>
      </x:c>
      <x:c r="B126" s="142" t="str">
        <x:v>ME</x:v>
      </x:c>
      <x:c r="C126" s="142" t="str">
        <x:v>juvenile-sealing</x:v>
      </x:c>
      <x:c r="D126" s="142" t="str">
        <x:v>Juvenile sealing</x:v>
      </x:c>
      <x:c r="E126" s="142" t="str">
        <x:v>packet_ready_with_caution</x:v>
      </x:c>
      <x:c r="F126" s="142" t="str">
        <x:v>Filing path</x:v>
      </x:c>
      <x:c r="G126" s="56" t="str">
        <x:v>https://github.com/Roger-LegalEase/legalease-partner-dashboard-clean/blob/2f0ef0403f16e57544ad0bc86b2d1b1cd08861b3/src/lib/rcap-engine/compiled/profiles/ME-maine.json</x:v>
      </x:c>
    </x:row>
    <x:row r="127">
      <x:c r="A127" s="55" t="str">
        <x:v>Michigan</x:v>
      </x:c>
      <x:c r="B127" s="142" t="str">
        <x:v>MI</x:v>
      </x:c>
      <x:c r="C127" s="142" t="str">
        <x:v>set-aside-by-application-under-mcl-780-621</x:v>
      </x:c>
      <x:c r="D127" s="142" t="str">
        <x:v>Set-aside by application under MCL 780.621</x:v>
      </x:c>
      <x:c r="E127" s="142" t="str">
        <x:v>packet_ready_with_caution</x:v>
      </x:c>
      <x:c r="F127" s="142" t="str">
        <x:v>Filing path</x:v>
      </x:c>
      <x:c r="G127" s="56" t="str">
        <x:v>https://github.com/Roger-LegalEase/legalease-partner-dashboard-clean/blob/2f0ef0403f16e57544ad0bc86b2d1b1cd08861b3/src/lib/rcap-engine/compiled/profiles/MI-michigan.json</x:v>
      </x:c>
    </x:row>
    <x:row r="128">
      <x:c r="A128" s="55" t="str">
        <x:v>Michigan</x:v>
      </x:c>
      <x:c r="B128" s="142" t="str">
        <x:v>MI</x:v>
      </x:c>
      <x:c r="C128" s="142" t="str">
        <x:v>automatic-clean-slate-set-aside-under-mcl-780-621g</x:v>
      </x:c>
      <x:c r="D128" s="142" t="str">
        <x:v>Automatic Clean Slate set-aside under MCL 780.621g</x:v>
      </x:c>
      <x:c r="E128" s="142" t="str">
        <x:v>guidance_only</x:v>
      </x:c>
      <x:c r="F128" s="142" t="str">
        <x:v>No filing / verification</x:v>
      </x:c>
      <x:c r="G128" s="56" t="str">
        <x:v>https://github.com/Roger-LegalEase/legalease-partner-dashboard-clean/blob/2f0ef0403f16e57544ad0bc86b2d1b1cd08861b3/src/lib/rcap-engine/compiled/profiles/MI-michigan.json</x:v>
      </x:c>
    </x:row>
    <x:row r="129">
      <x:c r="A129" s="55" t="str">
        <x:v>Michigan</x:v>
      </x:c>
      <x:c r="B129" s="142" t="str">
        <x:v>MI</x:v>
      </x:c>
      <x:c r="C129" s="142" t="str">
        <x:v>misdemeanor-marijuana-set-aside-under-mcl-780-621e</x:v>
      </x:c>
      <x:c r="D129" s="142" t="str">
        <x:v>Misdemeanor marijuana set-aside under MCL 780.621e</x:v>
      </x:c>
      <x:c r="E129" s="142" t="str">
        <x:v>packet_ready_with_caution</x:v>
      </x:c>
      <x:c r="F129" s="142" t="str">
        <x:v>Filing path</x:v>
      </x:c>
      <x:c r="G129" s="56" t="str">
        <x:v>https://github.com/Roger-LegalEase/legalease-partner-dashboard-clean/blob/2f0ef0403f16e57544ad0bc86b2d1b1cd08861b3/src/lib/rcap-engine/compiled/profiles/MI-michigan.json</x:v>
      </x:c>
    </x:row>
    <x:row r="130">
      <x:c r="A130" s="55" t="str">
        <x:v>Michigan</x:v>
      </x:c>
      <x:c r="B130" s="142" t="str">
        <x:v>MI</x:v>
      </x:c>
      <x:c r="C130" s="142" t="str">
        <x:v>first-offense-owi-set-aside-by-application</x:v>
      </x:c>
      <x:c r="D130" s="142" t="str">
        <x:v>First-offense OWI set-aside by application</x:v>
      </x:c>
      <x:c r="E130" s="142" t="str">
        <x:v>packet_ready_with_caution</x:v>
      </x:c>
      <x:c r="F130" s="142" t="str">
        <x:v>Filing path</x:v>
      </x:c>
      <x:c r="G130" s="56" t="str">
        <x:v>https://github.com/Roger-LegalEase/legalease-partner-dashboard-clean/blob/2f0ef0403f16e57544ad0bc86b2d1b1cd08861b3/src/lib/rcap-engine/compiled/profiles/MI-michigan.json</x:v>
      </x:c>
    </x:row>
    <x:row r="131">
      <x:c r="A131" s="55" t="str">
        <x:v>Michigan</x:v>
      </x:c>
      <x:c r="B131" s="142" t="str">
        <x:v>MI</x:v>
      </x:c>
      <x:c r="C131" s="142" t="str">
        <x:v>human-trafficking-related-set-aside-application</x:v>
      </x:c>
      <x:c r="D131" s="142" t="str">
        <x:v>Human-trafficking-related set-aside application</x:v>
      </x:c>
      <x:c r="E131" s="142" t="str">
        <x:v>packet_ready_with_caution</x:v>
      </x:c>
      <x:c r="F131" s="142" t="str">
        <x:v>Filing path</x:v>
      </x:c>
      <x:c r="G131" s="56" t="str">
        <x:v>https://github.com/Roger-LegalEase/legalease-partner-dashboard-clean/blob/2f0ef0403f16e57544ad0bc86b2d1b1cd08861b3/src/lib/rcap-engine/compiled/profiles/MI-michigan.json</x:v>
      </x:c>
    </x:row>
    <x:row r="132">
      <x:c r="A132" s="55" t="str">
        <x:v>Minnesota</x:v>
      </x:c>
      <x:c r="B132" s="142" t="str">
        <x:v>MN</x:v>
      </x:c>
      <x:c r="C132" s="142" t="str">
        <x:v>arrest-identification-data-destruction-when-no-charges-were-filed-minn-stat-299c-11</x:v>
      </x:c>
      <x:c r="D132" s="142" t="str">
        <x:v>Arrest-identification-data destruction when no charges were filed (Minn. Stat. § 299C.11)</x:v>
      </x:c>
      <x:c r="E132" s="142" t="str">
        <x:v>packet_ready_with_caution</x:v>
      </x:c>
      <x:c r="F132" s="142" t="str">
        <x:v>Filing path</x:v>
      </x:c>
      <x:c r="G132" s="56" t="str">
        <x:v>https://github.com/Roger-LegalEase/legalease-partner-dashboard-clean/blob/2f0ef0403f16e57544ad0bc86b2d1b1cd08861b3/src/lib/rcap-engine/compiled/profiles/MN-minnesota.json</x:v>
      </x:c>
    </x:row>
    <x:row r="133">
      <x:c r="A133" s="55" t="str">
        <x:v>Minnesota</x:v>
      </x:c>
      <x:c r="B133" s="142" t="str">
        <x:v>MN</x:v>
      </x:c>
      <x:c r="C133" s="142" t="str">
        <x:v>automatic-mistaken-identity-expungement-under-609a-017</x:v>
      </x:c>
      <x:c r="D133" s="142" t="str">
        <x:v>Automatic mistaken-identity expungement under § 609A.017</x:v>
      </x:c>
      <x:c r="E133" s="142" t="str">
        <x:v>guidance_only</x:v>
      </x:c>
      <x:c r="F133" s="142" t="str">
        <x:v>No filing / verification</x:v>
      </x:c>
      <x:c r="G133" s="56" t="str">
        <x:v>https://github.com/Roger-LegalEase/legalease-partner-dashboard-clean/blob/2f0ef0403f16e57544ad0bc86b2d1b1cd08861b3/src/lib/rcap-engine/compiled/profiles/MN-minnesota.json</x:v>
      </x:c>
    </x:row>
    <x:row r="134">
      <x:c r="A134" s="55" t="str">
        <x:v>Minnesota</x:v>
      </x:c>
      <x:c r="B134" s="142" t="str">
        <x:v>MN</x:v>
      </x:c>
      <x:c r="C134" s="142" t="str">
        <x:v>automatic-clean-slate-expungement-under-609a-015</x:v>
      </x:c>
      <x:c r="D134" s="142" t="str">
        <x:v>Automatic Clean Slate expungement under § 609A.015</x:v>
      </x:c>
      <x:c r="E134" s="142" t="str">
        <x:v>guidance_only</x:v>
      </x:c>
      <x:c r="F134" s="142" t="str">
        <x:v>No filing / verification</x:v>
      </x:c>
      <x:c r="G134" s="56" t="str">
        <x:v>https://github.com/Roger-LegalEase/legalease-partner-dashboard-clean/blob/2f0ef0403f16e57544ad0bc86b2d1b1cd08861b3/src/lib/rcap-engine/compiled/profiles/MN-minnesota.json</x:v>
      </x:c>
    </x:row>
    <x:row r="135">
      <x:c r="A135" s="55" t="str">
        <x:v>Minnesota</x:v>
      </x:c>
      <x:c r="B135" s="142" t="str">
        <x:v>MN</x:v>
      </x:c>
      <x:c r="C135" s="142" t="str">
        <x:v>cannabis-automatic-or-board-reviewed-expungement-under-609a-055-06</x:v>
      </x:c>
      <x:c r="D135" s="142" t="str">
        <x:v>Cannabis automatic or board-reviewed expungement under §§ 609A.055–.06</x:v>
      </x:c>
      <x:c r="E135" s="142" t="str">
        <x:v>packet_ready_with_caution</x:v>
      </x:c>
      <x:c r="F135" s="142" t="str">
        <x:v>Filing path</x:v>
      </x:c>
      <x:c r="G135" s="56" t="str">
        <x:v>https://github.com/Roger-LegalEase/legalease-partner-dashboard-clean/blob/2f0ef0403f16e57544ad0bc86b2d1b1cd08861b3/src/lib/rcap-engine/compiled/profiles/MN-minnesota.json</x:v>
      </x:c>
    </x:row>
    <x:row r="136">
      <x:c r="A136" s="55" t="str">
        <x:v>Minnesota</x:v>
      </x:c>
      <x:c r="B136" s="142" t="str">
        <x:v>MN</x:v>
      </x:c>
      <x:c r="C136" s="142" t="str">
        <x:v>prosecutor-agreed-sealing-without-a-full-petition-under-609a-025</x:v>
      </x:c>
      <x:c r="D136" s="142" t="str">
        <x:v>Prosecutor-agreed sealing without a full petition under § 609A.025</x:v>
      </x:c>
      <x:c r="E136" s="142" t="str">
        <x:v>packet_ready_with_caution</x:v>
      </x:c>
      <x:c r="F136" s="142" t="str">
        <x:v>Filing path</x:v>
      </x:c>
      <x:c r="G136" s="56" t="str">
        <x:v>https://github.com/Roger-LegalEase/legalease-partner-dashboard-clean/blob/2f0ef0403f16e57544ad0bc86b2d1b1cd08861b3/src/lib/rcap-engine/compiled/profiles/MN-minnesota.json</x:v>
      </x:c>
    </x:row>
    <x:row r="137">
      <x:c r="A137" s="55" t="str">
        <x:v>Minnesota</x:v>
      </x:c>
      <x:c r="B137" s="142" t="str">
        <x:v>MN</x:v>
      </x:c>
      <x:c r="C137" s="142" t="str">
        <x:v>petition-based-expungement-under-609a-02-03</x:v>
      </x:c>
      <x:c r="D137" s="142" t="str">
        <x:v>Petition-based expungement under §§ 609A.02–.03</x:v>
      </x:c>
      <x:c r="E137" s="142" t="str">
        <x:v>packet_ready_with_caution</x:v>
      </x:c>
      <x:c r="F137" s="142" t="str">
        <x:v>Filing path</x:v>
      </x:c>
      <x:c r="G137" s="56" t="str">
        <x:v>https://github.com/Roger-LegalEase/legalease-partner-dashboard-clean/blob/2f0ef0403f16e57544ad0bc86b2d1b1cd08861b3/src/lib/rcap-engine/compiled/profiles/MN-minnesota.json</x:v>
      </x:c>
    </x:row>
    <x:row r="138">
      <x:c r="A138" s="55" t="str">
        <x:v>Missouri</x:v>
      </x:c>
      <x:c r="B138" s="142" t="str">
        <x:v>MO</x:v>
      </x:c>
      <x:c r="C138" s="142" t="str">
        <x:v>general-arrest-charge-plea-trial-or-conviction-expungement-under-rsmo-610-140</x:v>
      </x:c>
      <x:c r="D138" s="142" t="str">
        <x:v>General arrest, charge, plea, trial, or conviction expungement under RSMo § 610.140</x:v>
      </x:c>
      <x:c r="E138" s="142" t="str">
        <x:v>packet_ready_with_caution</x:v>
      </x:c>
      <x:c r="F138" s="142" t="str">
        <x:v>Filing path</x:v>
      </x:c>
      <x:c r="G138" s="56" t="str">
        <x:v>https://github.com/Roger-LegalEase/legalease-partner-dashboard-clean/blob/2f0ef0403f16e57544ad0bc86b2d1b1cd08861b3/src/lib/rcap-engine/compiled/profiles/MO-missouri.json</x:v>
      </x:c>
    </x:row>
    <x:row r="139">
      <x:c r="A139" s="55" t="str">
        <x:v>Missouri</x:v>
      </x:c>
      <x:c r="B139" s="142" t="str">
        <x:v>MO</x:v>
      </x:c>
      <x:c r="C139" s="142" t="str">
        <x:v>closed-record-outcome-under-rsmo-610-105</x:v>
      </x:c>
      <x:c r="D139" s="142" t="str">
        <x:v>Closed-record outcome under RSMo § 610.105</x:v>
      </x:c>
      <x:c r="E139" s="142" t="str">
        <x:v>packet_ready_with_caution</x:v>
      </x:c>
      <x:c r="F139" s="142" t="str">
        <x:v>Filing path</x:v>
      </x:c>
      <x:c r="G139" s="56" t="str">
        <x:v>https://github.com/Roger-LegalEase/legalease-partner-dashboard-clean/blob/2f0ef0403f16e57544ad0bc86b2d1b1cd08861b3/src/lib/rcap-engine/compiled/profiles/MO-missouri.json</x:v>
      </x:c>
    </x:row>
    <x:row r="140">
      <x:c r="A140" s="55" t="str">
        <x:v>Missouri</x:v>
      </x:c>
      <x:c r="B140" s="142" t="str">
        <x:v>MO</x:v>
      </x:c>
      <x:c r="C140" s="142" t="str">
        <x:v>false-information-or-qualifying-arrest-record-expungement-under-610-122-123</x:v>
      </x:c>
      <x:c r="D140" s="142" t="str">
        <x:v>False-information or qualifying arrest-record expungement under §§ 610.122–.123</x:v>
      </x:c>
      <x:c r="E140" s="142" t="str">
        <x:v>packet_ready_with_caution</x:v>
      </x:c>
      <x:c r="F140" s="142" t="str">
        <x:v>Filing path</x:v>
      </x:c>
      <x:c r="G140" s="56" t="str">
        <x:v>https://github.com/Roger-LegalEase/legalease-partner-dashboard-clean/blob/2f0ef0403f16e57544ad0bc86b2d1b1cd08861b3/src/lib/rcap-engine/compiled/profiles/MO-missouri.json</x:v>
      </x:c>
    </x:row>
    <x:row r="141">
      <x:c r="A141" s="55" t="str">
        <x:v>Missouri</x:v>
      </x:c>
      <x:c r="B141" s="142" t="str">
        <x:v>MO</x:v>
      </x:c>
      <x:c r="C141" s="142" t="str">
        <x:v>first-intoxication-related-traffic-or-boating-expungement-under-610-130</x:v>
      </x:c>
      <x:c r="D141" s="142" t="str">
        <x:v>First intoxication-related traffic or boating expungement under § 610.130</x:v>
      </x:c>
      <x:c r="E141" s="142" t="str">
        <x:v>packet_ready_with_caution</x:v>
      </x:c>
      <x:c r="F141" s="142" t="str">
        <x:v>Filing path</x:v>
      </x:c>
      <x:c r="G141" s="56" t="str">
        <x:v>https://github.com/Roger-LegalEase/legalease-partner-dashboard-clean/blob/2f0ef0403f16e57544ad0bc86b2d1b1cd08861b3/src/lib/rcap-engine/compiled/profiles/MO-missouri.json</x:v>
      </x:c>
    </x:row>
    <x:row r="142">
      <x:c r="A142" s="55" t="str">
        <x:v>Missouri</x:v>
      </x:c>
      <x:c r="B142" s="142" t="str">
        <x:v>MO</x:v>
      </x:c>
      <x:c r="C142" s="142" t="str">
        <x:v>marijuana-expungement-under-missouri-constitution-article-xiv</x:v>
      </x:c>
      <x:c r="D142" s="142" t="str">
        <x:v>Marijuana expungement under Missouri Constitution article XIV</x:v>
      </x:c>
      <x:c r="E142" s="142" t="str">
        <x:v>packet_ready_with_caution</x:v>
      </x:c>
      <x:c r="F142" s="142" t="str">
        <x:v>Filing path</x:v>
      </x:c>
      <x:c r="G142" s="56" t="str">
        <x:v>https://github.com/Roger-LegalEase/legalease-partner-dashboard-clean/blob/2f0ef0403f16e57544ad0bc86b2d1b1cd08861b3/src/lib/rcap-engine/compiled/profiles/MO-missouri.json</x:v>
      </x:c>
    </x:row>
    <x:row r="143">
      <x:c r="A143" s="55" t="str">
        <x:v>Missouri</x:v>
      </x:c>
      <x:c r="B143" s="142" t="str">
        <x:v>MO</x:v>
      </x:c>
      <x:c r="C143" s="142" t="str">
        <x:v>stolen-or-mistaken-identity-expungement-under-610-145</x:v>
      </x:c>
      <x:c r="D143" s="142" t="str">
        <x:v>Stolen- or mistaken-identity expungement under § 610.145</x:v>
      </x:c>
      <x:c r="E143" s="142" t="str">
        <x:v>packet_ready_with_caution</x:v>
      </x:c>
      <x:c r="F143" s="142" t="str">
        <x:v>Filing path</x:v>
      </x:c>
      <x:c r="G143" s="56" t="str">
        <x:v>https://github.com/Roger-LegalEase/legalease-partner-dashboard-clean/blob/2f0ef0403f16e57544ad0bc86b2d1b1cd08861b3/src/lib/rcap-engine/compiled/profiles/MO-missouri.json</x:v>
      </x:c>
    </x:row>
    <x:row r="144">
      <x:c r="A144" s="55" t="str">
        <x:v>Missouri</x:v>
      </x:c>
      <x:c r="B144" s="142" t="str">
        <x:v>MO</x:v>
      </x:c>
      <x:c r="C144" s="142" t="str">
        <x:v>first-minor-in-possession-alcohol-expungement-under-311-326</x:v>
      </x:c>
      <x:c r="D144" s="142" t="str">
        <x:v>First minor-in-possession alcohol expungement under § 311.326</x:v>
      </x:c>
      <x:c r="E144" s="142" t="str">
        <x:v>packet_ready_with_caution</x:v>
      </x:c>
      <x:c r="F144" s="142" t="str">
        <x:v>Filing path</x:v>
      </x:c>
      <x:c r="G144" s="56" t="str">
        <x:v>https://github.com/Roger-LegalEase/legalease-partner-dashboard-clean/blob/2f0ef0403f16e57544ad0bc86b2d1b1cd08861b3/src/lib/rcap-engine/compiled/profiles/MO-missouri.json</x:v>
      </x:c>
    </x:row>
    <x:row r="145">
      <x:c r="A145" s="55" t="str">
        <x:v>Mississippi</x:v>
      </x:c>
      <x:c r="B145" s="142" t="str">
        <x:v>MS</x:v>
      </x:c>
      <x:c r="C145" s="142" t="str">
        <x:v>non-conviction-expungement-for-dismissal-no-disposition-or-acquittal</x:v>
      </x:c>
      <x:c r="D145" s="142" t="str">
        <x:v>Non-conviction expungement for dismissal, no disposition, or acquittal</x:v>
      </x:c>
      <x:c r="E145" s="142" t="str">
        <x:v>packet_ready_with_caution</x:v>
      </x:c>
      <x:c r="F145" s="142" t="str">
        <x:v>Filing path</x:v>
      </x:c>
      <x:c r="G145" s="56" t="str">
        <x:v>https://github.com/Roger-LegalEase/legalease-partner-dashboard-clean/blob/2f0ef0403f16e57544ad0bc86b2d1b1cd08861b3/src/lib/rcap-engine/compiled/profiles/MS-mississippi.json</x:v>
      </x:c>
    </x:row>
    <x:row r="146">
      <x:c r="A146" s="55" t="str">
        <x:v>Mississippi</x:v>
      </x:c>
      <x:c r="B146" s="142" t="str">
        <x:v>MS</x:v>
      </x:c>
      <x:c r="C146" s="142" t="str">
        <x:v>uncharged-or-unprosecuted-misdemeanor-after-12-months-99-15-59</x:v>
      </x:c>
      <x:c r="D146" s="142" t="str">
        <x:v>Uncharged or unprosecuted misdemeanor after 12 months (§ 99-15-59)</x:v>
      </x:c>
      <x:c r="E146" s="142" t="str">
        <x:v>packet_ready_with_caution</x:v>
      </x:c>
      <x:c r="F146" s="142" t="str">
        <x:v>Filing path</x:v>
      </x:c>
      <x:c r="G146" s="56" t="str">
        <x:v>https://github.com/Roger-LegalEase/legalease-partner-dashboard-clean/blob/2f0ef0403f16e57544ad0bc86b2d1b1cd08861b3/src/lib/rcap-engine/compiled/profiles/MS-mississippi.json</x:v>
      </x:c>
    </x:row>
    <x:row r="147">
      <x:c r="A147" s="55" t="str">
        <x:v>Mississippi</x:v>
      </x:c>
      <x:c r="B147" s="142" t="str">
        <x:v>MS</x:v>
      </x:c>
      <x:c r="C147" s="142" t="str">
        <x:v>first-offender-nontraffic-misdemeanor-conviction-expungement-99-19-71-1</x:v>
      </x:c>
      <x:c r="D147" s="142" t="str">
        <x:v>First-offender nontraffic misdemeanor conviction expungement (§ 99-19-71(1))</x:v>
      </x:c>
      <x:c r="E147" s="142" t="str">
        <x:v>packet_ready_with_caution</x:v>
      </x:c>
      <x:c r="F147" s="142" t="str">
        <x:v>Filing path</x:v>
      </x:c>
      <x:c r="G147" s="56" t="str">
        <x:v>https://github.com/Roger-LegalEase/legalease-partner-dashboard-clean/blob/2f0ef0403f16e57544ad0bc86b2d1b1cd08861b3/src/lib/rcap-engine/compiled/profiles/MS-mississippi.json</x:v>
      </x:c>
    </x:row>
    <x:row r="148">
      <x:c r="A148" s="55" t="str">
        <x:v>Mississippi</x:v>
      </x:c>
      <x:c r="B148" s="142" t="str">
        <x:v>MS</x:v>
      </x:c>
      <x:c r="C148" s="142" t="str">
        <x:v>additional-justice-or-municipal-court-misdemeanor-relief</x:v>
      </x:c>
      <x:c r="D148" s="142" t="str">
        <x:v>Additional justice- or municipal-court misdemeanor relief</x:v>
      </x:c>
      <x:c r="E148" s="142" t="str">
        <x:v>packet_ready_with_caution</x:v>
      </x:c>
      <x:c r="F148" s="142" t="str">
        <x:v>Filing path</x:v>
      </x:c>
      <x:c r="G148" s="56" t="str">
        <x:v>https://github.com/Roger-LegalEase/legalease-partner-dashboard-clean/blob/2f0ef0403f16e57544ad0bc86b2d1b1cd08861b3/src/lib/rcap-engine/compiled/profiles/MS-mississippi.json</x:v>
      </x:c>
    </x:row>
    <x:row r="149">
      <x:c r="A149" s="55" t="str">
        <x:v>Mississippi</x:v>
      </x:c>
      <x:c r="B149" s="142" t="str">
        <x:v>MS</x:v>
      </x:c>
      <x:c r="C149" s="142" t="str">
        <x:v>eligible-felony-conviction-expungement-99-19-71</x:v>
      </x:c>
      <x:c r="D149" s="142" t="str">
        <x:v>Eligible felony-conviction expungement (§ 99-19-71)</x:v>
      </x:c>
      <x:c r="E149" s="142" t="str">
        <x:v>packet_ready_with_caution</x:v>
      </x:c>
      <x:c r="F149" s="142" t="str">
        <x:v>Filing path</x:v>
      </x:c>
      <x:c r="G149" s="56" t="str">
        <x:v>https://github.com/Roger-LegalEase/legalease-partner-dashboard-clean/blob/2f0ef0403f16e57544ad0bc86b2d1b1cd08861b3/src/lib/rcap-engine/compiled/profiles/MS-mississippi.json</x:v>
      </x:c>
    </x:row>
    <x:row r="150">
      <x:c r="A150" s="55" t="str">
        <x:v>Mississippi</x:v>
      </x:c>
      <x:c r="B150" s="142" t="str">
        <x:v>MS</x:v>
      </x:c>
      <x:c r="C150" s="142" t="str">
        <x:v>nonadjudication-under-99-15-26</x:v>
      </x:c>
      <x:c r="D150" s="142" t="str">
        <x:v>Nonadjudication under § 99-15-26</x:v>
      </x:c>
      <x:c r="E150" s="142" t="str">
        <x:v>packet_ready_with_caution</x:v>
      </x:c>
      <x:c r="F150" s="142" t="str">
        <x:v>Filing path</x:v>
      </x:c>
      <x:c r="G150" s="56" t="str">
        <x:v>https://github.com/Roger-LegalEase/legalease-partner-dashboard-clean/blob/2f0ef0403f16e57544ad0bc86b2d1b1cd08861b3/src/lib/rcap-engine/compiled/profiles/MS-mississippi.json</x:v>
      </x:c>
    </x:row>
    <x:row r="151">
      <x:c r="A151" s="55" t="str">
        <x:v>Mississippi</x:v>
      </x:c>
      <x:c r="B151" s="142" t="str">
        <x:v>MS</x:v>
      </x:c>
      <x:c r="C151" s="142" t="str">
        <x:v>pretrial-intervention-or-diversion-expungement</x:v>
      </x:c>
      <x:c r="D151" s="142" t="str">
        <x:v>Pretrial intervention or diversion expungement</x:v>
      </x:c>
      <x:c r="E151" s="142" t="str">
        <x:v>packet_ready_with_caution</x:v>
      </x:c>
      <x:c r="F151" s="142" t="str">
        <x:v>Filing path</x:v>
      </x:c>
      <x:c r="G151" s="56" t="str">
        <x:v>https://github.com/Roger-LegalEase/legalease-partner-dashboard-clean/blob/2f0ef0403f16e57544ad0bc86b2d1b1cd08861b3/src/lib/rcap-engine/compiled/profiles/MS-mississippi.json</x:v>
      </x:c>
    </x:row>
    <x:row r="152">
      <x:c r="A152" s="55" t="str">
        <x:v>Mississippi</x:v>
      </x:c>
      <x:c r="B152" s="142" t="str">
        <x:v>MS</x:v>
      </x:c>
      <x:c r="C152" s="142" t="str">
        <x:v>first-offense-controlled-substance-conditional-discharge-relief</x:v>
      </x:c>
      <x:c r="D152" s="142" t="str">
        <x:v>First-offense controlled-substance conditional-discharge relief</x:v>
      </x:c>
      <x:c r="E152" s="142" t="str">
        <x:v>packet_ready_with_caution</x:v>
      </x:c>
      <x:c r="F152" s="142" t="str">
        <x:v>Filing path</x:v>
      </x:c>
      <x:c r="G152" s="56" t="str">
        <x:v>https://github.com/Roger-LegalEase/legalease-partner-dashboard-clean/blob/2f0ef0403f16e57544ad0bc86b2d1b1cd08861b3/src/lib/rcap-engine/compiled/profiles/MS-mississippi.json</x:v>
      </x:c>
    </x:row>
    <x:row r="153">
      <x:c r="A153" s="55" t="str">
        <x:v>Mississippi</x:v>
      </x:c>
      <x:c r="B153" s="142" t="str">
        <x:v>MS</x:v>
      </x:c>
      <x:c r="C153" s="142" t="str">
        <x:v>intervention-court-completion-expungement</x:v>
      </x:c>
      <x:c r="D153" s="142" t="str">
        <x:v>Intervention-court completion expungement</x:v>
      </x:c>
      <x:c r="E153" s="142" t="str">
        <x:v>packet_ready_with_caution</x:v>
      </x:c>
      <x:c r="F153" s="142" t="str">
        <x:v>Filing path</x:v>
      </x:c>
      <x:c r="G153" s="56" t="str">
        <x:v>https://github.com/Roger-LegalEase/legalease-partner-dashboard-clean/blob/2f0ef0403f16e57544ad0bc86b2d1b1cd08861b3/src/lib/rcap-engine/compiled/profiles/MS-mississippi.json</x:v>
      </x:c>
    </x:row>
    <x:row r="154">
      <x:c r="A154" s="55" t="str">
        <x:v>Mississippi</x:v>
      </x:c>
      <x:c r="B154" s="142" t="str">
        <x:v>MS</x:v>
      </x:c>
      <x:c r="C154" s="142" t="str">
        <x:v>first-offense-dui-expungement</x:v>
      </x:c>
      <x:c r="D154" s="142" t="str">
        <x:v>First-offense DUI expungement</x:v>
      </x:c>
      <x:c r="E154" s="142" t="str">
        <x:v>packet_ready_with_caution</x:v>
      </x:c>
      <x:c r="F154" s="142" t="str">
        <x:v>Filing path</x:v>
      </x:c>
      <x:c r="G154" s="56" t="str">
        <x:v>https://github.com/Roger-LegalEase/legalease-partner-dashboard-clean/blob/2f0ef0403f16e57544ad0bc86b2d1b1cd08861b3/src/lib/rcap-engine/compiled/profiles/MS-mississippi.json</x:v>
      </x:c>
    </x:row>
    <x:row r="155">
      <x:c r="A155" s="55" t="str">
        <x:v>Mississippi</x:v>
      </x:c>
      <x:c r="B155" s="142" t="str">
        <x:v>MS</x:v>
      </x:c>
      <x:c r="C155" s="142" t="str">
        <x:v>dui-nonadjudication</x:v>
      </x:c>
      <x:c r="D155" s="142" t="str">
        <x:v>DUI nonadjudication</x:v>
      </x:c>
      <x:c r="E155" s="142" t="str">
        <x:v>packet_ready_with_caution</x:v>
      </x:c>
      <x:c r="F155" s="142" t="str">
        <x:v>Filing path</x:v>
      </x:c>
      <x:c r="G155" s="56" t="str">
        <x:v>https://github.com/Roger-LegalEase/legalease-partner-dashboard-clean/blob/2f0ef0403f16e57544ad0bc86b2d1b1cd08861b3/src/lib/rcap-engine/compiled/profiles/MS-mississippi.json</x:v>
      </x:c>
    </x:row>
    <x:row r="156">
      <x:c r="A156" s="55" t="str">
        <x:v>Mississippi</x:v>
      </x:c>
      <x:c r="B156" s="142" t="str">
        <x:v>MS</x:v>
      </x:c>
      <x:c r="C156" s="142" t="str">
        <x:v>minor-in-possession-underage-alcohol-expungement</x:v>
      </x:c>
      <x:c r="D156" s="142" t="str">
        <x:v>Minor-in-possession / underage-alcohol expungement</x:v>
      </x:c>
      <x:c r="E156" s="142" t="str">
        <x:v>packet_ready_with_caution</x:v>
      </x:c>
      <x:c r="F156" s="142" t="str">
        <x:v>Filing path</x:v>
      </x:c>
      <x:c r="G156" s="56" t="str">
        <x:v>https://github.com/Roger-LegalEase/legalease-partner-dashboard-clean/blob/2f0ef0403f16e57544ad0bc86b2d1b1cd08861b3/src/lib/rcap-engine/compiled/profiles/MS-mississippi.json</x:v>
      </x:c>
    </x:row>
    <x:row r="157">
      <x:c r="A157" s="55" t="str">
        <x:v>Mississippi</x:v>
      </x:c>
      <x:c r="B157" s="142" t="str">
        <x:v>MS</x:v>
      </x:c>
      <x:c r="C157" s="142" t="str">
        <x:v>human-trafficking-survivor-vacatur-and-expungement</x:v>
      </x:c>
      <x:c r="D157" s="142" t="str">
        <x:v>Human-trafficking-survivor vacatur and expungement</x:v>
      </x:c>
      <x:c r="E157" s="142" t="str">
        <x:v>packet_ready_with_caution</x:v>
      </x:c>
      <x:c r="F157" s="142" t="str">
        <x:v>Filing path</x:v>
      </x:c>
      <x:c r="G157" s="56" t="str">
        <x:v>https://github.com/Roger-LegalEase/legalease-partner-dashboard-clean/blob/2f0ef0403f16e57544ad0bc86b2d1b1cd08861b3/src/lib/rcap-engine/compiled/profiles/MS-mississippi.json</x:v>
      </x:c>
    </x:row>
    <x:row r="158">
      <x:c r="A158" s="55" t="str">
        <x:v>Montana</x:v>
      </x:c>
      <x:c r="B158" s="142" t="str">
        <x:v>MT</x:v>
      </x:c>
      <x:c r="C158" s="142" t="str">
        <x:v>misdemeanor-conviction-expungement-under-mont-code-46-18-1104</x:v>
      </x:c>
      <x:c r="D158" s="142" t="str">
        <x:v>Misdemeanor-conviction expungement under Mont. Code § 46-18-1104</x:v>
      </x:c>
      <x:c r="E158" s="142" t="str">
        <x:v>packet_ready_with_caution</x:v>
      </x:c>
      <x:c r="F158" s="142" t="str">
        <x:v>Filing path</x:v>
      </x:c>
      <x:c r="G158" s="56" t="str">
        <x:v>https://github.com/Roger-LegalEase/legalease-partner-dashboard-clean/blob/2f0ef0403f16e57544ad0bc86b2d1b1cd08861b3/src/lib/rcap-engine/compiled/profiles/MT-montana.json</x:v>
      </x:c>
    </x:row>
    <x:row r="159">
      <x:c r="A159" s="55" t="str">
        <x:v>Montana</x:v>
      </x:c>
      <x:c r="B159" s="142" t="str">
        <x:v>MT</x:v>
      </x:c>
      <x:c r="C159" s="142" t="str">
        <x:v>non-conviction-criminal-history-removal-through-criss</x:v>
      </x:c>
      <x:c r="D159" s="142" t="str">
        <x:v>Non-conviction criminal-history removal through CRISS</x:v>
      </x:c>
      <x:c r="E159" s="142" t="str">
        <x:v>packet_ready_with_caution</x:v>
      </x:c>
      <x:c r="F159" s="142" t="str">
        <x:v>Filing path</x:v>
      </x:c>
      <x:c r="G159" s="56" t="str">
        <x:v>https://github.com/Roger-LegalEase/legalease-partner-dashboard-clean/blob/2f0ef0403f16e57544ad0bc86b2d1b1cd08861b3/src/lib/rcap-engine/compiled/profiles/MT-montana.json</x:v>
      </x:c>
    </x:row>
    <x:row r="160">
      <x:c r="A160" s="55" t="str">
        <x:v>Montana</x:v>
      </x:c>
      <x:c r="B160" s="142" t="str">
        <x:v>MT</x:v>
      </x:c>
      <x:c r="C160" s="142" t="str">
        <x:v>deferred-sentence-dismissal-or-confidentiality-route</x:v>
      </x:c>
      <x:c r="D160" s="142" t="str">
        <x:v>Deferred-sentence dismissal or confidentiality route</x:v>
      </x:c>
      <x:c r="E160" s="142" t="str">
        <x:v>packet_ready_with_caution</x:v>
      </x:c>
      <x:c r="F160" s="142" t="str">
        <x:v>Filing path</x:v>
      </x:c>
      <x:c r="G160" s="56" t="str">
        <x:v>https://github.com/Roger-LegalEase/legalease-partner-dashboard-clean/blob/2f0ef0403f16e57544ad0bc86b2d1b1cd08861b3/src/lib/rcap-engine/compiled/profiles/MT-montana.json</x:v>
      </x:c>
    </x:row>
    <x:row r="161">
      <x:c r="A161" s="55" t="str">
        <x:v>Montana</x:v>
      </x:c>
      <x:c r="B161" s="142" t="str">
        <x:v>MT</x:v>
      </x:c>
      <x:c r="C161" s="142" t="str">
        <x:v>marijuana-related-redesignation-expungement-under-mmrta</x:v>
      </x:c>
      <x:c r="D161" s="142" t="str">
        <x:v>Marijuana-related redesignation / expungement under MMRTA</x:v>
      </x:c>
      <x:c r="E161" s="142" t="str">
        <x:v>packet_ready_with_caution</x:v>
      </x:c>
      <x:c r="F161" s="142" t="str">
        <x:v>Filing path</x:v>
      </x:c>
      <x:c r="G161" s="56" t="str">
        <x:v>https://github.com/Roger-LegalEase/legalease-partner-dashboard-clean/blob/2f0ef0403f16e57544ad0bc86b2d1b1cd08861b3/src/lib/rcap-engine/compiled/profiles/MT-montana.json</x:v>
      </x:c>
    </x:row>
    <x:row r="162">
      <x:c r="A162" s="55" t="str">
        <x:v>Montana</x:v>
      </x:c>
      <x:c r="B162" s="142" t="str">
        <x:v>MT</x:v>
      </x:c>
      <x:c r="C162" s="142" t="str">
        <x:v>doj-record-removal-update-request</x:v>
      </x:c>
      <x:c r="D162" s="142" t="str">
        <x:v>DOJ record-removal / update request</x:v>
      </x:c>
      <x:c r="E162" s="142" t="str">
        <x:v>packet_ready_with_caution</x:v>
      </x:c>
      <x:c r="F162" s="142" t="str">
        <x:v>Filing path</x:v>
      </x:c>
      <x:c r="G162" s="56" t="str">
        <x:v>https://github.com/Roger-LegalEase/legalease-partner-dashboard-clean/blob/2f0ef0403f16e57544ad0bc86b2d1b1cd08861b3/src/lib/rcap-engine/compiled/profiles/MT-montana.json</x:v>
      </x:c>
    </x:row>
    <x:row r="163">
      <x:c r="A163" s="55" t="str">
        <x:v>North Carolina</x:v>
      </x:c>
      <x:c r="B163" s="142" t="str">
        <x:v>NC</x:v>
      </x:c>
      <x:c r="C163" s="142" t="str">
        <x:v>dismissal-and-not-guilty-expunction-under-g-s-15a-146</x:v>
      </x:c>
      <x:c r="D163" s="142" t="str">
        <x:v>Dismissal and not-guilty expunction under G.S. 15A-146</x:v>
      </x:c>
      <x:c r="E163" s="142" t="str">
        <x:v>packet_ready_with_caution</x:v>
      </x:c>
      <x:c r="F163" s="142" t="str">
        <x:v>Filing path</x:v>
      </x:c>
      <x:c r="G163" s="56" t="str">
        <x:v>https://github.com/Roger-LegalEase/legalease-partner-dashboard-clean/blob/2f0ef0403f16e57544ad0bc86b2d1b1cd08861b3/src/lib/rcap-engine/compiled/profiles/NC-north-carolina.json</x:v>
      </x:c>
    </x:row>
    <x:row r="164">
      <x:c r="A164" s="55" t="str">
        <x:v>North Carolina</x:v>
      </x:c>
      <x:c r="B164" s="142" t="str">
        <x:v>NC</x:v>
      </x:c>
      <x:c r="C164" s="142" t="str">
        <x:v>nonviolent-conviction-expunction-under-g-s-15a-145-5</x:v>
      </x:c>
      <x:c r="D164" s="142" t="str">
        <x:v>Nonviolent conviction expunction under G.S. 15A-145.5</x:v>
      </x:c>
      <x:c r="E164" s="142" t="str">
        <x:v>packet_ready_with_caution</x:v>
      </x:c>
      <x:c r="F164" s="142" t="str">
        <x:v>Filing path</x:v>
      </x:c>
      <x:c r="G164" s="56" t="str">
        <x:v>https://github.com/Roger-LegalEase/legalease-partner-dashboard-clean/blob/2f0ef0403f16e57544ad0bc86b2d1b1cd08861b3/src/lib/rcap-engine/compiled/profiles/NC-north-carolina.json</x:v>
      </x:c>
    </x:row>
    <x:row r="165">
      <x:c r="A165" s="55" t="str">
        <x:v>North Carolina</x:v>
      </x:c>
      <x:c r="B165" s="142" t="str">
        <x:v>NC</x:v>
      </x:c>
      <x:c r="C165" s="142" t="str">
        <x:v>youthful-pre-raise-the-age-expunction-under-g-s-15a-145-8a-and-related-statutes</x:v>
      </x:c>
      <x:c r="D165" s="142" t="str">
        <x:v>Youthful / pre-Raise-the-Age expunction under G.S. 15A-145.8A and related statutes</x:v>
      </x:c>
      <x:c r="E165" s="142" t="str">
        <x:v>packet_ready_with_caution</x:v>
      </x:c>
      <x:c r="F165" s="142" t="str">
        <x:v>Filing path</x:v>
      </x:c>
      <x:c r="G165" s="56" t="str">
        <x:v>https://github.com/Roger-LegalEase/legalease-partner-dashboard-clean/blob/2f0ef0403f16e57544ad0bc86b2d1b1cd08861b3/src/lib/rcap-engine/compiled/profiles/NC-north-carolina.json</x:v>
      </x:c>
    </x:row>
    <x:row r="166">
      <x:c r="A166" s="55" t="str">
        <x:v>North Dakota</x:v>
      </x:c>
      <x:c r="B166" s="142" t="str">
        <x:v>ND</x:v>
      </x:c>
      <x:c r="C166" s="142" t="str">
        <x:v>general-conviction-sealing-under-n-d-c-c-chapter-12-60-1</x:v>
      </x:c>
      <x:c r="D166" s="142" t="str">
        <x:v>General conviction sealing under N.D.C.C. chapter 12-60.1</x:v>
      </x:c>
      <x:c r="E166" s="142" t="str">
        <x:v>packet_ready_with_caution</x:v>
      </x:c>
      <x:c r="F166" s="142" t="str">
        <x:v>Filing path</x:v>
      </x:c>
      <x:c r="G166" s="56" t="str">
        <x:v>https://github.com/Roger-LegalEase/legalease-partner-dashboard-clean/blob/2f0ef0403f16e57544ad0bc86b2d1b1cd08861b3/src/lib/rcap-engine/compiled/profiles/ND-north-dakota.json</x:v>
      </x:c>
    </x:row>
    <x:row r="167">
      <x:c r="A167" s="55" t="str">
        <x:v>North Dakota</x:v>
      </x:c>
      <x:c r="B167" s="142" t="str">
        <x:v>ND</x:v>
      </x:c>
      <x:c r="C167" s="142" t="str">
        <x:v>non-conviction-court-record-closing-under-n-d-c-c-12-60-1-05</x:v>
      </x:c>
      <x:c r="D167" s="142" t="str">
        <x:v>Non-conviction court-record closing under N.D.C.C. § 12-60.1-05</x:v>
      </x:c>
      <x:c r="E167" s="142" t="str">
        <x:v>packet_ready_with_caution</x:v>
      </x:c>
      <x:c r="F167" s="142" t="str">
        <x:v>Filing path</x:v>
      </x:c>
      <x:c r="G167" s="56" t="str">
        <x:v>https://github.com/Roger-LegalEase/legalease-partner-dashboard-clean/blob/2f0ef0403f16e57544ad0bc86b2d1b1cd08861b3/src/lib/rcap-engine/compiled/profiles/ND-north-dakota.json</x:v>
      </x:c>
    </x:row>
    <x:row r="168">
      <x:c r="A168" s="55" t="str">
        <x:v>North Dakota</x:v>
      </x:c>
      <x:c r="B168" s="142" t="str">
        <x:v>ND</x:v>
      </x:c>
      <x:c r="C168" s="142" t="str">
        <x:v>dui-record-sealing-under-the-separate-dui-statute</x:v>
      </x:c>
      <x:c r="D168" s="142" t="str">
        <x:v>DUI-record sealing under the separate DUI statute</x:v>
      </x:c>
      <x:c r="E168" s="142" t="str">
        <x:v>packet_ready_with_caution</x:v>
      </x:c>
      <x:c r="F168" s="142" t="str">
        <x:v>Filing path</x:v>
      </x:c>
      <x:c r="G168" s="56" t="str">
        <x:v>https://github.com/Roger-LegalEase/legalease-partner-dashboard-clean/blob/2f0ef0403f16e57544ad0bc86b2d1b1cd08861b3/src/lib/rcap-engine/compiled/profiles/ND-north-dakota.json</x:v>
      </x:c>
    </x:row>
    <x:row r="169">
      <x:c r="A169" s="55" t="str">
        <x:v>North Dakota</x:v>
      </x:c>
      <x:c r="B169" s="142" t="str">
        <x:v>ND</x:v>
      </x:c>
      <x:c r="C169" s="142" t="str">
        <x:v>deferred-imposition-dismissal-and-sealing</x:v>
      </x:c>
      <x:c r="D169" s="142" t="str">
        <x:v>Deferred-imposition dismissal and sealing</x:v>
      </x:c>
      <x:c r="E169" s="142" t="str">
        <x:v>packet_ready_with_caution</x:v>
      </x:c>
      <x:c r="F169" s="142" t="str">
        <x:v>Filing path</x:v>
      </x:c>
      <x:c r="G169" s="56" t="str">
        <x:v>https://github.com/Roger-LegalEase/legalease-partner-dashboard-clean/blob/2f0ef0403f16e57544ad0bc86b2d1b1cd08861b3/src/lib/rcap-engine/compiled/profiles/ND-north-dakota.json</x:v>
      </x:c>
    </x:row>
    <x:row r="170">
      <x:c r="A170" s="55" t="str">
        <x:v>North Dakota</x:v>
      </x:c>
      <x:c r="B170" s="142" t="str">
        <x:v>ND</x:v>
      </x:c>
      <x:c r="C170" s="142" t="str">
        <x:v>first-offense-possession-sealing</x:v>
      </x:c>
      <x:c r="D170" s="142" t="str">
        <x:v>First-offense possession sealing</x:v>
      </x:c>
      <x:c r="E170" s="142" t="str">
        <x:v>packet_ready_with_caution</x:v>
      </x:c>
      <x:c r="F170" s="142" t="str">
        <x:v>Filing path</x:v>
      </x:c>
      <x:c r="G170" s="56" t="str">
        <x:v>https://github.com/Roger-LegalEase/legalease-partner-dashboard-clean/blob/2f0ef0403f16e57544ad0bc86b2d1b1cd08861b3/src/lib/rcap-engine/compiled/profiles/ND-north-dakota.json</x:v>
      </x:c>
    </x:row>
    <x:row r="171">
      <x:c r="A171" s="55" t="str">
        <x:v>North Dakota</x:v>
      </x:c>
      <x:c r="B171" s="142" t="str">
        <x:v>ND</x:v>
      </x:c>
      <x:c r="C171" s="142" t="str">
        <x:v>marijuana-specific-summary-pardon-or-sealing-relief</x:v>
      </x:c>
      <x:c r="D171" s="142" t="str">
        <x:v>Marijuana-specific summary-pardon or sealing relief</x:v>
      </x:c>
      <x:c r="E171" s="142" t="str">
        <x:v>packet_ready_with_caution</x:v>
      </x:c>
      <x:c r="F171" s="142" t="str">
        <x:v>Filing path</x:v>
      </x:c>
      <x:c r="G171" s="56" t="str">
        <x:v>https://github.com/Roger-LegalEase/legalease-partner-dashboard-clean/blob/2f0ef0403f16e57544ad0bc86b2d1b1cd08861b3/src/lib/rcap-engine/compiled/profiles/ND-north-dakota.json</x:v>
      </x:c>
    </x:row>
    <x:row r="172">
      <x:c r="A172" s="55" t="str">
        <x:v>Nebraska</x:v>
      </x:c>
      <x:c r="B172" s="142" t="str">
        <x:v>NE</x:v>
      </x:c>
      <x:c r="C172" s="142" t="str">
        <x:v>automatic-nonconviction-sealing</x:v>
      </x:c>
      <x:c r="D172" s="142" t="str">
        <x:v>Automatic/time-based sealing of non-conviction records under § 29-3523</x:v>
      </x:c>
      <x:c r="E172" s="142" t="str">
        <x:v>guidance_only</x:v>
      </x:c>
      <x:c r="F172" s="142" t="str">
        <x:v>No filing / verification</x:v>
      </x:c>
      <x:c r="G172" s="56" t="str">
        <x:v>https://github.com/Roger-LegalEase/legalease-partner-dashboard-clean/blob/2f0ef0403f16e57544ad0bc86b2d1b1cd08861b3/src/lib/rcap-engine/compiled/profiles/NE-nebraska.json</x:v>
      </x:c>
    </x:row>
    <x:row r="173">
      <x:c r="A173" s="55" t="str">
        <x:v>Nebraska</x:v>
      </x:c>
      <x:c r="B173" s="142" t="str">
        <x:v>NE</x:v>
      </x:c>
      <x:c r="C173" s="142" t="str">
        <x:v>set-aside-probation-fine-community-service</x:v>
      </x:c>
      <x:c r="D173" s="142" t="str">
        <x:v>Conviction set-aside after probation, fine-only sentence, or community service under § 29-2264(2)</x:v>
      </x:c>
      <x:c r="E173" s="142" t="str">
        <x:v>packet_ready_with_caution</x:v>
      </x:c>
      <x:c r="F173" s="142" t="str">
        <x:v>Filing path</x:v>
      </x:c>
      <x:c r="G173" s="56" t="str">
        <x:v>https://github.com/Roger-LegalEase/legalease-partner-dashboard-clean/blob/2f0ef0403f16e57544ad0bc86b2d1b1cd08861b3/src/lib/rcap-engine/compiled/profiles/NE-nebraska.json</x:v>
      </x:c>
    </x:row>
    <x:row r="174">
      <x:c r="A174" s="55" t="str">
        <x:v>Nebraska</x:v>
      </x:c>
      <x:c r="B174" s="142" t="str">
        <x:v>NE</x:v>
      </x:c>
      <x:c r="C174" s="142" t="str">
        <x:v>set-aside-incarceration-one-year-or-less</x:v>
      </x:c>
      <x:c r="D174" s="142" t="str">
        <x:v>Conviction set-aside after incarceration of one year or less under § 29-2264(3)</x:v>
      </x:c>
      <x:c r="E174" s="142" t="str">
        <x:v>packet_ready_with_caution</x:v>
      </x:c>
      <x:c r="F174" s="142" t="str">
        <x:v>Filing path</x:v>
      </x:c>
      <x:c r="G174" s="56" t="str">
        <x:v>https://github.com/Roger-LegalEase/legalease-partner-dashboard-clean/blob/2f0ef0403f16e57544ad0bc86b2d1b1cd08861b3/src/lib/rcap-engine/compiled/profiles/NE-nebraska.json</x:v>
      </x:c>
    </x:row>
    <x:row r="175">
      <x:c r="A175" s="55" t="str">
        <x:v>Nebraska</x:v>
      </x:c>
      <x:c r="B175" s="142" t="str">
        <x:v>NE</x:v>
      </x:c>
      <x:c r="C175" s="142" t="str">
        <x:v>trafficking-survivor-set-aside-and-seal</x:v>
      </x:c>
      <x:c r="D175" s="142" t="str">
        <x:v>Trafficking-survivor set-aside and sealing under § 29-3005</x:v>
      </x:c>
      <x:c r="E175" s="142" t="str">
        <x:v>packet_ready_with_caution</x:v>
      </x:c>
      <x:c r="F175" s="142" t="str">
        <x:v>Filing path</x:v>
      </x:c>
      <x:c r="G175" s="56" t="str">
        <x:v>https://github.com/Roger-LegalEase/legalease-partner-dashboard-clean/blob/2f0ef0403f16e57544ad0bc86b2d1b1cd08861b3/src/lib/rcap-engine/compiled/profiles/NE-nebraska.json</x:v>
      </x:c>
    </x:row>
    <x:row r="176">
      <x:c r="A176" s="55" t="str">
        <x:v>Nebraska</x:v>
      </x:c>
      <x:c r="B176" s="142" t="str">
        <x:v>NE</x:v>
      </x:c>
      <x:c r="C176" s="142" t="str">
        <x:v>pardon-then-seal</x:v>
      </x:c>
      <x:c r="D176" s="142" t="str">
        <x:v>Pardon followed by motion to seal under § 29-3523(5)</x:v>
      </x:c>
      <x:c r="E176" s="142" t="str">
        <x:v>packet_ready_with_caution</x:v>
      </x:c>
      <x:c r="F176" s="142" t="str">
        <x:v>Filing path</x:v>
      </x:c>
      <x:c r="G176" s="56" t="str">
        <x:v>https://github.com/Roger-LegalEase/legalease-partner-dashboard-clean/blob/2f0ef0403f16e57544ad0bc86b2d1b1cd08861b3/src/lib/rcap-engine/compiled/profiles/NE-nebraska.json</x:v>
      </x:c>
    </x:row>
    <x:row r="177">
      <x:c r="A177" s="55" t="str">
        <x:v>Nebraska</x:v>
      </x:c>
      <x:c r="B177" s="142" t="str">
        <x:v>NE</x:v>
      </x:c>
      <x:c r="C177" s="142" t="str">
        <x:v>law-enforcement-error-expungement</x:v>
      </x:c>
      <x:c r="D177" s="142" t="str">
        <x:v>True expungement for arrest caused by law-enforcement error under § 29-3523(6)</x:v>
      </x:c>
      <x:c r="E177" s="142" t="str">
        <x:v>packet_ready_with_caution</x:v>
      </x:c>
      <x:c r="F177" s="142" t="str">
        <x:v>Filing path</x:v>
      </x:c>
      <x:c r="G177" s="56" t="str">
        <x:v>https://github.com/Roger-LegalEase/legalease-partner-dashboard-clean/blob/2f0ef0403f16e57544ad0bc86b2d1b1cd08861b3/src/lib/rcap-engine/compiled/profiles/NE-nebraska.json</x:v>
      </x:c>
    </x:row>
    <x:row r="178">
      <x:c r="A178" s="55" t="str">
        <x:v>Nebraska</x:v>
      </x:c>
      <x:c r="B178" s="142" t="str">
        <x:v>NE</x:v>
      </x:c>
      <x:c r="C178" s="142" t="str">
        <x:v>juvenile-automatic-sealing</x:v>
      </x:c>
      <x:c r="D178" s="142" t="str">
        <x:v>Juvenile automatic sealing under §§ 43-2,108.01 to 43-2,108.05</x:v>
      </x:c>
      <x:c r="E178" s="142" t="str">
        <x:v>guidance_only</x:v>
      </x:c>
      <x:c r="F178" s="142" t="str">
        <x:v>No filing / verification</x:v>
      </x:c>
      <x:c r="G178" s="56" t="str">
        <x:v>https://github.com/Roger-LegalEase/legalease-partner-dashboard-clean/blob/2f0ef0403f16e57544ad0bc86b2d1b1cd08861b3/src/lib/rcap-engine/compiled/profiles/NE-nebraska.json</x:v>
      </x:c>
    </x:row>
    <x:row r="179">
      <x:c r="A179" s="55" t="str">
        <x:v>Nebraska</x:v>
      </x:c>
      <x:c r="B179" s="142" t="str">
        <x:v>NE</x:v>
      </x:c>
      <x:c r="C179" s="142" t="str">
        <x:v>juvenile-petition-backstop</x:v>
      </x:c>
      <x:c r="D179" s="142" t="str">
        <x:v>Juvenile petition-based sealing backstop</x:v>
      </x:c>
      <x:c r="E179" s="142" t="str">
        <x:v>packet_ready_with_caution</x:v>
      </x:c>
      <x:c r="F179" s="142" t="str">
        <x:v>Filing path</x:v>
      </x:c>
      <x:c r="G179" s="56" t="str">
        <x:v>https://github.com/Roger-LegalEase/legalease-partner-dashboard-clean/blob/2f0ef0403f16e57544ad0bc86b2d1b1cd08861b3/src/lib/rcap-engine/compiled/profiles/NE-nebraska.json</x:v>
      </x:c>
    </x:row>
    <x:row r="180">
      <x:c r="A180" s="55" t="str">
        <x:v>New Hampshire</x:v>
      </x:c>
      <x:c r="B180" s="142" t="str">
        <x:v>NH</x:v>
      </x:c>
      <x:c r="C180" s="142" t="str">
        <x:v>annulment-after-dismissal-acquittal-or-nonprosecution</x:v>
      </x:c>
      <x:c r="D180" s="142" t="str">
        <x:v>Annulment after dismissal, acquittal, or nonprosecution</x:v>
      </x:c>
      <x:c r="E180" s="142" t="str">
        <x:v>packet_ready_with_caution</x:v>
      </x:c>
      <x:c r="F180" s="142" t="str">
        <x:v>Filing path</x:v>
      </x:c>
      <x:c r="G180" s="56" t="str">
        <x:v>https://github.com/Roger-LegalEase/legalease-partner-dashboard-clean/blob/2f0ef0403f16e57544ad0bc86b2d1b1cd08861b3/src/lib/rcap-engine/compiled/profiles/NH-new-hampshire.json</x:v>
      </x:c>
    </x:row>
    <x:row r="181">
      <x:c r="A181" s="55" t="str">
        <x:v>New Hampshire</x:v>
      </x:c>
      <x:c r="B181" s="142" t="str">
        <x:v>NH</x:v>
      </x:c>
      <x:c r="C181" s="142" t="str">
        <x:v>annulment-of-a-vacated-conviction</x:v>
      </x:c>
      <x:c r="D181" s="142" t="str">
        <x:v>Annulment of a vacated conviction</x:v>
      </x:c>
      <x:c r="E181" s="142" t="str">
        <x:v>packet_ready_with_caution</x:v>
      </x:c>
      <x:c r="F181" s="142" t="str">
        <x:v>Filing path</x:v>
      </x:c>
      <x:c r="G181" s="56" t="str">
        <x:v>https://github.com/Roger-LegalEase/legalease-partner-dashboard-clean/blob/2f0ef0403f16e57544ad0bc86b2d1b1cd08861b3/src/lib/rcap-engine/compiled/profiles/NH-new-hampshire.json</x:v>
      </x:c>
    </x:row>
    <x:row r="182">
      <x:c r="A182" s="55" t="str">
        <x:v>New Hampshire</x:v>
      </x:c>
      <x:c r="B182" s="142" t="str">
        <x:v>NH</x:v>
      </x:c>
      <x:c r="C182" s="142" t="str">
        <x:v>conviction-annulment-under-rsa-651-5</x:v>
      </x:c>
      <x:c r="D182" s="142" t="str">
        <x:v>Conviction annulment under RSA 651:5</x:v>
      </x:c>
      <x:c r="E182" s="142" t="str">
        <x:v>packet_ready_with_caution</x:v>
      </x:c>
      <x:c r="F182" s="142" t="str">
        <x:v>Filing path</x:v>
      </x:c>
      <x:c r="G182" s="56" t="str">
        <x:v>https://github.com/Roger-LegalEase/legalease-partner-dashboard-clean/blob/2f0ef0403f16e57544ad0bc86b2d1b1cd08861b3/src/lib/rcap-engine/compiled/profiles/NH-new-hampshire.json</x:v>
      </x:c>
    </x:row>
    <x:row r="183">
      <x:c r="A183" s="55" t="str">
        <x:v>New Hampshire</x:v>
      </x:c>
      <x:c r="B183" s="142" t="str">
        <x:v>NH</x:v>
      </x:c>
      <x:c r="C183" s="142" t="str">
        <x:v>marijuana-possession-annulment-under-rsa-651-5-b</x:v>
      </x:c>
      <x:c r="D183" s="142" t="str">
        <x:v>Marijuana-possession annulment under RSA 651:5-b</x:v>
      </x:c>
      <x:c r="E183" s="142" t="str">
        <x:v>packet_ready_with_caution</x:v>
      </x:c>
      <x:c r="F183" s="142" t="str">
        <x:v>Filing path</x:v>
      </x:c>
      <x:c r="G183" s="56" t="str">
        <x:v>https://github.com/Roger-LegalEase/legalease-partner-dashboard-clean/blob/2f0ef0403f16e57544ad0bc86b2d1b1cd08861b3/src/lib/rcap-engine/compiled/profiles/NH-new-hampshire.json</x:v>
      </x:c>
    </x:row>
    <x:row r="184">
      <x:c r="A184" s="55" t="str">
        <x:v>New Hampshire</x:v>
      </x:c>
      <x:c r="B184" s="142" t="str">
        <x:v>NH</x:v>
      </x:c>
      <x:c r="C184" s="142" t="str">
        <x:v>dwi-dui-annulment</x:v>
      </x:c>
      <x:c r="D184" s="142" t="str">
        <x:v>DWI / DUI annulment</x:v>
      </x:c>
      <x:c r="E184" s="142" t="str">
        <x:v>packet_ready_with_caution</x:v>
      </x:c>
      <x:c r="F184" s="142" t="str">
        <x:v>Filing path</x:v>
      </x:c>
      <x:c r="G184" s="56" t="str">
        <x:v>https://github.com/Roger-LegalEase/legalease-partner-dashboard-clean/blob/2f0ef0403f16e57544ad0bc86b2d1b1cd08861b3/src/lib/rcap-engine/compiled/profiles/NH-new-hampshire.json</x:v>
      </x:c>
    </x:row>
    <x:row r="185">
      <x:c r="A185" s="55" t="str">
        <x:v>New Hampshire</x:v>
      </x:c>
      <x:c r="B185" s="142" t="str">
        <x:v>NH</x:v>
      </x:c>
      <x:c r="C185" s="142" t="str">
        <x:v>out-of-state-federal-or-military-record-guidance</x:v>
      </x:c>
      <x:c r="D185" s="142" t="str">
        <x:v>Out-of-state, federal, or military record guidance</x:v>
      </x:c>
      <x:c r="E185" s="142" t="str">
        <x:v>not_covered_yet</x:v>
      </x:c>
      <x:c r="F185" s="142" t="str">
        <x:v>No filing / verification</x:v>
      </x:c>
      <x:c r="G185" s="56" t="str">
        <x:v>https://github.com/Roger-LegalEase/legalease-partner-dashboard-clean/blob/2f0ef0403f16e57544ad0bc86b2d1b1cd08861b3/src/lib/rcap-engine/compiled/profiles/NH-new-hampshire.json</x:v>
      </x:c>
    </x:row>
    <x:row r="186">
      <x:c r="A186" s="55" t="str">
        <x:v>New Jersey</x:v>
      </x:c>
      <x:c r="B186" s="142" t="str">
        <x:v>NJ</x:v>
      </x:c>
      <x:c r="C186" s="142" t="str">
        <x:v>regular-expungement-under-n-j-s-a-2c-52-2-2c-52-3</x:v>
      </x:c>
      <x:c r="D186" s="142" t="str">
        <x:v>Regular expungement under N.J.S.A. 2C:52-2 / 2C:52-3</x:v>
      </x:c>
      <x:c r="E186" s="142" t="str">
        <x:v>packet_ready_with_caution</x:v>
      </x:c>
      <x:c r="F186" s="142" t="str">
        <x:v>Filing path</x:v>
      </x:c>
      <x:c r="G186" s="56" t="str">
        <x:v>https://github.com/Roger-LegalEase/legalease-partner-dashboard-clean/blob/2f0ef0403f16e57544ad0bc86b2d1b1cd08861b3/src/lib/rcap-engine/compiled/profiles/NJ-new-jersey.json</x:v>
      </x:c>
    </x:row>
    <x:row r="187">
      <x:c r="A187" s="55" t="str">
        <x:v>New Jersey</x:v>
      </x:c>
      <x:c r="B187" s="142" t="str">
        <x:v>NJ</x:v>
      </x:c>
      <x:c r="C187" s="142" t="str">
        <x:v>clean-slate-petition-under-n-j-s-a-2c-52-5-3</x:v>
      </x:c>
      <x:c r="D187" s="142" t="str">
        <x:v>Clean Slate petition under N.J.S.A. 2C:52-5.3</x:v>
      </x:c>
      <x:c r="E187" s="142" t="str">
        <x:v>packet_ready_with_caution</x:v>
      </x:c>
      <x:c r="F187" s="142" t="str">
        <x:v>Filing path</x:v>
      </x:c>
      <x:c r="G187" s="56" t="str">
        <x:v>https://github.com/Roger-LegalEase/legalease-partner-dashboard-clean/blob/2f0ef0403f16e57544ad0bc86b2d1b1cd08861b3/src/lib/rcap-engine/compiled/profiles/NJ-new-jersey.json</x:v>
      </x:c>
    </x:row>
    <x:row r="188">
      <x:c r="A188" s="55" t="str">
        <x:v>New Jersey</x:v>
      </x:c>
      <x:c r="B188" s="142" t="str">
        <x:v>NJ</x:v>
      </x:c>
      <x:c r="C188" s="142" t="str">
        <x:v>marijuana-hashish-expungement-under-n-j-s-a-2c-52-5-1-5-2-and-6-1</x:v>
      </x:c>
      <x:c r="D188" s="142" t="str">
        <x:v>Marijuana / hashish expungement under N.J.S.A. 2C:52-5.1, -5.2, and -6.1</x:v>
      </x:c>
      <x:c r="E188" s="142" t="str">
        <x:v>packet_ready_with_caution</x:v>
      </x:c>
      <x:c r="F188" s="142" t="str">
        <x:v>Filing path</x:v>
      </x:c>
      <x:c r="G188" s="56" t="str">
        <x:v>https://github.com/Roger-LegalEase/legalease-partner-dashboard-clean/blob/2f0ef0403f16e57544ad0bc86b2d1b1cd08861b3/src/lib/rcap-engine/compiled/profiles/NJ-new-jersey.json</x:v>
      </x:c>
    </x:row>
    <x:row r="189">
      <x:c r="A189" s="55" t="str">
        <x:v>New Jersey</x:v>
      </x:c>
      <x:c r="B189" s="142" t="str">
        <x:v>NJ</x:v>
      </x:c>
      <x:c r="C189" s="142" t="str">
        <x:v>arrest-dismissal-and-other-non-conviction-expungement-under-n-j-s-a-2c-52-6</x:v>
      </x:c>
      <x:c r="D189" s="142" t="str">
        <x:v>Arrest, dismissal, and other non-conviction expungement under N.J.S.A. 2C:52-6</x:v>
      </x:c>
      <x:c r="E189" s="142" t="str">
        <x:v>packet_ready_with_caution</x:v>
      </x:c>
      <x:c r="F189" s="142" t="str">
        <x:v>Filing path</x:v>
      </x:c>
      <x:c r="G189" s="56" t="str">
        <x:v>https://github.com/Roger-LegalEase/legalease-partner-dashboard-clean/blob/2f0ef0403f16e57544ad0bc86b2d1b1cd08861b3/src/lib/rcap-engine/compiled/profiles/NJ-new-jersey.json</x:v>
      </x:c>
    </x:row>
    <x:row r="190">
      <x:c r="A190" s="55" t="str">
        <x:v>New Mexico</x:v>
      </x:c>
      <x:c r="B190" s="142" t="str">
        <x:v>NM</x:v>
      </x:c>
      <x:c r="C190" s="142" t="str">
        <x:v>no-conviction-released-without-conviction</x:v>
      </x:c>
      <x:c r="D190" s="142" t="str">
        <x:v>No conviction / released without conviction</x:v>
      </x:c>
      <x:c r="E190" s="142" t="str">
        <x:v>packet_ready_with_caution</x:v>
      </x:c>
      <x:c r="F190" s="142" t="str">
        <x:v>Filing path</x:v>
      </x:c>
      <x:c r="G190" s="56" t="str">
        <x:v>https://github.com/Roger-LegalEase/legalease-partner-dashboard-clean/blob/2f0ef0403f16e57544ad0bc86b2d1b1cd08861b3/src/lib/rcap-engine/compiled/profiles/NM-new-mexico.json</x:v>
      </x:c>
    </x:row>
    <x:row r="191">
      <x:c r="A191" s="55" t="str">
        <x:v>New Mexico</x:v>
      </x:c>
      <x:c r="B191" s="142" t="str">
        <x:v>NM</x:v>
      </x:c>
      <x:c r="C191" s="142" t="str">
        <x:v>conviction</x:v>
      </x:c>
      <x:c r="D191" s="142" t="str">
        <x:v>Conviction</x:v>
      </x:c>
      <x:c r="E191" s="142" t="str">
        <x:v>packet_ready_with_caution</x:v>
      </x:c>
      <x:c r="F191" s="142" t="str">
        <x:v>Filing path</x:v>
      </x:c>
      <x:c r="G191" s="56" t="str">
        <x:v>https://github.com/Roger-LegalEase/legalease-partner-dashboard-clean/blob/2f0ef0403f16e57544ad0bc86b2d1b1cd08861b3/src/lib/rcap-engine/compiled/profiles/NM-new-mexico.json</x:v>
      </x:c>
    </x:row>
    <x:row r="192">
      <x:c r="A192" s="55" t="str">
        <x:v>New Mexico</x:v>
      </x:c>
      <x:c r="B192" s="142" t="str">
        <x:v>NM</x:v>
      </x:c>
      <x:c r="C192" s="142" t="str">
        <x:v>cannabis-expungement</x:v>
      </x:c>
      <x:c r="D192" s="142" t="str">
        <x:v>Cannabis expungement</x:v>
      </x:c>
      <x:c r="E192" s="142" t="str">
        <x:v>guidance_only</x:v>
      </x:c>
      <x:c r="F192" s="142" t="str">
        <x:v>No filing / verification</x:v>
      </x:c>
      <x:c r="G192" s="56" t="str">
        <x:v>https://github.com/Roger-LegalEase/legalease-partner-dashboard-clean/blob/2f0ef0403f16e57544ad0bc86b2d1b1cd08861b3/src/lib/rcap-engine/compiled/profiles/NM-new-mexico.json</x:v>
      </x:c>
    </x:row>
    <x:row r="193">
      <x:c r="A193" s="55" t="str">
        <x:v>New Mexico</x:v>
      </x:c>
      <x:c r="B193" s="142" t="str">
        <x:v>NM</x:v>
      </x:c>
      <x:c r="C193" s="142" t="str">
        <x:v>cannabis-sentence-dismissal-incarcerated-person-pathway</x:v>
      </x:c>
      <x:c r="D193" s="142" t="str">
        <x:v>Cannabis sentence dismissal / incarcerated-person pathway</x:v>
      </x:c>
      <x:c r="E193" s="142" t="str">
        <x:v>packet_ready_with_caution</x:v>
      </x:c>
      <x:c r="F193" s="142" t="str">
        <x:v>Filing path</x:v>
      </x:c>
      <x:c r="G193" s="56" t="str">
        <x:v>https://github.com/Roger-LegalEase/legalease-partner-dashboard-clean/blob/2f0ef0403f16e57544ad0bc86b2d1b1cd08861b3/src/lib/rcap-engine/compiled/profiles/NM-new-mexico.json</x:v>
      </x:c>
    </x:row>
    <x:row r="194">
      <x:c r="A194" s="55" t="str">
        <x:v>New Mexico</x:v>
      </x:c>
      <x:c r="B194" s="142" t="str">
        <x:v>NM</x:v>
      </x:c>
      <x:c r="C194" s="142" t="str">
        <x:v>dna-sample-profile-expungement</x:v>
      </x:c>
      <x:c r="D194" s="142" t="str">
        <x:v>DNA sample/profile expungement</x:v>
      </x:c>
      <x:c r="E194" s="142" t="str">
        <x:v>packet_ready_with_caution</x:v>
      </x:c>
      <x:c r="F194" s="142" t="str">
        <x:v>Filing path</x:v>
      </x:c>
      <x:c r="G194" s="56" t="str">
        <x:v>https://github.com/Roger-LegalEase/legalease-partner-dashboard-clean/blob/2f0ef0403f16e57544ad0bc86b2d1b1cd08861b3/src/lib/rcap-engine/compiled/profiles/NM-new-mexico.json</x:v>
      </x:c>
    </x:row>
    <x:row r="195">
      <x:c r="A195" s="55" t="str">
        <x:v>Nevada</x:v>
      </x:c>
      <x:c r="B195" s="142" t="str">
        <x:v>NV</x:v>
      </x:c>
      <x:c r="C195" s="142" t="str">
        <x:v>general-conviction-record-sealing-under-nrs-179-245</x:v>
      </x:c>
      <x:c r="D195" s="142" t="str">
        <x:v>General conviction-record sealing under NRS 179.245</x:v>
      </x:c>
      <x:c r="E195" s="142" t="str">
        <x:v>packet_ready_with_caution</x:v>
      </x:c>
      <x:c r="F195" s="142" t="str">
        <x:v>Filing path</x:v>
      </x:c>
      <x:c r="G195" s="56" t="str">
        <x:v>https://github.com/Roger-LegalEase/legalease-partner-dashboard-clean/blob/2f0ef0403f16e57544ad0bc86b2d1b1cd08861b3/src/lib/rcap-engine/compiled/profiles/NV-nevada.json</x:v>
      </x:c>
    </x:row>
    <x:row r="196">
      <x:c r="A196" s="55" t="str">
        <x:v>Nevada</x:v>
      </x:c>
      <x:c r="B196" s="142" t="str">
        <x:v>NV</x:v>
      </x:c>
      <x:c r="C196" s="142" t="str">
        <x:v>deferred-judgment-dismissal-and-sealing-under-nrs-176-211</x:v>
      </x:c>
      <x:c r="D196" s="142" t="str">
        <x:v>Deferred-judgment dismissal and sealing under NRS 176.211</x:v>
      </x:c>
      <x:c r="E196" s="142" t="str">
        <x:v>packet_ready_with_caution</x:v>
      </x:c>
      <x:c r="F196" s="142" t="str">
        <x:v>Filing path</x:v>
      </x:c>
      <x:c r="G196" s="56" t="str">
        <x:v>https://github.com/Roger-LegalEase/legalease-partner-dashboard-clean/blob/2f0ef0403f16e57544ad0bc86b2d1b1cd08861b3/src/lib/rcap-engine/compiled/profiles/NV-nevada.json</x:v>
      </x:c>
    </x:row>
    <x:row r="197">
      <x:c r="A197" s="55" t="str">
        <x:v>Nevada</x:v>
      </x:c>
      <x:c r="B197" s="142" t="str">
        <x:v>NV</x:v>
      </x:c>
      <x:c r="C197" s="142" t="str">
        <x:v>probation-or-specialty-court-dismissal-set-aside-sealing</x:v>
      </x:c>
      <x:c r="D197" s="142" t="str">
        <x:v>Probation or specialty-court dismissal / set-aside sealing</x:v>
      </x:c>
      <x:c r="E197" s="142" t="str">
        <x:v>packet_ready_with_caution</x:v>
      </x:c>
      <x:c r="F197" s="142" t="str">
        <x:v>Filing path</x:v>
      </x:c>
      <x:c r="G197" s="56" t="str">
        <x:v>https://github.com/Roger-LegalEase/legalease-partner-dashboard-clean/blob/2f0ef0403f16e57544ad0bc86b2d1b1cd08861b3/src/lib/rcap-engine/compiled/profiles/NV-nevada.json</x:v>
      </x:c>
    </x:row>
    <x:row r="198">
      <x:c r="A198" s="55" t="str">
        <x:v>Nevada</x:v>
      </x:c>
      <x:c r="B198" s="142" t="str">
        <x:v>NV</x:v>
      </x:c>
      <x:c r="C198" s="142" t="str">
        <x:v>reentry-program-sealing-under-nrs-179-259</x:v>
      </x:c>
      <x:c r="D198" s="142" t="str">
        <x:v>Reentry-program sealing under NRS 179.259</x:v>
      </x:c>
      <x:c r="E198" s="142" t="str">
        <x:v>packet_ready_with_caution</x:v>
      </x:c>
      <x:c r="F198" s="142" t="str">
        <x:v>Filing path</x:v>
      </x:c>
      <x:c r="G198" s="56" t="str">
        <x:v>https://github.com/Roger-LegalEase/legalease-partner-dashboard-clean/blob/2f0ef0403f16e57544ad0bc86b2d1b1cd08861b3/src/lib/rcap-engine/compiled/profiles/NV-nevada.json</x:v>
      </x:c>
    </x:row>
    <x:row r="199">
      <x:c r="A199" s="55" t="str">
        <x:v>Nevada</x:v>
      </x:c>
      <x:c r="B199" s="142" t="str">
        <x:v>NV</x:v>
      </x:c>
      <x:c r="C199" s="142" t="str">
        <x:v>trafficking-victim-vacatur-and-sealing-under-nrs-179-247</x:v>
      </x:c>
      <x:c r="D199" s="142" t="str">
        <x:v>Trafficking-victim vacatur and sealing under NRS 179.247</x:v>
      </x:c>
      <x:c r="E199" s="142" t="str">
        <x:v>packet_ready_with_caution</x:v>
      </x:c>
      <x:c r="F199" s="142" t="str">
        <x:v>Filing path</x:v>
      </x:c>
      <x:c r="G199" s="56" t="str">
        <x:v>https://github.com/Roger-LegalEase/legalease-partner-dashboard-clean/blob/2f0ef0403f16e57544ad0bc86b2d1b1cd08861b3/src/lib/rcap-engine/compiled/profiles/NV-nevada.json</x:v>
      </x:c>
    </x:row>
    <x:row r="200">
      <x:c r="A200" s="55" t="str">
        <x:v>Nevada</x:v>
      </x:c>
      <x:c r="B200" s="142" t="str">
        <x:v>NV</x:v>
      </x:c>
      <x:c r="C200" s="142" t="str">
        <x:v>controlled-substance-possession-sealing-under-nrs-453-3365</x:v>
      </x:c>
      <x:c r="D200" s="142" t="str">
        <x:v>Controlled-substance possession sealing under NRS 453.3365</x:v>
      </x:c>
      <x:c r="E200" s="142" t="str">
        <x:v>packet_ready_with_caution</x:v>
      </x:c>
      <x:c r="F200" s="142" t="str">
        <x:v>Filing path</x:v>
      </x:c>
      <x:c r="G200" s="56" t="str">
        <x:v>https://github.com/Roger-LegalEase/legalease-partner-dashboard-clean/blob/2f0ef0403f16e57544ad0bc86b2d1b1cd08861b3/src/lib/rcap-engine/compiled/profiles/NV-nevada.json</x:v>
      </x:c>
    </x:row>
    <x:row r="201">
      <x:c r="A201" s="55" t="str">
        <x:v>Nevada</x:v>
      </x:c>
      <x:c r="B201" s="142" t="str">
        <x:v>NV</x:v>
      </x:c>
      <x:c r="C201" s="142" t="str">
        <x:v>non-conviction-record-sealing</x:v>
      </x:c>
      <x:c r="D201" s="142" t="str">
        <x:v>Non-conviction record sealing</x:v>
      </x:c>
      <x:c r="E201" s="142" t="str">
        <x:v>packet_ready_with_caution</x:v>
      </x:c>
      <x:c r="F201" s="142" t="str">
        <x:v>Filing path</x:v>
      </x:c>
      <x:c r="G201" s="56" t="str">
        <x:v>https://github.com/Roger-LegalEase/legalease-partner-dashboard-clean/blob/2f0ef0403f16e57544ad0bc86b2d1b1cd08861b3/src/lib/rcap-engine/compiled/profiles/NV-nevada.json</x:v>
      </x:c>
    </x:row>
    <x:row r="202">
      <x:c r="A202" s="55" t="str">
        <x:v>New York</x:v>
      </x:c>
      <x:c r="B202" s="142" t="str">
        <x:v>NY</x:v>
      </x:c>
      <x:c r="C202" s="142" t="str">
        <x:v>automatic-non-conviction-sealing-under-cpl-160-50-160-55</x:v>
      </x:c>
      <x:c r="D202" s="142" t="str">
        <x:v>Automatic non-conviction sealing under CPL 160.50 / 160.55</x:v>
      </x:c>
      <x:c r="E202" s="142" t="str">
        <x:v>guidance_only</x:v>
      </x:c>
      <x:c r="F202" s="142" t="str">
        <x:v>No filing / verification</x:v>
      </x:c>
      <x:c r="G202" s="56" t="str">
        <x:v>https://github.com/Roger-LegalEase/legalease-partner-dashboard-clean/blob/2f0ef0403f16e57544ad0bc86b2d1b1cd08861b3/src/lib/rcap-engine/compiled/profiles/NY-new-york.json</x:v>
      </x:c>
    </x:row>
    <x:row r="203">
      <x:c r="A203" s="55" t="str">
        <x:v>New York</x:v>
      </x:c>
      <x:c r="B203" s="142" t="str">
        <x:v>NY</x:v>
      </x:c>
      <x:c r="C203" s="142" t="str">
        <x:v>marijuana-record-destruction-under-the-mrta</x:v>
      </x:c>
      <x:c r="D203" s="142" t="str">
        <x:v>Marijuana-record destruction under the MRTA</x:v>
      </x:c>
      <x:c r="E203" s="142" t="str">
        <x:v>guidance_only</x:v>
      </x:c>
      <x:c r="F203" s="142" t="str">
        <x:v>No filing / verification</x:v>
      </x:c>
      <x:c r="G203" s="56" t="str">
        <x:v>https://github.com/Roger-LegalEase/legalease-partner-dashboard-clean/blob/2f0ef0403f16e57544ad0bc86b2d1b1cd08861b3/src/lib/rcap-engine/compiled/profiles/NY-new-york.json</x:v>
      </x:c>
    </x:row>
    <x:row r="204">
      <x:c r="A204" s="55" t="str">
        <x:v>New York</x:v>
      </x:c>
      <x:c r="B204" s="142" t="str">
        <x:v>NY</x:v>
      </x:c>
      <x:c r="C204" s="142" t="str">
        <x:v>conditional-treatment-sealing-under-cpl-160-58</x:v>
      </x:c>
      <x:c r="D204" s="142" t="str">
        <x:v>Conditional / treatment sealing under CPL 160.58</x:v>
      </x:c>
      <x:c r="E204" s="142" t="str">
        <x:v>packet_ready_with_caution</x:v>
      </x:c>
      <x:c r="F204" s="142" t="str">
        <x:v>Filing path</x:v>
      </x:c>
      <x:c r="G204" s="56" t="str">
        <x:v>https://github.com/Roger-LegalEase/legalease-partner-dashboard-clean/blob/2f0ef0403f16e57544ad0bc86b2d1b1cd08861b3/src/lib/rcap-engine/compiled/profiles/NY-new-york.json</x:v>
      </x:c>
    </x:row>
    <x:row r="205">
      <x:c r="A205" s="55" t="str">
        <x:v>New York</x:v>
      </x:c>
      <x:c r="B205" s="142" t="str">
        <x:v>NY</x:v>
      </x:c>
      <x:c r="C205" s="142" t="str">
        <x:v>discretionary-conviction-sealing-by-petition-under-cpl-160-59</x:v>
      </x:c>
      <x:c r="D205" s="142" t="str">
        <x:v>Discretionary conviction sealing by petition under CPL 160.59</x:v>
      </x:c>
      <x:c r="E205" s="142" t="str">
        <x:v>packet_ready_with_caution</x:v>
      </x:c>
      <x:c r="F205" s="142" t="str">
        <x:v>Filing path</x:v>
      </x:c>
      <x:c r="G205" s="56" t="str">
        <x:v>https://github.com/Roger-LegalEase/legalease-partner-dashboard-clean/blob/2f0ef0403f16e57544ad0bc86b2d1b1cd08861b3/src/lib/rcap-engine/compiled/profiles/NY-new-york.json</x:v>
      </x:c>
    </x:row>
    <x:row r="206">
      <x:c r="A206" s="55" t="str">
        <x:v>New York</x:v>
      </x:c>
      <x:c r="B206" s="142" t="str">
        <x:v>NY</x:v>
      </x:c>
      <x:c r="C206" s="142" t="str">
        <x:v>automatic-clean-slate-sealing-under-cpl-160-57</x:v>
      </x:c>
      <x:c r="D206" s="142" t="str">
        <x:v>Automatic Clean Slate sealing under CPL 160.57</x:v>
      </x:c>
      <x:c r="E206" s="142" t="str">
        <x:v>guidance_only</x:v>
      </x:c>
      <x:c r="F206" s="142" t="str">
        <x:v>No filing / verification</x:v>
      </x:c>
      <x:c r="G206" s="56" t="str">
        <x:v>https://github.com/Roger-LegalEase/legalease-partner-dashboard-clean/blob/2f0ef0403f16e57544ad0bc86b2d1b1cd08861b3/src/lib/rcap-engine/compiled/profiles/NY-new-york.json</x:v>
      </x:c>
    </x:row>
    <x:row r="207">
      <x:c r="A207" s="55" t="str">
        <x:v>Ohio</x:v>
      </x:c>
      <x:c r="B207" s="142" t="str">
        <x:v>OH</x:v>
      </x:c>
      <x:c r="C207" s="142" t="str">
        <x:v>adult-conviction-sealing-or-expungement-under-ohio-rev-code-2953-32</x:v>
      </x:c>
      <x:c r="D207" s="142" t="str">
        <x:v>Adult conviction sealing or expungement under Ohio Rev. Code § 2953.32</x:v>
      </x:c>
      <x:c r="E207" s="142" t="str">
        <x:v>packet_ready_with_caution</x:v>
      </x:c>
      <x:c r="F207" s="142" t="str">
        <x:v>Filing path</x:v>
      </x:c>
      <x:c r="G207" s="56" t="str">
        <x:v>https://github.com/Roger-LegalEase/legalease-partner-dashboard-clean/blob/2f0ef0403f16e57544ad0bc86b2d1b1cd08861b3/src/lib/rcap-engine/compiled/profiles/OH-ohio.json</x:v>
      </x:c>
    </x:row>
    <x:row r="208">
      <x:c r="A208" s="55" t="str">
        <x:v>Ohio</x:v>
      </x:c>
      <x:c r="B208" s="142" t="str">
        <x:v>OH</x:v>
      </x:c>
      <x:c r="C208" s="142" t="str">
        <x:v>adult-non-conviction-sealing-or-expungement-under-2953-33</x:v>
      </x:c>
      <x:c r="D208" s="142" t="str">
        <x:v>Adult non-conviction sealing or expungement under § 2953.33</x:v>
      </x:c>
      <x:c r="E208" s="142" t="str">
        <x:v>packet_ready_with_caution</x:v>
      </x:c>
      <x:c r="F208" s="142" t="str">
        <x:v>Filing path</x:v>
      </x:c>
      <x:c r="G208" s="56" t="str">
        <x:v>https://github.com/Roger-LegalEase/legalease-partner-dashboard-clean/blob/2f0ef0403f16e57544ad0bc86b2d1b1cd08861b3/src/lib/rcap-engine/compiled/profiles/OH-ohio.json</x:v>
      </x:c>
    </x:row>
    <x:row r="209">
      <x:c r="A209" s="55" t="str">
        <x:v>Ohio</x:v>
      </x:c>
      <x:c r="B209" s="142" t="str">
        <x:v>OH</x:v>
      </x:c>
      <x:c r="C209" s="142" t="str">
        <x:v>marijuana-hashish-possession-expungement-under-2953-321</x:v>
      </x:c>
      <x:c r="D209" s="142" t="str">
        <x:v>Marijuana / hashish possession expungement under § 2953.321</x:v>
      </x:c>
      <x:c r="E209" s="142" t="str">
        <x:v>packet_ready_with_caution</x:v>
      </x:c>
      <x:c r="F209" s="142" t="str">
        <x:v>Filing path</x:v>
      </x:c>
      <x:c r="G209" s="56" t="str">
        <x:v>https://github.com/Roger-LegalEase/legalease-partner-dashboard-clean/blob/2f0ef0403f16e57544ad0bc86b2d1b1cd08861b3/src/lib/rcap-engine/compiled/profiles/OH-ohio.json</x:v>
      </x:c>
    </x:row>
    <x:row r="210">
      <x:c r="A210" s="55" t="str">
        <x:v>Ohio</x:v>
      </x:c>
      <x:c r="B210" s="142" t="str">
        <x:v>OH</x:v>
      </x:c>
      <x:c r="C210" s="142" t="str">
        <x:v>human-trafficking-survivor-conviction-expungement-under-2953-36</x:v>
      </x:c>
      <x:c r="D210" s="142" t="str">
        <x:v>Human-trafficking-survivor conviction expungement under § 2953.36</x:v>
      </x:c>
      <x:c r="E210" s="142" t="str">
        <x:v>packet_ready_with_caution</x:v>
      </x:c>
      <x:c r="F210" s="142" t="str">
        <x:v>Filing path</x:v>
      </x:c>
      <x:c r="G210" s="56" t="str">
        <x:v>https://github.com/Roger-LegalEase/legalease-partner-dashboard-clean/blob/2f0ef0403f16e57544ad0bc86b2d1b1cd08861b3/src/lib/rcap-engine/compiled/profiles/OH-ohio.json</x:v>
      </x:c>
    </x:row>
    <x:row r="211">
      <x:c r="A211" s="55" t="str">
        <x:v>Ohio</x:v>
      </x:c>
      <x:c r="B211" s="142" t="str">
        <x:v>OH</x:v>
      </x:c>
      <x:c r="C211" s="142" t="str">
        <x:v>human-trafficking-survivor-non-conviction-expungement-under-2953-521</x:v>
      </x:c>
      <x:c r="D211" s="142" t="str">
        <x:v>Human-trafficking-survivor non-conviction expungement under § 2953.521</x:v>
      </x:c>
      <x:c r="E211" s="142" t="str">
        <x:v>packet_ready_with_caution</x:v>
      </x:c>
      <x:c r="F211" s="142" t="str">
        <x:v>Filing path</x:v>
      </x:c>
      <x:c r="G211" s="56" t="str">
        <x:v>https://github.com/Roger-LegalEase/legalease-partner-dashboard-clean/blob/2f0ef0403f16e57544ad0bc86b2d1b1cd08861b3/src/lib/rcap-engine/compiled/profiles/OH-ohio.json</x:v>
      </x:c>
    </x:row>
    <x:row r="212">
      <x:c r="A212" s="55" t="str">
        <x:v>Ohio</x:v>
      </x:c>
      <x:c r="B212" s="142" t="str">
        <x:v>OH</x:v>
      </x:c>
      <x:c r="C212" s="142" t="str">
        <x:v>certain-firearm-carry-conviction-expungement-under-2953-35</x:v>
      </x:c>
      <x:c r="D212" s="142" t="str">
        <x:v>Certain firearm / carry conviction expungement under § 2953.35</x:v>
      </x:c>
      <x:c r="E212" s="142" t="str">
        <x:v>packet_ready_with_caution</x:v>
      </x:c>
      <x:c r="F212" s="142" t="str">
        <x:v>Filing path</x:v>
      </x:c>
      <x:c r="G212" s="56" t="str">
        <x:v>https://github.com/Roger-LegalEase/legalease-partner-dashboard-clean/blob/2f0ef0403f16e57544ad0bc86b2d1b1cd08861b3/src/lib/rcap-engine/compiled/profiles/OH-ohio.json</x:v>
      </x:c>
    </x:row>
    <x:row r="213">
      <x:c r="A213" s="55" t="str">
        <x:v>Ohio</x:v>
      </x:c>
      <x:c r="B213" s="142" t="str">
        <x:v>OH</x:v>
      </x:c>
      <x:c r="C213" s="142" t="str">
        <x:v>juvenile-sealing-and-expungement</x:v>
      </x:c>
      <x:c r="D213" s="142" t="str">
        <x:v>Juvenile sealing and expungement</x:v>
      </x:c>
      <x:c r="E213" s="142" t="str">
        <x:v>packet_ready_with_caution</x:v>
      </x:c>
      <x:c r="F213" s="142" t="str">
        <x:v>Filing path</x:v>
      </x:c>
      <x:c r="G213" s="56" t="str">
        <x:v>https://github.com/Roger-LegalEase/legalease-partner-dashboard-clean/blob/2f0ef0403f16e57544ad0bc86b2d1b1cd08861b3/src/lib/rcap-engine/compiled/profiles/OH-ohio.json</x:v>
      </x:c>
    </x:row>
    <x:row r="214">
      <x:c r="A214" s="55" t="str">
        <x:v>Oklahoma</x:v>
      </x:c>
      <x:c r="B214" s="142" t="str">
        <x:v>OK</x:v>
      </x:c>
      <x:c r="C214" s="142" t="str">
        <x:v>arrest-with-no-charges-filed</x:v>
      </x:c>
      <x:c r="D214" s="142" t="str">
        <x:v>Arrest with no charges filed</x:v>
      </x:c>
      <x:c r="E214" s="142" t="str">
        <x:v>packet_ready_with_caution</x:v>
      </x:c>
      <x:c r="F214" s="142" t="str">
        <x:v>Filing path</x:v>
      </x:c>
      <x:c r="G214" s="56" t="str">
        <x:v>https://github.com/Roger-LegalEase/legalease-partner-dashboard-clean/blob/2f0ef0403f16e57544ad0bc86b2d1b1cd08861b3/src/lib/rcap-engine/compiled/profiles/OK-oklahoma.json</x:v>
      </x:c>
    </x:row>
    <x:row r="215">
      <x:c r="A215" s="55" t="str">
        <x:v>Oklahoma</x:v>
      </x:c>
      <x:c r="B215" s="142" t="str">
        <x:v>OK</x:v>
      </x:c>
      <x:c r="C215" s="142" t="str">
        <x:v>acquittal-dismissal-or-other-no-conviction-expungement</x:v>
      </x:c>
      <x:c r="D215" s="142" t="str">
        <x:v>Acquittal, dismissal, or other no-conviction expungement</x:v>
      </x:c>
      <x:c r="E215" s="142" t="str">
        <x:v>packet_ready_with_caution</x:v>
      </x:c>
      <x:c r="F215" s="142" t="str">
        <x:v>Filing path</x:v>
      </x:c>
      <x:c r="G215" s="56" t="str">
        <x:v>https://github.com/Roger-LegalEase/legalease-partner-dashboard-clean/blob/2f0ef0403f16e57544ad0bc86b2d1b1cd08861b3/src/lib/rcap-engine/compiled/profiles/OK-oklahoma.json</x:v>
      </x:c>
    </x:row>
    <x:row r="216">
      <x:c r="A216" s="55" t="str">
        <x:v>Oklahoma</x:v>
      </x:c>
      <x:c r="B216" s="142" t="str">
        <x:v>OK</x:v>
      </x:c>
      <x:c r="C216" s="142" t="str">
        <x:v>conviction-reversed-and-case-dismissed</x:v>
      </x:c>
      <x:c r="D216" s="142" t="str">
        <x:v>Conviction reversed and case dismissed</x:v>
      </x:c>
      <x:c r="E216" s="142" t="str">
        <x:v>packet_ready_with_caution</x:v>
      </x:c>
      <x:c r="F216" s="142" t="str">
        <x:v>Filing path</x:v>
      </x:c>
      <x:c r="G216" s="56" t="str">
        <x:v>https://github.com/Roger-LegalEase/legalease-partner-dashboard-clean/blob/2f0ef0403f16e57544ad0bc86b2d1b1cd08861b3/src/lib/rcap-engine/compiled/profiles/OK-oklahoma.json</x:v>
      </x:c>
    </x:row>
    <x:row r="217">
      <x:c r="A217" s="55" t="str">
        <x:v>Oklahoma</x:v>
      </x:c>
      <x:c r="B217" s="142" t="str">
        <x:v>OK</x:v>
      </x:c>
      <x:c r="C217" s="142" t="str">
        <x:v>dna-factual-innocence-expungement</x:v>
      </x:c>
      <x:c r="D217" s="142" t="str">
        <x:v>DNA factual-innocence expungement</x:v>
      </x:c>
      <x:c r="E217" s="142" t="str">
        <x:v>packet_ready_with_caution</x:v>
      </x:c>
      <x:c r="F217" s="142" t="str">
        <x:v>Filing path</x:v>
      </x:c>
      <x:c r="G217" s="56" t="str">
        <x:v>https://github.com/Roger-LegalEase/legalease-partner-dashboard-clean/blob/2f0ef0403f16e57544ad0bc86b2d1b1cd08861b3/src/lib/rcap-engine/compiled/profiles/OK-oklahoma.json</x:v>
      </x:c>
    </x:row>
    <x:row r="218">
      <x:c r="A218" s="55" t="str">
        <x:v>Oklahoma</x:v>
      </x:c>
      <x:c r="B218" s="142" t="str">
        <x:v>OK</x:v>
      </x:c>
      <x:c r="C218" s="142" t="str">
        <x:v>misdemeanor-deferred-dismissal-expungement</x:v>
      </x:c>
      <x:c r="D218" s="142" t="str">
        <x:v>Misdemeanor deferred-dismissal expungement</x:v>
      </x:c>
      <x:c r="E218" s="142" t="str">
        <x:v>packet_ready_with_caution</x:v>
      </x:c>
      <x:c r="F218" s="142" t="str">
        <x:v>Filing path</x:v>
      </x:c>
      <x:c r="G218" s="56" t="str">
        <x:v>https://github.com/Roger-LegalEase/legalease-partner-dashboard-clean/blob/2f0ef0403f16e57544ad0bc86b2d1b1cd08861b3/src/lib/rcap-engine/compiled/profiles/OK-oklahoma.json</x:v>
      </x:c>
    </x:row>
    <x:row r="219">
      <x:c r="A219" s="55" t="str">
        <x:v>Oklahoma</x:v>
      </x:c>
      <x:c r="B219" s="142" t="str">
        <x:v>OK</x:v>
      </x:c>
      <x:c r="C219" s="142" t="str">
        <x:v>nonviolent-felony-deferred-dismissal-expungement</x:v>
      </x:c>
      <x:c r="D219" s="142" t="str">
        <x:v>Nonviolent-felony deferred-dismissal expungement</x:v>
      </x:c>
      <x:c r="E219" s="142" t="str">
        <x:v>packet_ready_with_caution</x:v>
      </x:c>
      <x:c r="F219" s="142" t="str">
        <x:v>Filing path</x:v>
      </x:c>
      <x:c r="G219" s="56" t="str">
        <x:v>https://github.com/Roger-LegalEase/legalease-partner-dashboard-clean/blob/2f0ef0403f16e57544ad0bc86b2d1b1cd08861b3/src/lib/rcap-engine/compiled/profiles/OK-oklahoma.json</x:v>
      </x:c>
    </x:row>
    <x:row r="220">
      <x:c r="A220" s="55" t="str">
        <x:v>Oklahoma</x:v>
      </x:c>
      <x:c r="B220" s="142" t="str">
        <x:v>OK</x:v>
      </x:c>
      <x:c r="C220" s="142" t="str">
        <x:v>up-to-two-felony-deferred-dismissal-expungement</x:v>
      </x:c>
      <x:c r="D220" s="142" t="str">
        <x:v>Up-to-two-felony deferred-dismissal expungement</x:v>
      </x:c>
      <x:c r="E220" s="142" t="str">
        <x:v>packet_ready_with_caution</x:v>
      </x:c>
      <x:c r="F220" s="142" t="str">
        <x:v>Filing path</x:v>
      </x:c>
      <x:c r="G220" s="56" t="str">
        <x:v>https://github.com/Roger-LegalEase/legalease-partner-dashboard-clean/blob/2f0ef0403f16e57544ad0bc86b2d1b1cd08861b3/src/lib/rcap-engine/compiled/profiles/OK-oklahoma.json</x:v>
      </x:c>
    </x:row>
    <x:row r="221">
      <x:c r="A221" s="55" t="str">
        <x:v>Oklahoma</x:v>
      </x:c>
      <x:c r="B221" s="142" t="str">
        <x:v>OK</x:v>
      </x:c>
      <x:c r="C221" s="142" t="str">
        <x:v>fine-only-misdemeanor-conviction-expungement</x:v>
      </x:c>
      <x:c r="D221" s="142" t="str">
        <x:v>Fine-only misdemeanor conviction expungement</x:v>
      </x:c>
      <x:c r="E221" s="142" t="str">
        <x:v>packet_ready_with_caution</x:v>
      </x:c>
      <x:c r="F221" s="142" t="str">
        <x:v>Filing path</x:v>
      </x:c>
      <x:c r="G221" s="56" t="str">
        <x:v>https://github.com/Roger-LegalEase/legalease-partner-dashboard-clean/blob/2f0ef0403f16e57544ad0bc86b2d1b1cd08861b3/src/lib/rcap-engine/compiled/profiles/OK-oklahoma.json</x:v>
      </x:c>
    </x:row>
    <x:row r="222">
      <x:c r="A222" s="55" t="str">
        <x:v>Oklahoma</x:v>
      </x:c>
      <x:c r="B222" s="142" t="str">
        <x:v>OK</x:v>
      </x:c>
      <x:c r="C222" s="142" t="str">
        <x:v>other-eligible-misdemeanor-conviction-expungement</x:v>
      </x:c>
      <x:c r="D222" s="142" t="str">
        <x:v>Other eligible misdemeanor-conviction expungement</x:v>
      </x:c>
      <x:c r="E222" s="142" t="str">
        <x:v>packet_ready_with_caution</x:v>
      </x:c>
      <x:c r="F222" s="142" t="str">
        <x:v>Filing path</x:v>
      </x:c>
      <x:c r="G222" s="56" t="str">
        <x:v>https://github.com/Roger-LegalEase/legalease-partner-dashboard-clean/blob/2f0ef0403f16e57544ad0bc86b2d1b1cd08861b3/src/lib/rcap-engine/compiled/profiles/OK-oklahoma.json</x:v>
      </x:c>
    </x:row>
    <x:row r="223">
      <x:c r="A223" s="55" t="str">
        <x:v>Oklahoma</x:v>
      </x:c>
      <x:c r="B223" s="142" t="str">
        <x:v>OK</x:v>
      </x:c>
      <x:c r="C223" s="142" t="str">
        <x:v>one-eligible-nonviolent-felony-conviction-expungement</x:v>
      </x:c>
      <x:c r="D223" s="142" t="str">
        <x:v>One eligible nonviolent-felony conviction expungement</x:v>
      </x:c>
      <x:c r="E223" s="142" t="str">
        <x:v>packet_ready_with_caution</x:v>
      </x:c>
      <x:c r="F223" s="142" t="str">
        <x:v>Filing path</x:v>
      </x:c>
      <x:c r="G223" s="56" t="str">
        <x:v>https://github.com/Roger-LegalEase/legalease-partner-dashboard-clean/blob/2f0ef0403f16e57544ad0bc86b2d1b1cd08861b3/src/lib/rcap-engine/compiled/profiles/OK-oklahoma.json</x:v>
      </x:c>
    </x:row>
    <x:row r="224">
      <x:c r="A224" s="55" t="str">
        <x:v>Oklahoma</x:v>
      </x:c>
      <x:c r="B224" s="142" t="str">
        <x:v>OK</x:v>
      </x:c>
      <x:c r="C224" s="142" t="str">
        <x:v>not-more-than-two-eligible-felony-convictions-expungement</x:v>
      </x:c>
      <x:c r="D224" s="142" t="str">
        <x:v>Not-more-than-two eligible felony convictions expungement</x:v>
      </x:c>
      <x:c r="E224" s="142" t="str">
        <x:v>packet_ready_with_caution</x:v>
      </x:c>
      <x:c r="F224" s="142" t="str">
        <x:v>Filing path</x:v>
      </x:c>
      <x:c r="G224" s="56" t="str">
        <x:v>https://github.com/Roger-LegalEase/legalease-partner-dashboard-clean/blob/2f0ef0403f16e57544ad0bc86b2d1b1cd08861b3/src/lib/rcap-engine/compiled/profiles/OK-oklahoma.json</x:v>
      </x:c>
    </x:row>
    <x:row r="225">
      <x:c r="A225" s="55" t="str">
        <x:v>Oklahoma</x:v>
      </x:c>
      <x:c r="B225" s="142" t="str">
        <x:v>OK</x:v>
      </x:c>
      <x:c r="C225" s="142" t="str">
        <x:v>felony-reclassified-as-a-misdemeanor</x:v>
      </x:c>
      <x:c r="D225" s="142" t="str">
        <x:v>Felony reclassified as a misdemeanor</x:v>
      </x:c>
      <x:c r="E225" s="142" t="str">
        <x:v>packet_ready_with_caution</x:v>
      </x:c>
      <x:c r="F225" s="142" t="str">
        <x:v>Filing path</x:v>
      </x:c>
      <x:c r="G225" s="56" t="str">
        <x:v>https://github.com/Roger-LegalEase/legalease-partner-dashboard-clean/blob/2f0ef0403f16e57544ad0bc86b2d1b1cd08861b3/src/lib/rcap-engine/compiled/profiles/OK-oklahoma.json</x:v>
      </x:c>
    </x:row>
    <x:row r="226">
      <x:c r="A226" s="55" t="str">
        <x:v>Oklahoma</x:v>
      </x:c>
      <x:c r="B226" s="142" t="str">
        <x:v>OK</x:v>
      </x:c>
      <x:c r="C226" s="142" t="str">
        <x:v>pardon-based-expungement</x:v>
      </x:c>
      <x:c r="D226" s="142" t="str">
        <x:v>Pardon-based expungement</x:v>
      </x:c>
      <x:c r="E226" s="142" t="str">
        <x:v>packet_ready_with_caution</x:v>
      </x:c>
      <x:c r="F226" s="142" t="str">
        <x:v>Filing path</x:v>
      </x:c>
      <x:c r="G226" s="56" t="str">
        <x:v>https://github.com/Roger-LegalEase/legalease-partner-dashboard-clean/blob/2f0ef0403f16e57544ad0bc86b2d1b1cd08861b3/src/lib/rcap-engine/compiled/profiles/OK-oklahoma.json</x:v>
      </x:c>
    </x:row>
    <x:row r="227">
      <x:c r="A227" s="55" t="str">
        <x:v>Oklahoma</x:v>
      </x:c>
      <x:c r="B227" s="142" t="str">
        <x:v>OK</x:v>
      </x:c>
      <x:c r="C227" s="142" t="str">
        <x:v>deferred-sentence-court-record-expungement-under-991-c</x:v>
      </x:c>
      <x:c r="D227" s="142" t="str">
        <x:v>Deferred-sentence court-record expungement under § 991(c)</x:v>
      </x:c>
      <x:c r="E227" s="142" t="str">
        <x:v>packet_ready_with_caution</x:v>
      </x:c>
      <x:c r="F227" s="142" t="str">
        <x:v>Filing path</x:v>
      </x:c>
      <x:c r="G227" s="56" t="str">
        <x:v>https://github.com/Roger-LegalEase/legalease-partner-dashboard-clean/blob/2f0ef0403f16e57544ad0bc86b2d1b1cd08861b3/src/lib/rcap-engine/compiled/profiles/OK-oklahoma.json</x:v>
      </x:c>
    </x:row>
    <x:row r="228">
      <x:c r="A228" s="55" t="str">
        <x:v>Oklahoma</x:v>
      </x:c>
      <x:c r="B228" s="142" t="str">
        <x:v>OK</x:v>
      </x:c>
      <x:c r="C228" s="142" t="str">
        <x:v>clean-slate-automatic-expungement</x:v>
      </x:c>
      <x:c r="D228" s="142" t="str">
        <x:v>Clean Slate automatic expungement</x:v>
      </x:c>
      <x:c r="E228" s="142" t="str">
        <x:v>guidance_only</x:v>
      </x:c>
      <x:c r="F228" s="142" t="str">
        <x:v>No filing / verification</x:v>
      </x:c>
      <x:c r="G228" s="56" t="str">
        <x:v>https://github.com/Roger-LegalEase/legalease-partner-dashboard-clean/blob/2f0ef0403f16e57544ad0bc86b2d1b1cd08861b3/src/lib/rcap-engine/compiled/profiles/OK-oklahoma.json</x:v>
      </x:c>
    </x:row>
    <x:row r="229">
      <x:c r="A229" s="55" t="str">
        <x:v>Oklahoma</x:v>
      </x:c>
      <x:c r="B229" s="142" t="str">
        <x:v>OK</x:v>
      </x:c>
      <x:c r="C229" s="142" t="str">
        <x:v>human-trafficking-survivor-relief</x:v>
      </x:c>
      <x:c r="D229" s="142" t="str">
        <x:v>Human-trafficking-survivor relief</x:v>
      </x:c>
      <x:c r="E229" s="142" t="str">
        <x:v>packet_ready_with_caution</x:v>
      </x:c>
      <x:c r="F229" s="142" t="str">
        <x:v>Filing path</x:v>
      </x:c>
      <x:c r="G229" s="56" t="str">
        <x:v>https://github.com/Roger-LegalEase/legalease-partner-dashboard-clean/blob/2f0ef0403f16e57544ad0bc86b2d1b1cd08861b3/src/lib/rcap-engine/compiled/profiles/OK-oklahoma.json</x:v>
      </x:c>
    </x:row>
    <x:row r="230">
      <x:c r="A230" s="55" t="str">
        <x:v>Oklahoma</x:v>
      </x:c>
      <x:c r="B230" s="142" t="str">
        <x:v>OK</x:v>
      </x:c>
      <x:c r="C230" s="142" t="str">
        <x:v>victim-protective-order-record-relief</x:v>
      </x:c>
      <x:c r="D230" s="142" t="str">
        <x:v>Victim Protective Order record relief</x:v>
      </x:c>
      <x:c r="E230" s="142" t="str">
        <x:v>packet_ready_with_caution</x:v>
      </x:c>
      <x:c r="F230" s="142" t="str">
        <x:v>Filing path</x:v>
      </x:c>
      <x:c r="G230" s="56" t="str">
        <x:v>https://github.com/Roger-LegalEase/legalease-partner-dashboard-clean/blob/2f0ef0403f16e57544ad0bc86b2d1b1cd08861b3/src/lib/rcap-engine/compiled/profiles/OK-oklahoma.json</x:v>
      </x:c>
    </x:row>
    <x:row r="231">
      <x:c r="A231" s="55" t="str">
        <x:v>Oklahoma</x:v>
      </x:c>
      <x:c r="B231" s="142" t="str">
        <x:v>OK</x:v>
      </x:c>
      <x:c r="C231" s="142" t="str">
        <x:v>juvenile-record-expungement</x:v>
      </x:c>
      <x:c r="D231" s="142" t="str">
        <x:v>Juvenile record expungement</x:v>
      </x:c>
      <x:c r="E231" s="142" t="str">
        <x:v>packet_ready_with_caution</x:v>
      </x:c>
      <x:c r="F231" s="142" t="str">
        <x:v>Filing path</x:v>
      </x:c>
      <x:c r="G231" s="56" t="str">
        <x:v>https://github.com/Roger-LegalEase/legalease-partner-dashboard-clean/blob/2f0ef0403f16e57544ad0bc86b2d1b1cd08861b3/src/lib/rcap-engine/compiled/profiles/OK-oklahoma.json</x:v>
      </x:c>
    </x:row>
    <x:row r="232">
      <x:c r="A232" s="55" t="str">
        <x:v>Oregon</x:v>
      </x:c>
      <x:c r="B232" s="142" t="str">
        <x:v>OR</x:v>
      </x:c>
      <x:c r="C232" s="142" t="str">
        <x:v>set-aside-of-arrests-or-charges-without-conviction-under-ors-137-225-1-c</x:v>
      </x:c>
      <x:c r="D232" s="142" t="str">
        <x:v>Set-aside of arrests or charges without conviction under ORS 137.225(1)(c)</x:v>
      </x:c>
      <x:c r="E232" s="142" t="str">
        <x:v>packet_ready_with_caution</x:v>
      </x:c>
      <x:c r="F232" s="142" t="str">
        <x:v>Filing path</x:v>
      </x:c>
      <x:c r="G232" s="56" t="str">
        <x:v>https://github.com/Roger-LegalEase/legalease-partner-dashboard-clean/blob/2f0ef0403f16e57544ad0bc86b2d1b1cd08861b3/src/lib/rcap-engine/compiled/profiles/OR-oregon.json</x:v>
      </x:c>
    </x:row>
    <x:row r="233">
      <x:c r="A233" s="55" t="str">
        <x:v>Oregon</x:v>
      </x:c>
      <x:c r="B233" s="142" t="str">
        <x:v>OR</x:v>
      </x:c>
      <x:c r="C233" s="142" t="str">
        <x:v>set-aside-of-eligible-convictions-under-ors-137-225-1-a</x:v>
      </x:c>
      <x:c r="D233" s="142" t="str">
        <x:v>Set-aside of eligible convictions under ORS 137.225(1)(a)</x:v>
      </x:c>
      <x:c r="E233" s="142" t="str">
        <x:v>packet_ready_with_caution</x:v>
      </x:c>
      <x:c r="F233" s="142" t="str">
        <x:v>Filing path</x:v>
      </x:c>
      <x:c r="G233" s="56" t="str">
        <x:v>https://github.com/Roger-LegalEase/legalease-partner-dashboard-clean/blob/2f0ef0403f16e57544ad0bc86b2d1b1cd08861b3/src/lib/rcap-engine/compiled/profiles/OR-oregon.json</x:v>
      </x:c>
    </x:row>
    <x:row r="234">
      <x:c r="A234" s="55" t="str">
        <x:v>Oregon</x:v>
      </x:c>
      <x:c r="B234" s="142" t="str">
        <x:v>OR</x:v>
      </x:c>
      <x:c r="C234" s="142" t="str">
        <x:v>marijuana-specific-set-aside-redesignation</x:v>
      </x:c>
      <x:c r="D234" s="142" t="str">
        <x:v>Marijuana-specific set-aside / redesignation</x:v>
      </x:c>
      <x:c r="E234" s="142" t="str">
        <x:v>packet_ready_with_caution</x:v>
      </x:c>
      <x:c r="F234" s="142" t="str">
        <x:v>Filing path</x:v>
      </x:c>
      <x:c r="G234" s="56" t="str">
        <x:v>https://github.com/Roger-LegalEase/legalease-partner-dashboard-clean/blob/2f0ef0403f16e57544ad0bc86b2d1b1cd08861b3/src/lib/rcap-engine/compiled/profiles/OR-oregon.json</x:v>
      </x:c>
    </x:row>
    <x:row r="235">
      <x:c r="A235" s="55" t="str">
        <x:v>Pennsylvania</x:v>
      </x:c>
      <x:c r="B235" s="142" t="str">
        <x:v>PA</x:v>
      </x:c>
      <x:c r="C235" s="142" t="str">
        <x:v>path-a-non-conviction-expungement</x:v>
      </x:c>
      <x:c r="D235" s="142" t="str">
        <x:v>Path A — Non-conviction expungement</x:v>
      </x:c>
      <x:c r="E235" s="142" t="str">
        <x:v>packet_ready_with_caution</x:v>
      </x:c>
      <x:c r="F235" s="142" t="str">
        <x:v>Filing path</x:v>
      </x:c>
      <x:c r="G235" s="56" t="str">
        <x:v>https://github.com/Roger-LegalEase/legalease-partner-dashboard-clean/blob/2f0ef0403f16e57544ad0bc86b2d1b1cd08861b3/src/lib/rcap-engine/compiled/profiles/PA-pennsylvania.json</x:v>
      </x:c>
    </x:row>
    <x:row r="236">
      <x:c r="A236" s="55" t="str">
        <x:v>Pennsylvania</x:v>
      </x:c>
      <x:c r="B236" s="142" t="str">
        <x:v>PA</x:v>
      </x:c>
      <x:c r="C236" s="142" t="str">
        <x:v>path-b-complete-acquittal-not-guilty-expungement</x:v>
      </x:c>
      <x:c r="D236" s="142" t="str">
        <x:v>Path B — Complete-acquittal / not-guilty expungement</x:v>
      </x:c>
      <x:c r="E236" s="142" t="str">
        <x:v>packet_ready_with_caution</x:v>
      </x:c>
      <x:c r="F236" s="142" t="str">
        <x:v>Filing path</x:v>
      </x:c>
      <x:c r="G236" s="56" t="str">
        <x:v>https://github.com/Roger-LegalEase/legalease-partner-dashboard-clean/blob/2f0ef0403f16e57544ad0bc86b2d1b1cd08861b3/src/lib/rcap-engine/compiled/profiles/PA-pennsylvania.json</x:v>
      </x:c>
    </x:row>
    <x:row r="237">
      <x:c r="A237" s="55" t="str">
        <x:v>Pennsylvania</x:v>
      </x:c>
      <x:c r="B237" s="142" t="str">
        <x:v>PA</x:v>
      </x:c>
      <x:c r="C237" s="142" t="str">
        <x:v>path-c-summary-conviction-expungement</x:v>
      </x:c>
      <x:c r="D237" s="142" t="str">
        <x:v>Path C — Summary-conviction expungement</x:v>
      </x:c>
      <x:c r="E237" s="142" t="str">
        <x:v>packet_ready_with_caution</x:v>
      </x:c>
      <x:c r="F237" s="142" t="str">
        <x:v>Filing path</x:v>
      </x:c>
      <x:c r="G237" s="56" t="str">
        <x:v>https://github.com/Roger-LegalEase/legalease-partner-dashboard-clean/blob/2f0ef0403f16e57544ad0bc86b2d1b1cd08861b3/src/lib/rcap-engine/compiled/profiles/PA-pennsylvania.json</x:v>
      </x:c>
    </x:row>
    <x:row r="238">
      <x:c r="A238" s="55" t="str">
        <x:v>Pennsylvania</x:v>
      </x:c>
      <x:c r="B238" s="142" t="str">
        <x:v>PA</x:v>
      </x:c>
      <x:c r="C238" s="142" t="str">
        <x:v>path-d-ard-expungement</x:v>
      </x:c>
      <x:c r="D238" s="142" t="str">
        <x:v>Path D — ARD expungement</x:v>
      </x:c>
      <x:c r="E238" s="142" t="str">
        <x:v>packet_ready_with_caution</x:v>
      </x:c>
      <x:c r="F238" s="142" t="str">
        <x:v>Filing path</x:v>
      </x:c>
      <x:c r="G238" s="56" t="str">
        <x:v>https://github.com/Roger-LegalEase/legalease-partner-dashboard-clean/blob/2f0ef0403f16e57544ad0bc86b2d1b1cd08861b3/src/lib/rcap-engine/compiled/profiles/PA-pennsylvania.json</x:v>
      </x:c>
    </x:row>
    <x:row r="239">
      <x:c r="A239" s="55" t="str">
        <x:v>Pennsylvania</x:v>
      </x:c>
      <x:c r="B239" s="142" t="str">
        <x:v>PA</x:v>
      </x:c>
      <x:c r="C239" s="142" t="str">
        <x:v>path-e-age-70-expungement</x:v>
      </x:c>
      <x:c r="D239" s="142" t="str">
        <x:v>Path E — Age-70 expungement</x:v>
      </x:c>
      <x:c r="E239" s="142" t="str">
        <x:v>packet_ready_with_caution</x:v>
      </x:c>
      <x:c r="F239" s="142" t="str">
        <x:v>Filing path</x:v>
      </x:c>
      <x:c r="G239" s="56" t="str">
        <x:v>https://github.com/Roger-LegalEase/legalease-partner-dashboard-clean/blob/2f0ef0403f16e57544ad0bc86b2d1b1cd08861b3/src/lib/rcap-engine/compiled/profiles/PA-pennsylvania.json</x:v>
      </x:c>
    </x:row>
    <x:row r="240">
      <x:c r="A240" s="55" t="str">
        <x:v>Pennsylvania</x:v>
      </x:c>
      <x:c r="B240" s="142" t="str">
        <x:v>PA</x:v>
      </x:c>
      <x:c r="C240" s="142" t="str">
        <x:v>path-f-deceased-person-expungement</x:v>
      </x:c>
      <x:c r="D240" s="142" t="str">
        <x:v>Path F — Deceased-person expungement</x:v>
      </x:c>
      <x:c r="E240" s="142" t="str">
        <x:v>packet_ready_with_caution</x:v>
      </x:c>
      <x:c r="F240" s="142" t="str">
        <x:v>Filing path</x:v>
      </x:c>
      <x:c r="G240" s="56" t="str">
        <x:v>https://github.com/Roger-LegalEase/legalease-partner-dashboard-clean/blob/2f0ef0403f16e57544ad0bc86b2d1b1cd08861b3/src/lib/rcap-engine/compiled/profiles/PA-pennsylvania.json</x:v>
      </x:c>
    </x:row>
    <x:row r="241">
      <x:c r="A241" s="55" t="str">
        <x:v>Pennsylvania</x:v>
      </x:c>
      <x:c r="B241" s="142" t="str">
        <x:v>PA</x:v>
      </x:c>
      <x:c r="C241" s="142" t="str">
        <x:v>path-g-underage-drinking-conviction-expungement</x:v>
      </x:c>
      <x:c r="D241" s="142" t="str">
        <x:v>Path G — Underage-drinking conviction expungement</x:v>
      </x:c>
      <x:c r="E241" s="142" t="str">
        <x:v>packet_ready_with_caution</x:v>
      </x:c>
      <x:c r="F241" s="142" t="str">
        <x:v>Filing path</x:v>
      </x:c>
      <x:c r="G241" s="56" t="str">
        <x:v>https://github.com/Roger-LegalEase/legalease-partner-dashboard-clean/blob/2f0ef0403f16e57544ad0bc86b2d1b1cd08861b3/src/lib/rcap-engine/compiled/profiles/PA-pennsylvania.json</x:v>
      </x:c>
    </x:row>
    <x:row r="242">
      <x:c r="A242" s="55" t="str">
        <x:v>Pennsylvania</x:v>
      </x:c>
      <x:c r="B242" s="142" t="str">
        <x:v>PA</x:v>
      </x:c>
      <x:c r="C242" s="142" t="str">
        <x:v>path-h-pardon-based-expungement</x:v>
      </x:c>
      <x:c r="D242" s="142" t="str">
        <x:v>Path H — Pardon-based expungement</x:v>
      </x:c>
      <x:c r="E242" s="142" t="str">
        <x:v>packet_ready_with_caution</x:v>
      </x:c>
      <x:c r="F242" s="142" t="str">
        <x:v>Filing path</x:v>
      </x:c>
      <x:c r="G242" s="56" t="str">
        <x:v>https://github.com/Roger-LegalEase/legalease-partner-dashboard-clean/blob/2f0ef0403f16e57544ad0bc86b2d1b1cd08861b3/src/lib/rcap-engine/compiled/profiles/PA-pennsylvania.json</x:v>
      </x:c>
    </x:row>
    <x:row r="243">
      <x:c r="A243" s="55" t="str">
        <x:v>Pennsylvania</x:v>
      </x:c>
      <x:c r="B243" s="142" t="str">
        <x:v>PA</x:v>
      </x:c>
      <x:c r="C243" s="142" t="str">
        <x:v>path-i-petition-for-limited-access</x:v>
      </x:c>
      <x:c r="D243" s="142" t="str">
        <x:v>Path I — Petition for limited access</x:v>
      </x:c>
      <x:c r="E243" s="142" t="str">
        <x:v>packet_ready_with_caution</x:v>
      </x:c>
      <x:c r="F243" s="142" t="str">
        <x:v>Filing path</x:v>
      </x:c>
      <x:c r="G243" s="56" t="str">
        <x:v>https://github.com/Roger-LegalEase/legalease-partner-dashboard-clean/blob/2f0ef0403f16e57544ad0bc86b2d1b1cd08861b3/src/lib/rcap-engine/compiled/profiles/PA-pennsylvania.json</x:v>
      </x:c>
    </x:row>
    <x:row r="244">
      <x:c r="A244" s="55" t="str">
        <x:v>Pennsylvania</x:v>
      </x:c>
      <x:c r="B244" s="142" t="str">
        <x:v>PA</x:v>
      </x:c>
      <x:c r="C244" s="142" t="str">
        <x:v>path-j-clean-slate-automatic-limited-access</x:v>
      </x:c>
      <x:c r="D244" s="142" t="str">
        <x:v>Path J — Clean Slate automatic limited access</x:v>
      </x:c>
      <x:c r="E244" s="142" t="str">
        <x:v>guidance_only</x:v>
      </x:c>
      <x:c r="F244" s="142" t="str">
        <x:v>No filing / verification</x:v>
      </x:c>
      <x:c r="G244" s="56" t="str">
        <x:v>https://github.com/Roger-LegalEase/legalease-partner-dashboard-clean/blob/2f0ef0403f16e57544ad0bc86b2d1b1cd08861b3/src/lib/rcap-engine/compiled/profiles/PA-pennsylvania.json</x:v>
      </x:c>
    </x:row>
    <x:row r="245">
      <x:c r="A245" s="55" t="str">
        <x:v>Pennsylvania</x:v>
      </x:c>
      <x:c r="B245" s="142" t="str">
        <x:v>PA</x:v>
      </x:c>
      <x:c r="C245" s="142" t="str">
        <x:v>path-k-human-trafficking-vacatur-expungement</x:v>
      </x:c>
      <x:c r="D245" s="142" t="str">
        <x:v>Path K — Human-trafficking vacatur / expungement</x:v>
      </x:c>
      <x:c r="E245" s="142" t="str">
        <x:v>packet_ready_with_caution</x:v>
      </x:c>
      <x:c r="F245" s="142" t="str">
        <x:v>Filing path</x:v>
      </x:c>
      <x:c r="G245" s="56" t="str">
        <x:v>https://github.com/Roger-LegalEase/legalease-partner-dashboard-clean/blob/2f0ef0403f16e57544ad0bc86b2d1b1cd08861b3/src/lib/rcap-engine/compiled/profiles/PA-pennsylvania.json</x:v>
      </x:c>
    </x:row>
    <x:row r="246">
      <x:c r="A246" s="55" t="str">
        <x:v>Rhode Island</x:v>
      </x:c>
      <x:c r="B246" s="142" t="str">
        <x:v>RI</x:v>
      </x:c>
      <x:c r="C246" s="142" t="str">
        <x:v>path-a-first-offender-conviction-expungement</x:v>
      </x:c>
      <x:c r="D246" s="142" t="str">
        <x:v>Path A — First-offender conviction expungement</x:v>
      </x:c>
      <x:c r="E246" s="142" t="str">
        <x:v>packet_ready_with_caution</x:v>
      </x:c>
      <x:c r="F246" s="142" t="str">
        <x:v>Filing path</x:v>
      </x:c>
      <x:c r="G246" s="56" t="str">
        <x:v>https://github.com/Roger-LegalEase/legalease-partner-dashboard-clean/blob/2f0ef0403f16e57544ad0bc86b2d1b1cd08861b3/src/lib/rcap-engine/compiled/profiles/RI-rhode-island.json</x:v>
      </x:c>
    </x:row>
    <x:row r="247">
      <x:c r="A247" s="55" t="str">
        <x:v>Rhode Island</x:v>
      </x:c>
      <x:c r="B247" s="142" t="str">
        <x:v>RI</x:v>
      </x:c>
      <x:c r="C247" s="142" t="str">
        <x:v>path-b-multiple-misdemeanor-expungement</x:v>
      </x:c>
      <x:c r="D247" s="142" t="str">
        <x:v>Path B — Multiple-misdemeanor expungement</x:v>
      </x:c>
      <x:c r="E247" s="142" t="str">
        <x:v>packet_ready_with_caution</x:v>
      </x:c>
      <x:c r="F247" s="142" t="str">
        <x:v>Filing path</x:v>
      </x:c>
      <x:c r="G247" s="56" t="str">
        <x:v>https://github.com/Roger-LegalEase/legalease-partner-dashboard-clean/blob/2f0ef0403f16e57544ad0bc86b2d1b1cd08861b3/src/lib/rcap-engine/compiled/profiles/RI-rhode-island.json</x:v>
      </x:c>
    </x:row>
    <x:row r="248">
      <x:c r="A248" s="55" t="str">
        <x:v>Rhode Island</x:v>
      </x:c>
      <x:c r="B248" s="142" t="str">
        <x:v>RI</x:v>
      </x:c>
      <x:c r="C248" s="142" t="str">
        <x:v>path-c-deferred-sentence-expungement</x:v>
      </x:c>
      <x:c r="D248" s="142" t="str">
        <x:v>Path C — Deferred-sentence expungement</x:v>
      </x:c>
      <x:c r="E248" s="142" t="str">
        <x:v>packet_ready_with_caution</x:v>
      </x:c>
      <x:c r="F248" s="142" t="str">
        <x:v>Filing path</x:v>
      </x:c>
      <x:c r="G248" s="56" t="str">
        <x:v>https://github.com/Roger-LegalEase/legalease-partner-dashboard-clean/blob/2f0ef0403f16e57544ad0bc86b2d1b1cd08861b3/src/lib/rcap-engine/compiled/profiles/RI-rhode-island.json</x:v>
      </x:c>
    </x:row>
    <x:row r="249">
      <x:c r="A249" s="55" t="str">
        <x:v>Rhode Island</x:v>
      </x:c>
      <x:c r="B249" s="142" t="str">
        <x:v>RI</x:v>
      </x:c>
      <x:c r="C249" s="142" t="str">
        <x:v>path-d-non-conviction-sealing-expungement</x:v>
      </x:c>
      <x:c r="D249" s="142" t="str">
        <x:v>Path D — Non-conviction sealing / expungement</x:v>
      </x:c>
      <x:c r="E249" s="142" t="str">
        <x:v>packet_ready_with_caution</x:v>
      </x:c>
      <x:c r="F249" s="142" t="str">
        <x:v>Filing path</x:v>
      </x:c>
      <x:c r="G249" s="56" t="str">
        <x:v>https://github.com/Roger-LegalEase/legalease-partner-dashboard-clean/blob/2f0ef0403f16e57544ad0bc86b2d1b1cd08861b3/src/lib/rcap-engine/compiled/profiles/RI-rhode-island.json</x:v>
      </x:c>
    </x:row>
    <x:row r="250">
      <x:c r="A250" s="55" t="str">
        <x:v>Rhode Island</x:v>
      </x:c>
      <x:c r="B250" s="142" t="str">
        <x:v>RI</x:v>
      </x:c>
      <x:c r="C250" s="142" t="str">
        <x:v>path-e-filed-complaint-relief-under-12-10-12</x:v>
      </x:c>
      <x:c r="D250" s="142" t="str">
        <x:v>Path E — Filed-complaint relief under § 12-10-12</x:v>
      </x:c>
      <x:c r="E250" s="142" t="str">
        <x:v>packet_ready_with_caution</x:v>
      </x:c>
      <x:c r="F250" s="142" t="str">
        <x:v>Filing path</x:v>
      </x:c>
      <x:c r="G250" s="56" t="str">
        <x:v>https://github.com/Roger-LegalEase/legalease-partner-dashboard-clean/blob/2f0ef0403f16e57544ad0bc86b2d1b1cd08861b3/src/lib/rcap-engine/compiled/profiles/RI-rhode-island.json</x:v>
      </x:c>
    </x:row>
    <x:row r="251">
      <x:c r="A251" s="55" t="str">
        <x:v>Rhode Island</x:v>
      </x:c>
      <x:c r="B251" s="142" t="str">
        <x:v>RI</x:v>
      </x:c>
      <x:c r="C251" s="142" t="str">
        <x:v>path-f-marijuana-possession-expungement</x:v>
      </x:c>
      <x:c r="D251" s="142" t="str">
        <x:v>Path F — Marijuana-possession expungement</x:v>
      </x:c>
      <x:c r="E251" s="142" t="str">
        <x:v>packet_ready_with_caution</x:v>
      </x:c>
      <x:c r="F251" s="142" t="str">
        <x:v>Filing path</x:v>
      </x:c>
      <x:c r="G251" s="56" t="str">
        <x:v>https://github.com/Roger-LegalEase/legalease-partner-dashboard-clean/blob/2f0ef0403f16e57544ad0bc86b2d1b1cd08861b3/src/lib/rcap-engine/compiled/profiles/RI-rhode-island.json</x:v>
      </x:c>
    </x:row>
    <x:row r="252">
      <x:c r="A252" s="55" t="str">
        <x:v>Rhode Island</x:v>
      </x:c>
      <x:c r="B252" s="142" t="str">
        <x:v>RI</x:v>
      </x:c>
      <x:c r="C252" s="142" t="str">
        <x:v>path-g-decriminalized-offense-expungement</x:v>
      </x:c>
      <x:c r="D252" s="142" t="str">
        <x:v>Path G — Decriminalized-offense expungement</x:v>
      </x:c>
      <x:c r="E252" s="142" t="str">
        <x:v>packet_ready_with_caution</x:v>
      </x:c>
      <x:c r="F252" s="142" t="str">
        <x:v>Filing path</x:v>
      </x:c>
      <x:c r="G252" s="56" t="str">
        <x:v>https://github.com/Roger-LegalEase/legalease-partner-dashboard-clean/blob/2f0ef0403f16e57544ad0bc86b2d1b1cd08861b3/src/lib/rcap-engine/compiled/profiles/RI-rhode-island.json</x:v>
      </x:c>
    </x:row>
    <x:row r="253">
      <x:c r="A253" s="55" t="str">
        <x:v>Rhode Island</x:v>
      </x:c>
      <x:c r="B253" s="142" t="str">
        <x:v>RI</x:v>
      </x:c>
      <x:c r="C253" s="142" t="str">
        <x:v>path-h-commercial-sexual-activity-related-expungement</x:v>
      </x:c>
      <x:c r="D253" s="142" t="str">
        <x:v>Path H — Commercial-sexual-activity-related expungement</x:v>
      </x:c>
      <x:c r="E253" s="142" t="str">
        <x:v>packet_ready_with_caution</x:v>
      </x:c>
      <x:c r="F253" s="142" t="str">
        <x:v>Filing path</x:v>
      </x:c>
      <x:c r="G253" s="56" t="str">
        <x:v>https://github.com/Roger-LegalEase/legalease-partner-dashboard-clean/blob/2f0ef0403f16e57544ad0bc86b2d1b1cd08861b3/src/lib/rcap-engine/compiled/profiles/RI-rhode-island.json</x:v>
      </x:c>
    </x:row>
    <x:row r="254">
      <x:c r="A254" s="55" t="str">
        <x:v>South Carolina</x:v>
      </x:c>
      <x:c r="B254" s="142" t="str">
        <x:v>SC</x:v>
      </x:c>
      <x:c r="C254" s="142" t="str">
        <x:v>general-sessions-non-conviction-expungement</x:v>
      </x:c>
      <x:c r="D254" s="142" t="str">
        <x:v>General Sessions non-conviction expungement</x:v>
      </x:c>
      <x:c r="E254" s="142" t="str">
        <x:v>packet_ready_with_caution</x:v>
      </x:c>
      <x:c r="F254" s="142" t="str">
        <x:v>Filing path</x:v>
      </x:c>
      <x:c r="G254" s="56" t="str">
        <x:v>https://github.com/Roger-LegalEase/legalease-partner-dashboard-clean/blob/2f0ef0403f16e57544ad0bc86b2d1b1cd08861b3/src/lib/rcap-engine/compiled/profiles/SC-south-carolina.json</x:v>
      </x:c>
    </x:row>
    <x:row r="255">
      <x:c r="A255" s="55" t="str">
        <x:v>South Carolina</x:v>
      </x:c>
      <x:c r="B255" s="142" t="str">
        <x:v>SC</x:v>
      </x:c>
      <x:c r="C255" s="142" t="str">
        <x:v>summary-court-non-conviction-expungement</x:v>
      </x:c>
      <x:c r="D255" s="142" t="str">
        <x:v>Summary-court non-conviction expungement</x:v>
      </x:c>
      <x:c r="E255" s="142" t="str">
        <x:v>packet_ready_with_caution</x:v>
      </x:c>
      <x:c r="F255" s="142" t="str">
        <x:v>Filing path</x:v>
      </x:c>
      <x:c r="G255" s="56" t="str">
        <x:v>https://github.com/Roger-LegalEase/legalease-partner-dashboard-clean/blob/2f0ef0403f16e57544ad0bc86b2d1b1cd08861b3/src/lib/rcap-engine/compiled/profiles/SC-south-carolina.json</x:v>
      </x:c>
    </x:row>
    <x:row r="256">
      <x:c r="A256" s="55" t="str">
        <x:v>South Carolina</x:v>
      </x:c>
      <x:c r="B256" s="142" t="str">
        <x:v>SC</x:v>
      </x:c>
      <x:c r="C256" s="142" t="str">
        <x:v>diversion-or-program-completion-expungement</x:v>
      </x:c>
      <x:c r="D256" s="142" t="str">
        <x:v>Diversion or program-completion expungement</x:v>
      </x:c>
      <x:c r="E256" s="142" t="str">
        <x:v>packet_ready_with_caution</x:v>
      </x:c>
      <x:c r="F256" s="142" t="str">
        <x:v>Filing path</x:v>
      </x:c>
      <x:c r="G256" s="56" t="str">
        <x:v>https://github.com/Roger-LegalEase/legalease-partner-dashboard-clean/blob/2f0ef0403f16e57544ad0bc86b2d1b1cd08861b3/src/lib/rcap-engine/compiled/profiles/SC-south-carolina.json</x:v>
      </x:c>
    </x:row>
    <x:row r="257">
      <x:c r="A257" s="55" t="str">
        <x:v>South Carolina</x:v>
      </x:c>
      <x:c r="B257" s="142" t="str">
        <x:v>SC</x:v>
      </x:c>
      <x:c r="C257" s="142" t="str">
        <x:v>eligible-conviction-expungement</x:v>
      </x:c>
      <x:c r="D257" s="142" t="str">
        <x:v>Eligible conviction expungement</x:v>
      </x:c>
      <x:c r="E257" s="142" t="str">
        <x:v>packet_ready_with_caution</x:v>
      </x:c>
      <x:c r="F257" s="142" t="str">
        <x:v>Filing path</x:v>
      </x:c>
      <x:c r="G257" s="56" t="str">
        <x:v>https://github.com/Roger-LegalEase/legalease-partner-dashboard-clean/blob/2f0ef0403f16e57544ad0bc86b2d1b1cd08861b3/src/lib/rcap-engine/compiled/profiles/SC-south-carolina.json</x:v>
      </x:c>
    </x:row>
    <x:row r="258">
      <x:c r="A258" s="55" t="str">
        <x:v>South Carolina</x:v>
      </x:c>
      <x:c r="B258" s="142" t="str">
        <x:v>SC</x:v>
      </x:c>
      <x:c r="C258" s="142" t="str">
        <x:v>human-trafficking-survivor-expungement</x:v>
      </x:c>
      <x:c r="D258" s="142" t="str">
        <x:v>Human-trafficking-survivor expungement</x:v>
      </x:c>
      <x:c r="E258" s="142" t="str">
        <x:v>packet_ready_with_caution</x:v>
      </x:c>
      <x:c r="F258" s="142" t="str">
        <x:v>Filing path</x:v>
      </x:c>
      <x:c r="G258" s="56" t="str">
        <x:v>https://github.com/Roger-LegalEase/legalease-partner-dashboard-clean/blob/2f0ef0403f16e57544ad0bc86b2d1b1cd08861b3/src/lib/rcap-engine/compiled/profiles/SC-south-carolina.json</x:v>
      </x:c>
    </x:row>
    <x:row r="259">
      <x:c r="A259" s="55" t="str">
        <x:v>South Carolina</x:v>
      </x:c>
      <x:c r="B259" s="142" t="str">
        <x:v>SC</x:v>
      </x:c>
      <x:c r="C259" s="142" t="str">
        <x:v>juvenile-expungement</x:v>
      </x:c>
      <x:c r="D259" s="142" t="str">
        <x:v>Juvenile expungement</x:v>
      </x:c>
      <x:c r="E259" s="142" t="str">
        <x:v>packet_ready_with_caution</x:v>
      </x:c>
      <x:c r="F259" s="142" t="str">
        <x:v>Filing path</x:v>
      </x:c>
      <x:c r="G259" s="56" t="str">
        <x:v>https://github.com/Roger-LegalEase/legalease-partner-dashboard-clean/blob/2f0ef0403f16e57544ad0bc86b2d1b1cd08861b3/src/lib/rcap-engine/compiled/profiles/SC-south-carolina.json</x:v>
      </x:c>
    </x:row>
    <x:row r="260">
      <x:c r="A260" s="55" t="str">
        <x:v>South Carolina</x:v>
      </x:c>
      <x:c r="B260" s="142" t="str">
        <x:v>SC</x:v>
      </x:c>
      <x:c r="C260" s="142" t="str">
        <x:v>pardon-guidance-for-otherwise-ineligible-convictions</x:v>
      </x:c>
      <x:c r="D260" s="142" t="str">
        <x:v>Pardon guidance for otherwise ineligible convictions</x:v>
      </x:c>
      <x:c r="E260" s="142" t="str">
        <x:v>guidance_only</x:v>
      </x:c>
      <x:c r="F260" s="142" t="str">
        <x:v>No filing / verification</x:v>
      </x:c>
      <x:c r="G260" s="56" t="str">
        <x:v>https://github.com/Roger-LegalEase/legalease-partner-dashboard-clean/blob/2f0ef0403f16e57544ad0bc86b2d1b1cd08861b3/src/lib/rcap-engine/compiled/profiles/SC-south-carolina.json</x:v>
      </x:c>
    </x:row>
    <x:row r="261">
      <x:c r="A261" s="55" t="str">
        <x:v>South Dakota</x:v>
      </x:c>
      <x:c r="B261" s="142" t="str">
        <x:v>SD</x:v>
      </x:c>
      <x:c r="C261" s="142" t="str">
        <x:v>adult-arrest-record-expungement-under-sdcl-23a-3-27</x:v>
      </x:c>
      <x:c r="D261" s="142" t="str">
        <x:v>Adult arrest-record expungement under SDCL § 23A-3-27</x:v>
      </x:c>
      <x:c r="E261" s="142" t="str">
        <x:v>packet_ready_with_caution</x:v>
      </x:c>
      <x:c r="F261" s="142" t="str">
        <x:v>Filing path</x:v>
      </x:c>
      <x:c r="G261" s="56" t="str">
        <x:v>https://github.com/Roger-LegalEase/legalease-partner-dashboard-clean/blob/2f0ef0403f16e57544ad0bc86b2d1b1cd08861b3/src/lib/rcap-engine/compiled/profiles/SD-south-dakota.json</x:v>
      </x:c>
    </x:row>
    <x:row r="262">
      <x:c r="A262" s="55" t="str">
        <x:v>South Dakota</x:v>
      </x:c>
      <x:c r="B262" s="142" t="str">
        <x:v>SD</x:v>
      </x:c>
      <x:c r="C262" s="142" t="str">
        <x:v>diversion-expungement</x:v>
      </x:c>
      <x:c r="D262" s="142" t="str">
        <x:v>Diversion expungement</x:v>
      </x:c>
      <x:c r="E262" s="142" t="str">
        <x:v>packet_ready_with_caution</x:v>
      </x:c>
      <x:c r="F262" s="142" t="str">
        <x:v>Filing path</x:v>
      </x:c>
      <x:c r="G262" s="56" t="str">
        <x:v>https://github.com/Roger-LegalEase/legalease-partner-dashboard-clean/blob/2f0ef0403f16e57544ad0bc86b2d1b1cd08861b3/src/lib/rcap-engine/compiled/profiles/SD-south-dakota.json</x:v>
      </x:c>
    </x:row>
    <x:row r="263">
      <x:c r="A263" s="55" t="str">
        <x:v>South Dakota</x:v>
      </x:c>
      <x:c r="B263" s="142" t="str">
        <x:v>SD</x:v>
      </x:c>
      <x:c r="C263" s="142" t="str">
        <x:v>automatic-public-record-removal-for-petty-municipal-and-class-2-misdemeanor-cases</x:v>
      </x:c>
      <x:c r="D263" s="142" t="str">
        <x:v>Automatic public-record removal for petty, municipal, and Class 2 misdemeanor cases</x:v>
      </x:c>
      <x:c r="E263" s="142" t="str">
        <x:v>guidance_only</x:v>
      </x:c>
      <x:c r="F263" s="142" t="str">
        <x:v>No filing / verification</x:v>
      </x:c>
      <x:c r="G263" s="56" t="str">
        <x:v>https://github.com/Roger-LegalEase/legalease-partner-dashboard-clean/blob/2f0ef0403f16e57544ad0bc86b2d1b1cd08861b3/src/lib/rcap-engine/compiled/profiles/SD-south-dakota.json</x:v>
      </x:c>
    </x:row>
    <x:row r="264">
      <x:c r="A264" s="55" t="str">
        <x:v>South Dakota</x:v>
      </x:c>
      <x:c r="B264" s="142" t="str">
        <x:v>SD</x:v>
      </x:c>
      <x:c r="C264" s="142" t="str">
        <x:v>suspended-imposition-of-sentence-sealing</x:v>
      </x:c>
      <x:c r="D264" s="142" t="str">
        <x:v>Suspended-imposition-of-sentence sealing</x:v>
      </x:c>
      <x:c r="E264" s="142" t="str">
        <x:v>packet_ready_with_caution</x:v>
      </x:c>
      <x:c r="F264" s="142" t="str">
        <x:v>Filing path</x:v>
      </x:c>
      <x:c r="G264" s="56" t="str">
        <x:v>https://github.com/Roger-LegalEase/legalease-partner-dashboard-clean/blob/2f0ef0403f16e57544ad0bc86b2d1b1cd08861b3/src/lib/rcap-engine/compiled/profiles/SD-south-dakota.json</x:v>
      </x:c>
    </x:row>
    <x:row r="265">
      <x:c r="A265" s="55" t="str">
        <x:v>South Dakota</x:v>
      </x:c>
      <x:c r="B265" s="142" t="str">
        <x:v>SD</x:v>
      </x:c>
      <x:c r="C265" s="142" t="str">
        <x:v>controlled-substance-deferred-disposition-route</x:v>
      </x:c>
      <x:c r="D265" s="142" t="str">
        <x:v>Controlled-substance deferred-disposition route</x:v>
      </x:c>
      <x:c r="E265" s="142" t="str">
        <x:v>packet_ready_with_caution</x:v>
      </x:c>
      <x:c r="F265" s="142" t="str">
        <x:v>Filing path</x:v>
      </x:c>
      <x:c r="G265" s="56" t="str">
        <x:v>https://github.com/Roger-LegalEase/legalease-partner-dashboard-clean/blob/2f0ef0403f16e57544ad0bc86b2d1b1cd08861b3/src/lib/rcap-engine/compiled/profiles/SD-south-dakota.json</x:v>
      </x:c>
    </x:row>
    <x:row r="266">
      <x:c r="A266" s="55" t="str">
        <x:v>South Dakota</x:v>
      </x:c>
      <x:c r="B266" s="142" t="str">
        <x:v>SD</x:v>
      </x:c>
      <x:c r="C266" s="142" t="str">
        <x:v>pardon-based-sealing</x:v>
      </x:c>
      <x:c r="D266" s="142" t="str">
        <x:v>Pardon-based sealing</x:v>
      </x:c>
      <x:c r="E266" s="142" t="str">
        <x:v>packet_ready_with_caution</x:v>
      </x:c>
      <x:c r="F266" s="142" t="str">
        <x:v>Filing path</x:v>
      </x:c>
      <x:c r="G266" s="56" t="str">
        <x:v>https://github.com/Roger-LegalEase/legalease-partner-dashboard-clean/blob/2f0ef0403f16e57544ad0bc86b2d1b1cd08861b3/src/lib/rcap-engine/compiled/profiles/SD-south-dakota.json</x:v>
      </x:c>
    </x:row>
    <x:row r="267">
      <x:c r="A267" s="55" t="str">
        <x:v>South Dakota</x:v>
      </x:c>
      <x:c r="B267" s="142" t="str">
        <x:v>SD</x:v>
      </x:c>
      <x:c r="C267" s="142" t="str">
        <x:v>juvenile-delinquency-sealing</x:v>
      </x:c>
      <x:c r="D267" s="142" t="str">
        <x:v>Juvenile-delinquency sealing</x:v>
      </x:c>
      <x:c r="E267" s="142" t="str">
        <x:v>packet_ready_with_caution</x:v>
      </x:c>
      <x:c r="F267" s="142" t="str">
        <x:v>Filing path</x:v>
      </x:c>
      <x:c r="G267" s="56" t="str">
        <x:v>https://github.com/Roger-LegalEase/legalease-partner-dashboard-clean/blob/2f0ef0403f16e57544ad0bc86b2d1b1cd08861b3/src/lib/rcap-engine/compiled/profiles/SD-south-dakota.json</x:v>
      </x:c>
    </x:row>
    <x:row r="268">
      <x:c r="A268" s="55" t="str">
        <x:v>South Dakota</x:v>
      </x:c>
      <x:c r="B268" s="142" t="str">
        <x:v>SD</x:v>
      </x:c>
      <x:c r="C268" s="142" t="str">
        <x:v>juvenile-trafficking-expungement</x:v>
      </x:c>
      <x:c r="D268" s="142" t="str">
        <x:v>Juvenile-trafficking expungement</x:v>
      </x:c>
      <x:c r="E268" s="142" t="str">
        <x:v>packet_ready_with_caution</x:v>
      </x:c>
      <x:c r="F268" s="142" t="str">
        <x:v>Filing path</x:v>
      </x:c>
      <x:c r="G268" s="56" t="str">
        <x:v>https://github.com/Roger-LegalEase/legalease-partner-dashboard-clean/blob/2f0ef0403f16e57544ad0bc86b2d1b1cd08861b3/src/lib/rcap-engine/compiled/profiles/SD-south-dakota.json</x:v>
      </x:c>
    </x:row>
    <x:row r="269">
      <x:c r="A269" s="55" t="str">
        <x:v>Tennessee</x:v>
      </x:c>
      <x:c r="B269" s="142" t="str">
        <x:v>TN</x:v>
      </x:c>
      <x:c r="C269" s="142" t="str">
        <x:v>pathway-1-free-non-conviction-expunction-under-tenn-code-40-32-101-a-40-32-106</x:v>
      </x:c>
      <x:c r="D269" s="142" t="str">
        <x:v>Pathway 1 — Free non-conviction expunction under Tenn. Code §§ 40-32-101(a) / 40-32-106</x:v>
      </x:c>
      <x:c r="E269" s="142" t="str">
        <x:v>packet_ready_with_caution</x:v>
      </x:c>
      <x:c r="F269" s="142" t="str">
        <x:v>Filing path</x:v>
      </x:c>
      <x:c r="G269" s="56" t="str">
        <x:v>https://github.com/Roger-LegalEase/legalease-partner-dashboard-clean/blob/2f0ef0403f16e57544ad0bc86b2d1b1cd08861b3/src/lib/rcap-engine/compiled/profiles/TN-tennessee.json</x:v>
      </x:c>
    </x:row>
    <x:row r="270">
      <x:c r="A270" s="55" t="str">
        <x:v>Tennessee</x:v>
      </x:c>
      <x:c r="B270" s="142" t="str">
        <x:v>TN</x:v>
      </x:c>
      <x:c r="C270" s="142" t="str">
        <x:v>pathway-2-diversion-expunction-under-40-15-105-40-35-313</x:v>
      </x:c>
      <x:c r="D270" s="142" t="str">
        <x:v>Pathway 2 — Diversion expunction under §§ 40-15-105 / 40-35-313</x:v>
      </x:c>
      <x:c r="E270" s="142" t="str">
        <x:v>packet_ready_with_caution</x:v>
      </x:c>
      <x:c r="F270" s="142" t="str">
        <x:v>Filing path</x:v>
      </x:c>
      <x:c r="G270" s="56" t="str">
        <x:v>https://github.com/Roger-LegalEase/legalease-partner-dashboard-clean/blob/2f0ef0403f16e57544ad0bc86b2d1b1cd08861b3/src/lib/rcap-engine/compiled/profiles/TN-tennessee.json</x:v>
      </x:c>
    </x:row>
    <x:row r="271">
      <x:c r="A271" s="55" t="str">
        <x:v>Tennessee</x:v>
      </x:c>
      <x:c r="B271" s="142" t="str">
        <x:v>TN</x:v>
      </x:c>
      <x:c r="C271" s="142" t="str">
        <x:v>pathway-3-eligible-conviction-expunction-under-40-32-101-g-40-32-107</x:v>
      </x:c>
      <x:c r="D271" s="142" t="str">
        <x:v>Pathway 3 — Eligible-conviction expunction under §§ 40-32-101(g) / 40-32-107</x:v>
      </x:c>
      <x:c r="E271" s="142" t="str">
        <x:v>packet_ready_with_caution</x:v>
      </x:c>
      <x:c r="F271" s="142" t="str">
        <x:v>Filing path</x:v>
      </x:c>
      <x:c r="G271" s="56" t="str">
        <x:v>https://github.com/Roger-LegalEase/legalease-partner-dashboard-clean/blob/2f0ef0403f16e57544ad0bc86b2d1b1cd08861b3/src/lib/rcap-engine/compiled/profiles/TN-tennessee.json</x:v>
      </x:c>
    </x:row>
    <x:row r="272">
      <x:c r="A272" s="55" t="str">
        <x:v>Tennessee</x:v>
      </x:c>
      <x:c r="B272" s="142" t="str">
        <x:v>TN</x:v>
      </x:c>
      <x:c r="C272" s="142" t="str">
        <x:v>pathway-4-two-offense-expunction-under-40-32-101-k</x:v>
      </x:c>
      <x:c r="D272" s="142" t="str">
        <x:v>Pathway 4 — Two-offense expunction under § 40-32-101(k)</x:v>
      </x:c>
      <x:c r="E272" s="142" t="str">
        <x:v>packet_ready_with_caution</x:v>
      </x:c>
      <x:c r="F272" s="142" t="str">
        <x:v>Filing path</x:v>
      </x:c>
      <x:c r="G272" s="56" t="str">
        <x:v>https://github.com/Roger-LegalEase/legalease-partner-dashboard-clean/blob/2f0ef0403f16e57544ad0bc86b2d1b1cd08861b3/src/lib/rcap-engine/compiled/profiles/TN-tennessee.json</x:v>
      </x:c>
    </x:row>
    <x:row r="273">
      <x:c r="A273" s="55" t="str">
        <x:v>Texas</x:v>
      </x:c>
      <x:c r="B273" s="142" t="str">
        <x:v>TX</x:v>
      </x:c>
      <x:c r="C273" s="142" t="str">
        <x:v>expunction-after-acquittal-not-guilty-disposition-chapter-55a</x:v>
      </x:c>
      <x:c r="D273" s="142" t="str">
        <x:v>Expunction after acquittal / not-guilty disposition (Chapter 55A)</x:v>
      </x:c>
      <x:c r="E273" s="142" t="str">
        <x:v>packet_ready_with_caution</x:v>
      </x:c>
      <x:c r="F273" s="142" t="str">
        <x:v>Filing path</x:v>
      </x:c>
      <x:c r="G273" s="56" t="str">
        <x:v>https://github.com/Roger-LegalEase/legalease-partner-dashboard-clean/blob/2f0ef0403f16e57544ad0bc86b2d1b1cd08861b3/src/lib/rcap-engine/compiled/profiles/TX-texas.json</x:v>
      </x:c>
    </x:row>
    <x:row r="274">
      <x:c r="A274" s="55" t="str">
        <x:v>Texas</x:v>
      </x:c>
      <x:c r="B274" s="142" t="str">
        <x:v>TX</x:v>
      </x:c>
      <x:c r="C274" s="142" t="str">
        <x:v>expunction-for-arrest-with-no-charge-filed-after-the-limitations-period</x:v>
      </x:c>
      <x:c r="D274" s="142" t="str">
        <x:v>Expunction for arrest with no charge filed after the limitations period</x:v>
      </x:c>
      <x:c r="E274" s="142" t="str">
        <x:v>packet_ready_with_caution</x:v>
      </x:c>
      <x:c r="F274" s="142" t="str">
        <x:v>Filing path</x:v>
      </x:c>
      <x:c r="G274" s="56" t="str">
        <x:v>https://github.com/Roger-LegalEase/legalease-partner-dashboard-clean/blob/2f0ef0403f16e57544ad0bc86b2d1b1cd08861b3/src/lib/rcap-engine/compiled/profiles/TX-texas.json</x:v>
      </x:c>
    </x:row>
    <x:row r="275">
      <x:c r="A275" s="55" t="str">
        <x:v>Texas</x:v>
      </x:c>
      <x:c r="B275" s="142" t="str">
        <x:v>TX</x:v>
      </x:c>
      <x:c r="C275" s="142" t="str">
        <x:v>expunction-after-qualifying-dismissal-or-quash</x:v>
      </x:c>
      <x:c r="D275" s="142" t="str">
        <x:v>Expunction after qualifying dismissal or quash</x:v>
      </x:c>
      <x:c r="E275" s="142" t="str">
        <x:v>packet_ready_with_caution</x:v>
      </x:c>
      <x:c r="F275" s="142" t="str">
        <x:v>Filing path</x:v>
      </x:c>
      <x:c r="G275" s="56" t="str">
        <x:v>https://github.com/Roger-LegalEase/legalease-partner-dashboard-clean/blob/2f0ef0403f16e57544ad0bc86b2d1b1cd08861b3/src/lib/rcap-engine/compiled/profiles/TX-texas.json</x:v>
      </x:c>
    </x:row>
    <x:row r="276">
      <x:c r="A276" s="55" t="str">
        <x:v>Texas</x:v>
      </x:c>
      <x:c r="B276" s="142" t="str">
        <x:v>TX</x:v>
      </x:c>
      <x:c r="C276" s="142" t="str">
        <x:v>expunction-after-pardon-or-actual-innocence-relief</x:v>
      </x:c>
      <x:c r="D276" s="142" t="str">
        <x:v>Expunction after pardon or actual-innocence relief</x:v>
      </x:c>
      <x:c r="E276" s="142" t="str">
        <x:v>packet_ready_with_caution</x:v>
      </x:c>
      <x:c r="F276" s="142" t="str">
        <x:v>Filing path</x:v>
      </x:c>
      <x:c r="G276" s="56" t="str">
        <x:v>https://github.com/Roger-LegalEase/legalease-partner-dashboard-clean/blob/2f0ef0403f16e57544ad0bc86b2d1b1cd08861b3/src/lib/rcap-engine/compiled/profiles/TX-texas.json</x:v>
      </x:c>
    </x:row>
    <x:row r="277">
      <x:c r="A277" s="55" t="str">
        <x:v>Texas</x:v>
      </x:c>
      <x:c r="B277" s="142" t="str">
        <x:v>TX</x:v>
      </x:c>
      <x:c r="C277" s="142" t="str">
        <x:v>expunction-after-qualifying-class-c-deferred-disposition</x:v>
      </x:c>
      <x:c r="D277" s="142" t="str">
        <x:v>Expunction after qualifying Class C deferred disposition</x:v>
      </x:c>
      <x:c r="E277" s="142" t="str">
        <x:v>packet_ready_with_caution</x:v>
      </x:c>
      <x:c r="F277" s="142" t="str">
        <x:v>Filing path</x:v>
      </x:c>
      <x:c r="G277" s="56" t="str">
        <x:v>https://github.com/Roger-LegalEase/legalease-partner-dashboard-clean/blob/2f0ef0403f16e57544ad0bc86b2d1b1cd08861b3/src/lib/rcap-engine/compiled/profiles/TX-texas.json</x:v>
      </x:c>
    </x:row>
    <x:row r="278">
      <x:c r="A278" s="55" t="str">
        <x:v>Texas</x:v>
      </x:c>
      <x:c r="B278" s="142" t="str">
        <x:v>TX</x:v>
      </x:c>
      <x:c r="C278" s="142" t="str">
        <x:v>automatic-nondisclosure-for-qualifying-nonviolent-misdemeanor-deferred-adjudication-411-07</x:v>
      </x:c>
      <x:c r="D278" s="142" t="str">
        <x:v>Automatic nondisclosure for qualifying nonviolent misdemeanor deferred adjudication (§ 411.072)</x:v>
      </x:c>
      <x:c r="E278" s="142" t="str">
        <x:v>guidance_only</x:v>
      </x:c>
      <x:c r="F278" s="142" t="str">
        <x:v>No filing / verification</x:v>
      </x:c>
      <x:c r="G278" s="56" t="str">
        <x:v>https://github.com/Roger-LegalEase/legalease-partner-dashboard-clean/blob/2f0ef0403f16e57544ad0bc86b2d1b1cd08861b3/src/lib/rcap-engine/compiled/profiles/TX-texas.json</x:v>
      </x:c>
    </x:row>
    <x:row r="279">
      <x:c r="A279" s="55" t="str">
        <x:v>Texas</x:v>
      </x:c>
      <x:c r="B279" s="142" t="str">
        <x:v>TX</x:v>
      </x:c>
      <x:c r="C279" s="142" t="str">
        <x:v>petitioned-nondisclosure-after-completed-deferred-adjudication-411-0725</x:v>
      </x:c>
      <x:c r="D279" s="142" t="str">
        <x:v>Petitioned nondisclosure after completed deferred adjudication (§ 411.0725)</x:v>
      </x:c>
      <x:c r="E279" s="142" t="str">
        <x:v>packet_ready_with_caution</x:v>
      </x:c>
      <x:c r="F279" s="142" t="str">
        <x:v>Filing path</x:v>
      </x:c>
      <x:c r="G279" s="56" t="str">
        <x:v>https://github.com/Roger-LegalEase/legalease-partner-dashboard-clean/blob/2f0ef0403f16e57544ad0bc86b2d1b1cd08861b3/src/lib/rcap-engine/compiled/profiles/TX-texas.json</x:v>
      </x:c>
    </x:row>
    <x:row r="280">
      <x:c r="A280" s="55" t="str">
        <x:v>Texas</x:v>
      </x:c>
      <x:c r="B280" s="142" t="str">
        <x:v>TX</x:v>
      </x:c>
      <x:c r="C280" s="142" t="str">
        <x:v>petitioned-nondisclosure-for-an-eligible-conviction-411-0735</x:v>
      </x:c>
      <x:c r="D280" s="142" t="str">
        <x:v>Petitioned nondisclosure for an eligible conviction (§ 411.0735)</x:v>
      </x:c>
      <x:c r="E280" s="142" t="str">
        <x:v>packet_ready_with_caution</x:v>
      </x:c>
      <x:c r="F280" s="142" t="str">
        <x:v>Filing path</x:v>
      </x:c>
      <x:c r="G280" s="56" t="str">
        <x:v>https://github.com/Roger-LegalEase/legalease-partner-dashboard-clean/blob/2f0ef0403f16e57544ad0bc86b2d1b1cd08861b3/src/lib/rcap-engine/compiled/profiles/TX-texas.json</x:v>
      </x:c>
    </x:row>
    <x:row r="281">
      <x:c r="A281" s="55" t="str">
        <x:v>Texas</x:v>
      </x:c>
      <x:c r="B281" s="142" t="str">
        <x:v>TX</x:v>
      </x:c>
      <x:c r="C281" s="142" t="str">
        <x:v>first-offense-dwi-nondisclosure</x:v>
      </x:c>
      <x:c r="D281" s="142" t="str">
        <x:v>First-offense DWI nondisclosure</x:v>
      </x:c>
      <x:c r="E281" s="142" t="str">
        <x:v>packet_ready_with_caution</x:v>
      </x:c>
      <x:c r="F281" s="142" t="str">
        <x:v>Filing path</x:v>
      </x:c>
      <x:c r="G281" s="56" t="str">
        <x:v>https://github.com/Roger-LegalEase/legalease-partner-dashboard-clean/blob/2f0ef0403f16e57544ad0bc86b2d1b1cd08861b3/src/lib/rcap-engine/compiled/profiles/TX-texas.json</x:v>
      </x:c>
    </x:row>
    <x:row r="282">
      <x:c r="A282" s="55" t="str">
        <x:v>Utah</x:v>
      </x:c>
      <x:c r="B282" s="142" t="str">
        <x:v>UT</x:v>
      </x:c>
      <x:c r="C282" s="142" t="str">
        <x:v>path-a-automatic-clean-slate-expungement</x:v>
      </x:c>
      <x:c r="D282" s="142" t="str">
        <x:v>Path A — Automatic Clean Slate expungement</x:v>
      </x:c>
      <x:c r="E282" s="142" t="str">
        <x:v>guidance_only</x:v>
      </x:c>
      <x:c r="F282" s="142" t="str">
        <x:v>No filing / verification</x:v>
      </x:c>
      <x:c r="G282" s="56" t="str">
        <x:v>https://github.com/Roger-LegalEase/legalease-partner-dashboard-clean/blob/2f0ef0403f16e57544ad0bc86b2d1b1cd08861b3/src/lib/rcap-engine/compiled/profiles/UT-utah.json</x:v>
      </x:c>
    </x:row>
    <x:row r="283">
      <x:c r="A283" s="55" t="str">
        <x:v>Utah</x:v>
      </x:c>
      <x:c r="B283" s="142" t="str">
        <x:v>UT</x:v>
      </x:c>
      <x:c r="C283" s="142" t="str">
        <x:v>path-b-automatic-expungement-after-acquittal-or-dismissal-with-prejudice</x:v>
      </x:c>
      <x:c r="D283" s="142" t="str">
        <x:v>Path B — Automatic expungement after acquittal or dismissal with prejudice</x:v>
      </x:c>
      <x:c r="E283" s="142" t="str">
        <x:v>guidance_only</x:v>
      </x:c>
      <x:c r="F283" s="142" t="str">
        <x:v>No filing / verification</x:v>
      </x:c>
      <x:c r="G283" s="56" t="str">
        <x:v>https://github.com/Roger-LegalEase/legalease-partner-dashboard-clean/blob/2f0ef0403f16e57544ad0bc86b2d1b1cd08861b3/src/lib/rcap-engine/compiled/profiles/UT-utah.json</x:v>
      </x:c>
    </x:row>
    <x:row r="284">
      <x:c r="A284" s="55" t="str">
        <x:v>Utah</x:v>
      </x:c>
      <x:c r="B284" s="142" t="str">
        <x:v>UT</x:v>
      </x:c>
      <x:c r="C284" s="142" t="str">
        <x:v>path-c-clean-slate-eligible-convictions-and-plea-in-abeyance-dismissals</x:v>
      </x:c>
      <x:c r="D284" s="142" t="str">
        <x:v>Path C — Clean Slate eligible convictions and plea-in-abeyance dismissals</x:v>
      </x:c>
      <x:c r="E284" s="142" t="str">
        <x:v>guidance_only</x:v>
      </x:c>
      <x:c r="F284" s="142" t="str">
        <x:v>No filing / verification</x:v>
      </x:c>
      <x:c r="G284" s="56" t="str">
        <x:v>https://github.com/Roger-LegalEase/legalease-partner-dashboard-clean/blob/2f0ef0403f16e57544ad0bc86b2d1b1cd08861b3/src/lib/rcap-engine/compiled/profiles/UT-utah.json</x:v>
      </x:c>
    </x:row>
    <x:row r="285">
      <x:c r="A285" s="55" t="str">
        <x:v>Utah</x:v>
      </x:c>
      <x:c r="B285" s="142" t="str">
        <x:v>UT</x:v>
      </x:c>
      <x:c r="C285" s="142" t="str">
        <x:v>path-d-petition-based-expungement-with-a-bci-certificate-of-eligibility</x:v>
      </x:c>
      <x:c r="D285" s="142" t="str">
        <x:v>Path D — Petition-based expungement with a BCI Certificate of Eligibility</x:v>
      </x:c>
      <x:c r="E285" s="142" t="str">
        <x:v>packet_ready_with_caution</x:v>
      </x:c>
      <x:c r="F285" s="142" t="str">
        <x:v>Filing path</x:v>
      </x:c>
      <x:c r="G285" s="56" t="str">
        <x:v>https://github.com/Roger-LegalEase/legalease-partner-dashboard-clean/blob/2f0ef0403f16e57544ad0bc86b2d1b1cd08861b3/src/lib/rcap-engine/compiled/profiles/UT-utah.json</x:v>
      </x:c>
    </x:row>
    <x:row r="286">
      <x:c r="A286" s="55" t="str">
        <x:v>Utah</x:v>
      </x:c>
      <x:c r="B286" s="142" t="str">
        <x:v>UT</x:v>
      </x:c>
      <x:c r="C286" s="142" t="str">
        <x:v>path-e-petition-based-non-conviction-expungement</x:v>
      </x:c>
      <x:c r="D286" s="142" t="str">
        <x:v>Path E — Petition-based non-conviction expungement</x:v>
      </x:c>
      <x:c r="E286" s="142" t="str">
        <x:v>packet_ready_with_caution</x:v>
      </x:c>
      <x:c r="F286" s="142" t="str">
        <x:v>Filing path</x:v>
      </x:c>
      <x:c r="G286" s="56" t="str">
        <x:v>https://github.com/Roger-LegalEase/legalease-partner-dashboard-clean/blob/2f0ef0403f16e57544ad0bc86b2d1b1cd08861b3/src/lib/rcap-engine/compiled/profiles/UT-utah.json</x:v>
      </x:c>
    </x:row>
    <x:row r="287">
      <x:c r="A287" s="55" t="str">
        <x:v>Utah</x:v>
      </x:c>
      <x:c r="B287" s="142" t="str">
        <x:v>UT</x:v>
      </x:c>
      <x:c r="C287" s="142" t="str">
        <x:v>path-f-petition-based-conviction-expungement</x:v>
      </x:c>
      <x:c r="D287" s="142" t="str">
        <x:v>Path F — Petition-based conviction expungement</x:v>
      </x:c>
      <x:c r="E287" s="142" t="str">
        <x:v>packet_ready_with_caution</x:v>
      </x:c>
      <x:c r="F287" s="142" t="str">
        <x:v>Filing path</x:v>
      </x:c>
      <x:c r="G287" s="56" t="str">
        <x:v>https://github.com/Roger-LegalEase/legalease-partner-dashboard-clean/blob/2f0ef0403f16e57544ad0bc86b2d1b1cd08861b3/src/lib/rcap-engine/compiled/profiles/UT-utah.json</x:v>
      </x:c>
    </x:row>
    <x:row r="288">
      <x:c r="A288" s="55" t="str">
        <x:v>Utah</x:v>
      </x:c>
      <x:c r="B288" s="142" t="str">
        <x:v>UT</x:v>
      </x:c>
      <x:c r="C288" s="142" t="str">
        <x:v>path-i-traffic-offense-expungement-or-deletion</x:v>
      </x:c>
      <x:c r="D288" s="142" t="str">
        <x:v>Path I — Traffic-offense expungement or deletion</x:v>
      </x:c>
      <x:c r="E288" s="142" t="str">
        <x:v>packet_ready_with_caution</x:v>
      </x:c>
      <x:c r="F288" s="142" t="str">
        <x:v>Filing path</x:v>
      </x:c>
      <x:c r="G288" s="56" t="str">
        <x:v>https://github.com/Roger-LegalEase/legalease-partner-dashboard-clean/blob/2f0ef0403f16e57544ad0bc86b2d1b1cd08861b3/src/lib/rcap-engine/compiled/profiles/UT-utah.json</x:v>
      </x:c>
    </x:row>
    <x:row r="289">
      <x:c r="A289" s="55" t="str">
        <x:v>Utah</x:v>
      </x:c>
      <x:c r="B289" s="142" t="str">
        <x:v>UT</x:v>
      </x:c>
      <x:c r="C289" s="142" t="str">
        <x:v>path-j-cannabis-possession-petition-without-a-bci-certificate</x:v>
      </x:c>
      <x:c r="D289" s="142" t="str">
        <x:v>Path J — Cannabis-possession petition without a BCI certificate</x:v>
      </x:c>
      <x:c r="E289" s="142" t="str">
        <x:v>packet_ready_with_caution</x:v>
      </x:c>
      <x:c r="F289" s="142" t="str">
        <x:v>Filing path</x:v>
      </x:c>
      <x:c r="G289" s="56" t="str">
        <x:v>https://github.com/Roger-LegalEase/legalease-partner-dashboard-clean/blob/2f0ef0403f16e57544ad0bc86b2d1b1cd08861b3/src/lib/rcap-engine/compiled/profiles/UT-utah.json</x:v>
      </x:c>
    </x:row>
    <x:row r="290">
      <x:c r="A290" s="55" t="str">
        <x:v>Utah</x:v>
      </x:c>
      <x:c r="B290" s="142" t="str">
        <x:v>UT</x:v>
      </x:c>
      <x:c r="C290" s="142" t="str">
        <x:v>path-k-pardon-based-expungement</x:v>
      </x:c>
      <x:c r="D290" s="142" t="str">
        <x:v>Path K — Pardon-based expungement</x:v>
      </x:c>
      <x:c r="E290" s="142" t="str">
        <x:v>packet_ready_with_caution</x:v>
      </x:c>
      <x:c r="F290" s="142" t="str">
        <x:v>Filing path</x:v>
      </x:c>
      <x:c r="G290" s="56" t="str">
        <x:v>https://github.com/Roger-LegalEase/legalease-partner-dashboard-clean/blob/2f0ef0403f16e57544ad0bc86b2d1b1cd08861b3/src/lib/rcap-engine/compiled/profiles/UT-utah.json</x:v>
      </x:c>
    </x:row>
    <x:row r="291">
      <x:c r="A291" s="55" t="str">
        <x:v>Utah</x:v>
      </x:c>
      <x:c r="B291" s="142" t="str">
        <x:v>UT</x:v>
      </x:c>
      <x:c r="C291" s="142" t="str">
        <x:v>path-l-vacatur-human-trafficking-related-expungement</x:v>
      </x:c>
      <x:c r="D291" s="142" t="str">
        <x:v>Path L — Vacatur / human-trafficking-related expungement</x:v>
      </x:c>
      <x:c r="E291" s="142" t="str">
        <x:v>packet_ready_with_caution</x:v>
      </x:c>
      <x:c r="F291" s="142" t="str">
        <x:v>Filing path</x:v>
      </x:c>
      <x:c r="G291" s="56" t="str">
        <x:v>https://github.com/Roger-LegalEase/legalease-partner-dashboard-clean/blob/2f0ef0403f16e57544ad0bc86b2d1b1cd08861b3/src/lib/rcap-engine/compiled/profiles/UT-utah.json</x:v>
      </x:c>
    </x:row>
    <x:row r="292">
      <x:c r="A292" s="55" t="str">
        <x:v>Utah</x:v>
      </x:c>
      <x:c r="B292" s="142" t="str">
        <x:v>UT</x:v>
      </x:c>
      <x:c r="C292" s="142" t="str">
        <x:v>path-m-juvenile-expungement</x:v>
      </x:c>
      <x:c r="D292" s="142" t="str">
        <x:v>Path M — Juvenile expungement</x:v>
      </x:c>
      <x:c r="E292" s="142" t="str">
        <x:v>packet_ready_with_caution</x:v>
      </x:c>
      <x:c r="F292" s="142" t="str">
        <x:v>Filing path</x:v>
      </x:c>
      <x:c r="G292" s="56" t="str">
        <x:v>https://github.com/Roger-LegalEase/legalease-partner-dashboard-clean/blob/2f0ef0403f16e57544ad0bc86b2d1b1cd08861b3/src/lib/rcap-engine/compiled/profiles/UT-utah.json</x:v>
      </x:c>
    </x:row>
    <x:row r="293">
      <x:c r="A293" s="55" t="str">
        <x:v>Virginia</x:v>
      </x:c>
      <x:c r="B293" s="142" t="str">
        <x:v>VA</x:v>
      </x:c>
      <x:c r="C293" s="142" t="str">
        <x:v>regime-1-expungement-available-now</x:v>
      </x:c>
      <x:c r="D293" s="142" t="str">
        <x:v>Regime 1 — Expungement (§ 19.2-392.2), available now</x:v>
      </x:c>
      <x:c r="E293" s="142" t="str">
        <x:v>packet_ready_with_caution</x:v>
      </x:c>
      <x:c r="F293" s="142" t="str">
        <x:v>Filing path</x:v>
      </x:c>
      <x:c r="G293" s="56" t="str">
        <x:v>https://github.com/Roger-LegalEase/legalease-partner-dashboard-clean/blob/2f0ef0403f16e57544ad0bc86b2d1b1cd08861b3/src/lib/rcap-engine/compiled/profiles/VA-virginia.json</x:v>
      </x:c>
    </x:row>
    <x:row r="294">
      <x:c r="A294" s="55" t="str">
        <x:v>Virginia</x:v>
      </x:c>
      <x:c r="B294" s="142" t="str">
        <x:v>VA</x:v>
      </x:c>
      <x:c r="C294" s="142" t="str">
        <x:v>automatic-sealing-no-filing</x:v>
      </x:c>
      <x:c r="D294" s="142" t="str">
        <x:v>Automatic sealing (§ 19.2-392.7) — no filing</x:v>
      </x:c>
      <x:c r="E294" s="142" t="str">
        <x:v>guidance_only</x:v>
      </x:c>
      <x:c r="F294" s="142" t="str">
        <x:v>No filing / verification</x:v>
      </x:c>
      <x:c r="G294" s="56" t="str">
        <x:v>https://github.com/Roger-LegalEase/legalease-partner-dashboard-clean/blob/2f0ef0403f16e57544ad0bc86b2d1b1cd08861b3/src/lib/rcap-engine/compiled/profiles/VA-virginia.json</x:v>
      </x:c>
    </x:row>
    <x:row r="295">
      <x:c r="A295" s="55" t="str">
        <x:v>Virginia</x:v>
      </x:c>
      <x:c r="B295" s="142" t="str">
        <x:v>VA</x:v>
      </x:c>
      <x:c r="C295" s="142" t="str">
        <x:v>petition-based-sealing</x:v>
      </x:c>
      <x:c r="D295" s="142" t="str">
        <x:v>Petition-based sealing (§ 19.2-392.12 / .12:1)</x:v>
      </x:c>
      <x:c r="E295" s="142" t="str">
        <x:v>packet_ready_with_caution</x:v>
      </x:c>
      <x:c r="F295" s="142" t="str">
        <x:v>Filing path</x:v>
      </x:c>
      <x:c r="G295" s="56" t="str">
        <x:v>https://github.com/Roger-LegalEase/legalease-partner-dashboard-clean/blob/2f0ef0403f16e57544ad0bc86b2d1b1cd08861b3/src/lib/rcap-engine/compiled/profiles/VA-virginia.json</x:v>
      </x:c>
    </x:row>
    <x:row r="296">
      <x:c r="A296" s="55" t="str">
        <x:v>Vermont</x:v>
      </x:c>
      <x:c r="B296" s="142" t="str">
        <x:v>VT</x:v>
      </x:c>
      <x:c r="C296" s="142" t="str">
        <x:v>adult-conviction-expungement-narrow-statutory-route</x:v>
      </x:c>
      <x:c r="D296" s="142" t="str">
        <x:v>Adult conviction expungement — narrow statutory route</x:v>
      </x:c>
      <x:c r="E296" s="142" t="str">
        <x:v>packet_ready_with_caution</x:v>
      </x:c>
      <x:c r="F296" s="142" t="str">
        <x:v>Filing path</x:v>
      </x:c>
      <x:c r="G296" s="56" t="str">
        <x:v>https://github.com/Roger-LegalEase/legalease-partner-dashboard-clean/blob/2f0ef0403f16e57544ad0bc86b2d1b1cd08861b3/src/lib/rcap-engine/compiled/profiles/VT-vermont.json</x:v>
      </x:c>
    </x:row>
    <x:row r="297">
      <x:c r="A297" s="55" t="str">
        <x:v>Vermont</x:v>
      </x:c>
      <x:c r="B297" s="142" t="str">
        <x:v>VT</x:v>
      </x:c>
      <x:c r="C297" s="142" t="str">
        <x:v>adult-misdemeanor-conviction-sealing</x:v>
      </x:c>
      <x:c r="D297" s="142" t="str">
        <x:v>Adult misdemeanor-conviction sealing</x:v>
      </x:c>
      <x:c r="E297" s="142" t="str">
        <x:v>packet_ready_with_caution</x:v>
      </x:c>
      <x:c r="F297" s="142" t="str">
        <x:v>Filing path</x:v>
      </x:c>
      <x:c r="G297" s="56" t="str">
        <x:v>https://github.com/Roger-LegalEase/legalease-partner-dashboard-clean/blob/2f0ef0403f16e57544ad0bc86b2d1b1cd08861b3/src/lib/rcap-engine/compiled/profiles/VT-vermont.json</x:v>
      </x:c>
    </x:row>
    <x:row r="298">
      <x:c r="A298" s="55" t="str">
        <x:v>Vermont</x:v>
      </x:c>
      <x:c r="B298" s="142" t="str">
        <x:v>VT</x:v>
      </x:c>
      <x:c r="C298" s="142" t="str">
        <x:v>adult-felony-conviction-sealing</x:v>
      </x:c>
      <x:c r="D298" s="142" t="str">
        <x:v>Adult felony-conviction sealing</x:v>
      </x:c>
      <x:c r="E298" s="142" t="str">
        <x:v>packet_ready_with_caution</x:v>
      </x:c>
      <x:c r="F298" s="142" t="str">
        <x:v>Filing path</x:v>
      </x:c>
      <x:c r="G298" s="56" t="str">
        <x:v>https://github.com/Roger-LegalEase/legalease-partner-dashboard-clean/blob/2f0ef0403f16e57544ad0bc86b2d1b1cd08861b3/src/lib/rcap-engine/compiled/profiles/VT-vermont.json</x:v>
      </x:c>
    </x:row>
    <x:row r="299">
      <x:c r="A299" s="55" t="str">
        <x:v>Vermont</x:v>
      </x:c>
      <x:c r="B299" s="142" t="str">
        <x:v>VT</x:v>
      </x:c>
      <x:c r="C299" s="142" t="str">
        <x:v>dui-sealing</x:v>
      </x:c>
      <x:c r="D299" s="142" t="str">
        <x:v>DUI sealing</x:v>
      </x:c>
      <x:c r="E299" s="142" t="str">
        <x:v>packet_ready_with_caution</x:v>
      </x:c>
      <x:c r="F299" s="142" t="str">
        <x:v>Filing path</x:v>
      </x:c>
      <x:c r="G299" s="56" t="str">
        <x:v>https://github.com/Roger-LegalEase/legalease-partner-dashboard-clean/blob/2f0ef0403f16e57544ad0bc86b2d1b1cd08861b3/src/lib/rcap-engine/compiled/profiles/VT-vermont.json</x:v>
      </x:c>
    </x:row>
    <x:row r="300">
      <x:c r="A300" s="55" t="str">
        <x:v>Vermont</x:v>
      </x:c>
      <x:c r="B300" s="142" t="str">
        <x:v>VT</x:v>
      </x:c>
      <x:c r="C300" s="142" t="str">
        <x:v>non-conviction-sealing</x:v>
      </x:c>
      <x:c r="D300" s="142" t="str">
        <x:v>Non-conviction sealing</x:v>
      </x:c>
      <x:c r="E300" s="142" t="str">
        <x:v>packet_ready_with_caution</x:v>
      </x:c>
      <x:c r="F300" s="142" t="str">
        <x:v>Filing path</x:v>
      </x:c>
      <x:c r="G300" s="56" t="str">
        <x:v>https://github.com/Roger-LegalEase/legalease-partner-dashboard-clean/blob/2f0ef0403f16e57544ad0bc86b2d1b1cd08861b3/src/lib/rcap-engine/compiled/profiles/VT-vermont.json</x:v>
      </x:c>
    </x:row>
    <x:row r="301">
      <x:c r="A301" s="55" t="str">
        <x:v>Vermont</x:v>
      </x:c>
      <x:c r="B301" s="142" t="str">
        <x:v>VT</x:v>
      </x:c>
      <x:c r="C301" s="142" t="str">
        <x:v>young-adult-sealing-for-offenses-committed-at-ages-18-21</x:v>
      </x:c>
      <x:c r="D301" s="142" t="str">
        <x:v>Young-adult sealing for offenses committed at ages 18–21</x:v>
      </x:c>
      <x:c r="E301" s="142" t="str">
        <x:v>packet_ready_with_caution</x:v>
      </x:c>
      <x:c r="F301" s="142" t="str">
        <x:v>Filing path</x:v>
      </x:c>
      <x:c r="G301" s="56" t="str">
        <x:v>https://github.com/Roger-LegalEase/legalease-partner-dashboard-clean/blob/2f0ef0403f16e57544ad0bc86b2d1b1cd08861b3/src/lib/rcap-engine/compiled/profiles/VT-vermont.json</x:v>
      </x:c>
    </x:row>
    <x:row r="302">
      <x:c r="A302" s="55" t="str">
        <x:v>Vermont</x:v>
      </x:c>
      <x:c r="B302" s="142" t="str">
        <x:v>VT</x:v>
      </x:c>
      <x:c r="C302" s="142" t="str">
        <x:v>offense-before-age-25-sealing-under-33-v-s-a-5119-g</x:v>
      </x:c>
      <x:c r="D302" s="142" t="str">
        <x:v>Offense-before-age-25 sealing under 33 V.S.A. § 5119(g)</x:v>
      </x:c>
      <x:c r="E302" s="142" t="str">
        <x:v>packet_ready_with_caution</x:v>
      </x:c>
      <x:c r="F302" s="142" t="str">
        <x:v>Filing path</x:v>
      </x:c>
      <x:c r="G302" s="56" t="str">
        <x:v>https://github.com/Roger-LegalEase/legalease-partner-dashboard-clean/blob/2f0ef0403f16e57544ad0bc86b2d1b1cd08861b3/src/lib/rcap-engine/compiled/profiles/VT-vermont.json</x:v>
      </x:c>
    </x:row>
    <x:row r="303">
      <x:c r="A303" s="55" t="str">
        <x:v>Vermont</x:v>
      </x:c>
      <x:c r="B303" s="142" t="str">
        <x:v>VT</x:v>
      </x:c>
      <x:c r="C303" s="142" t="str">
        <x:v>juvenile-sealing</x:v>
      </x:c>
      <x:c r="D303" s="142" t="str">
        <x:v>Juvenile sealing</x:v>
      </x:c>
      <x:c r="E303" s="142" t="str">
        <x:v>packet_ready_with_caution</x:v>
      </x:c>
      <x:c r="F303" s="142" t="str">
        <x:v>Filing path</x:v>
      </x:c>
      <x:c r="G303" s="56" t="str">
        <x:v>https://github.com/Roger-LegalEase/legalease-partner-dashboard-clean/blob/2f0ef0403f16e57544ad0bc86b2d1b1cd08861b3/src/lib/rcap-engine/compiled/profiles/VT-vermont.json</x:v>
      </x:c>
    </x:row>
    <x:row r="304">
      <x:c r="A304" s="55" t="str">
        <x:v>Washington</x:v>
      </x:c>
      <x:c r="B304" s="142" t="str">
        <x:v>WA</x:v>
      </x:c>
      <x:c r="C304" s="142" t="str">
        <x:v>adult-misdemeanor-gross-misdemeanor-vacation-under-rcw-9-96-060</x:v>
      </x:c>
      <x:c r="D304" s="142" t="str">
        <x:v>Adult misdemeanor / gross-misdemeanor vacation under RCW 9.96.060</x:v>
      </x:c>
      <x:c r="E304" s="142" t="str">
        <x:v>packet_ready_with_caution</x:v>
      </x:c>
      <x:c r="F304" s="142" t="str">
        <x:v>Filing path</x:v>
      </x:c>
      <x:c r="G304" s="56" t="str">
        <x:v>https://github.com/Roger-LegalEase/legalease-partner-dashboard-clean/blob/2f0ef0403f16e57544ad0bc86b2d1b1cd08861b3/src/lib/rcap-engine/compiled/profiles/WA-washington.json</x:v>
      </x:c>
    </x:row>
    <x:row r="305">
      <x:c r="A305" s="55" t="str">
        <x:v>Washington</x:v>
      </x:c>
      <x:c r="B305" s="142" t="str">
        <x:v>WA</x:v>
      </x:c>
      <x:c r="C305" s="142" t="str">
        <x:v>adult-felony-vacation-under-rcw-9-94a-640</x:v>
      </x:c>
      <x:c r="D305" s="142" t="str">
        <x:v>Adult felony vacation under RCW 9.94A.640</x:v>
      </x:c>
      <x:c r="E305" s="142" t="str">
        <x:v>packet_ready_with_caution</x:v>
      </x:c>
      <x:c r="F305" s="142" t="str">
        <x:v>Filing path</x:v>
      </x:c>
      <x:c r="G305" s="56" t="str">
        <x:v>https://github.com/Roger-LegalEase/legalease-partner-dashboard-clean/blob/2f0ef0403f16e57544ad0bc86b2d1b1cd08861b3/src/lib/rcap-engine/compiled/profiles/WA-washington.json</x:v>
      </x:c>
    </x:row>
    <x:row r="306">
      <x:c r="A306" s="55" t="str">
        <x:v>Washington</x:v>
      </x:c>
      <x:c r="B306" s="142" t="str">
        <x:v>WA</x:v>
      </x:c>
      <x:c r="C306" s="142" t="str">
        <x:v>non-conviction-record-deletion-under-rcw-10-97-060</x:v>
      </x:c>
      <x:c r="D306" s="142" t="str">
        <x:v>Non-conviction record deletion under RCW 10.97.060</x:v>
      </x:c>
      <x:c r="E306" s="142" t="str">
        <x:v>packet_ready_with_caution</x:v>
      </x:c>
      <x:c r="F306" s="142" t="str">
        <x:v>Filing path</x:v>
      </x:c>
      <x:c r="G306" s="56" t="str">
        <x:v>https://github.com/Roger-LegalEase/legalease-partner-dashboard-clean/blob/2f0ef0403f16e57544ad0bc86b2d1b1cd08861b3/src/lib/rcap-engine/compiled/profiles/WA-washington.json</x:v>
      </x:c>
    </x:row>
    <x:row r="307">
      <x:c r="A307" s="55" t="str">
        <x:v>Washington</x:v>
      </x:c>
      <x:c r="B307" s="142" t="str">
        <x:v>WA</x:v>
      </x:c>
      <x:c r="C307" s="142" t="str">
        <x:v>blake-drug-possession-vacation-and-refund-route</x:v>
      </x:c>
      <x:c r="D307" s="142" t="str">
        <x:v>Blake drug-possession vacation and refund route</x:v>
      </x:c>
      <x:c r="E307" s="142" t="str">
        <x:v>packet_ready_with_caution</x:v>
      </x:c>
      <x:c r="F307" s="142" t="str">
        <x:v>Filing path</x:v>
      </x:c>
      <x:c r="G307" s="56" t="str">
        <x:v>https://github.com/Roger-LegalEase/legalease-partner-dashboard-clean/blob/2f0ef0403f16e57544ad0bc86b2d1b1cd08861b3/src/lib/rcap-engine/compiled/profiles/WA-washington.json</x:v>
      </x:c>
    </x:row>
    <x:row r="308">
      <x:c r="A308" s="55" t="str">
        <x:v>Washington</x:v>
      </x:c>
      <x:c r="B308" s="142" t="str">
        <x:v>WA</x:v>
      </x:c>
      <x:c r="C308" s="142" t="str">
        <x:v>misdemeanor-cannabis-conviction-vacation</x:v>
      </x:c>
      <x:c r="D308" s="142" t="str">
        <x:v>Misdemeanor cannabis-conviction vacation</x:v>
      </x:c>
      <x:c r="E308" s="142" t="str">
        <x:v>packet_ready_with_caution</x:v>
      </x:c>
      <x:c r="F308" s="142" t="str">
        <x:v>Filing path</x:v>
      </x:c>
      <x:c r="G308" s="56" t="str">
        <x:v>https://github.com/Roger-LegalEase/legalease-partner-dashboard-clean/blob/2f0ef0403f16e57544ad0bc86b2d1b1cd08861b3/src/lib/rcap-engine/compiled/profiles/WA-washington.json</x:v>
      </x:c>
    </x:row>
    <x:row r="309">
      <x:c r="A309" s="55" t="str">
        <x:v>Washington</x:v>
      </x:c>
      <x:c r="B309" s="142" t="str">
        <x:v>WA</x:v>
      </x:c>
      <x:c r="C309" s="142" t="str">
        <x:v>victim-survivor-conviction-vacation-route</x:v>
      </x:c>
      <x:c r="D309" s="142" t="str">
        <x:v>Victim / survivor conviction-vacation route</x:v>
      </x:c>
      <x:c r="E309" s="142" t="str">
        <x:v>packet_ready_with_caution</x:v>
      </x:c>
      <x:c r="F309" s="142" t="str">
        <x:v>Filing path</x:v>
      </x:c>
      <x:c r="G309" s="56" t="str">
        <x:v>https://github.com/Roger-LegalEase/legalease-partner-dashboard-clean/blob/2f0ef0403f16e57544ad0bc86b2d1b1cd08861b3/src/lib/rcap-engine/compiled/profiles/WA-washington.json</x:v>
      </x:c>
    </x:row>
    <x:row r="310">
      <x:c r="A310" s="55" t="str">
        <x:v>Washington</x:v>
      </x:c>
      <x:c r="B310" s="142" t="str">
        <x:v>WA</x:v>
      </x:c>
      <x:c r="C310" s="142" t="str">
        <x:v>juvenile-record-sealing-under-rcw-13-50-260</x:v>
      </x:c>
      <x:c r="D310" s="142" t="str">
        <x:v>Juvenile-record sealing under RCW 13.50.260</x:v>
      </x:c>
      <x:c r="E310" s="142" t="str">
        <x:v>packet_ready_with_caution</x:v>
      </x:c>
      <x:c r="F310" s="142" t="str">
        <x:v>Filing path</x:v>
      </x:c>
      <x:c r="G310" s="56" t="str">
        <x:v>https://github.com/Roger-LegalEase/legalease-partner-dashboard-clean/blob/2f0ef0403f16e57544ad0bc86b2d1b1cd08861b3/src/lib/rcap-engine/compiled/profiles/WA-washington.json</x:v>
      </x:c>
    </x:row>
    <x:row r="311">
      <x:c r="A311" s="55" t="str">
        <x:v>Wisconsin</x:v>
      </x:c>
      <x:c r="B311" s="142" t="str">
        <x:v>WI</x:v>
      </x:c>
      <x:c r="C311" s="142" t="str">
        <x:v>adult-conviction-expungement-under-wis-stat-973-015</x:v>
      </x:c>
      <x:c r="D311" s="142" t="str">
        <x:v>Adult conviction expungement under Wis. Stat. § 973.015</x:v>
      </x:c>
      <x:c r="E311" s="142" t="str">
        <x:v>packet_ready_with_caution</x:v>
      </x:c>
      <x:c r="F311" s="142" t="str">
        <x:v>Filing path</x:v>
      </x:c>
      <x:c r="G311" s="56" t="str">
        <x:v>https://github.com/Roger-LegalEase/legalease-partner-dashboard-clean/blob/2f0ef0403f16e57544ad0bc86b2d1b1cd08861b3/src/lib/rcap-engine/compiled/profiles/WI-wisconsin.json</x:v>
      </x:c>
    </x:row>
    <x:row r="312">
      <x:c r="A312" s="55" t="str">
        <x:v>Wisconsin</x:v>
      </x:c>
      <x:c r="B312" s="142" t="str">
        <x:v>WI</x:v>
      </x:c>
      <x:c r="C312" s="142" t="str">
        <x:v>adult-non-conviction-arrest-only-record-correction-or-removal</x:v>
      </x:c>
      <x:c r="D312" s="142" t="str">
        <x:v>Adult non-conviction / arrest-only record correction or removal</x:v>
      </x:c>
      <x:c r="E312" s="142" t="str">
        <x:v>packet_ready_with_caution</x:v>
      </x:c>
      <x:c r="F312" s="142" t="str">
        <x:v>Filing path</x:v>
      </x:c>
      <x:c r="G312" s="56" t="str">
        <x:v>https://github.com/Roger-LegalEase/legalease-partner-dashboard-clean/blob/2f0ef0403f16e57544ad0bc86b2d1b1cd08861b3/src/lib/rcap-engine/compiled/profiles/WI-wisconsin.json</x:v>
      </x:c>
    </x:row>
    <x:row r="313">
      <x:c r="A313" s="55" t="str">
        <x:v>Wisconsin</x:v>
      </x:c>
      <x:c r="B313" s="142" t="str">
        <x:v>WI</x:v>
      </x:c>
      <x:c r="C313" s="142" t="str">
        <x:v>human-trafficking-prostitution-relief-under-973-015-2m</x:v>
      </x:c>
      <x:c r="D313" s="142" t="str">
        <x:v>Human-trafficking / prostitution relief under § 973.015(2m)</x:v>
      </x:c>
      <x:c r="E313" s="142" t="str">
        <x:v>packet_ready_with_caution</x:v>
      </x:c>
      <x:c r="F313" s="142" t="str">
        <x:v>Filing path</x:v>
      </x:c>
      <x:c r="G313" s="56" t="str">
        <x:v>https://github.com/Roger-LegalEase/legalease-partner-dashboard-clean/blob/2f0ef0403f16e57544ad0bc86b2d1b1cd08861b3/src/lib/rcap-engine/compiled/profiles/WI-wisconsin.json</x:v>
      </x:c>
    </x:row>
    <x:row r="314">
      <x:c r="A314" s="55" t="str">
        <x:v>Wisconsin</x:v>
      </x:c>
      <x:c r="B314" s="142" t="str">
        <x:v>WI</x:v>
      </x:c>
      <x:c r="C314" s="142" t="str">
        <x:v>juvenile-adjudication-expungement-under-wis-stat-938-355-4m</x:v>
      </x:c>
      <x:c r="D314" s="142" t="str">
        <x:v>Juvenile-adjudication expungement under Wis. Stat. § 938.355(4m)</x:v>
      </x:c>
      <x:c r="E314" s="142" t="str">
        <x:v>packet_ready_with_caution</x:v>
      </x:c>
      <x:c r="F314" s="142" t="str">
        <x:v>Filing path</x:v>
      </x:c>
      <x:c r="G314" s="56" t="str">
        <x:v>https://github.com/Roger-LegalEase/legalease-partner-dashboard-clean/blob/2f0ef0403f16e57544ad0bc86b2d1b1cd08861b3/src/lib/rcap-engine/compiled/profiles/WI-wisconsin.json</x:v>
      </x:c>
    </x:row>
    <x:row r="315">
      <x:c r="A315" s="55" t="str">
        <x:v>Wisconsin</x:v>
      </x:c>
      <x:c r="B315" s="142" t="str">
        <x:v>WI</x:v>
      </x:c>
      <x:c r="C315" s="142" t="str">
        <x:v>executive-pardon-guidance</x:v>
      </x:c>
      <x:c r="D315" s="142" t="str">
        <x:v>Executive-pardon guidance</x:v>
      </x:c>
      <x:c r="E315" s="142" t="str">
        <x:v>guidance_only</x:v>
      </x:c>
      <x:c r="F315" s="142" t="str">
        <x:v>No filing / verification</x:v>
      </x:c>
      <x:c r="G315" s="56" t="str">
        <x:v>https://github.com/Roger-LegalEase/legalease-partner-dashboard-clean/blob/2f0ef0403f16e57544ad0bc86b2d1b1cd08861b3/src/lib/rcap-engine/compiled/profiles/WI-wisconsin.json</x:v>
      </x:c>
    </x:row>
    <x:row r="316">
      <x:c r="A316" s="55" t="str">
        <x:v>West Virginia</x:v>
      </x:c>
      <x:c r="B316" s="142" t="str">
        <x:v>WV</x:v>
      </x:c>
      <x:c r="C316" s="142" t="str">
        <x:v>no-conviction-expungement-for-acquittal-dismissal-diversion-or-deferred-adjudication</x:v>
      </x:c>
      <x:c r="D316" s="142" t="str">
        <x:v>No-conviction expungement for acquittal, dismissal, diversion, or deferred adjudication</x:v>
      </x:c>
      <x:c r="E316" s="142" t="str">
        <x:v>packet_ready_with_caution</x:v>
      </x:c>
      <x:c r="F316" s="142" t="str">
        <x:v>Filing path</x:v>
      </x:c>
      <x:c r="G316" s="56" t="str">
        <x:v>https://github.com/Roger-LegalEase/legalease-partner-dashboard-clean/blob/2f0ef0403f16e57544ad0bc86b2d1b1cd08861b3/src/lib/rcap-engine/compiled/profiles/WV-west-virginia.json</x:v>
      </x:c>
    </x:row>
    <x:row r="317">
      <x:c r="A317" s="55" t="str">
        <x:v>West Virginia</x:v>
      </x:c>
      <x:c r="B317" s="142" t="str">
        <x:v>WV</x:v>
      </x:c>
      <x:c r="C317" s="142" t="str">
        <x:v>eligible-conviction-expungement-under-w-va-code-61-11-26</x:v>
      </x:c>
      <x:c r="D317" s="142" t="str">
        <x:v>Eligible conviction expungement under W. Va. Code § 61-11-26</x:v>
      </x:c>
      <x:c r="E317" s="142" t="str">
        <x:v>packet_ready_with_caution</x:v>
      </x:c>
      <x:c r="F317" s="142" t="str">
        <x:v>Filing path</x:v>
      </x:c>
      <x:c r="G317" s="56" t="str">
        <x:v>https://github.com/Roger-LegalEase/legalease-partner-dashboard-clean/blob/2f0ef0403f16e57544ad0bc86b2d1b1cd08861b3/src/lib/rcap-engine/compiled/profiles/WV-west-virginia.json</x:v>
      </x:c>
    </x:row>
    <x:row r="318">
      <x:c r="A318" s="55" t="str">
        <x:v>West Virginia</x:v>
      </x:c>
      <x:c r="B318" s="142" t="str">
        <x:v>WV</x:v>
      </x:c>
      <x:c r="C318" s="142" t="str">
        <x:v>accelerated-treatment-recovery-job-readiness-expungement-under-61-11-26a</x:v>
      </x:c>
      <x:c r="D318" s="142" t="str">
        <x:v>Accelerated treatment / recovery / job-readiness expungement under § 61-11-26a</x:v>
      </x:c>
      <x:c r="E318" s="142" t="str">
        <x:v>packet_ready_with_caution</x:v>
      </x:c>
      <x:c r="F318" s="142" t="str">
        <x:v>Filing path</x:v>
      </x:c>
      <x:c r="G318" s="56" t="str">
        <x:v>https://github.com/Roger-LegalEase/legalease-partner-dashboard-clean/blob/2f0ef0403f16e57544ad0bc86b2d1b1cd08861b3/src/lib/rcap-engine/compiled/profiles/WV-west-virginia.json</x:v>
      </x:c>
    </x:row>
    <x:row r="319">
      <x:c r="A319" s="55" t="str">
        <x:v>West Virginia</x:v>
      </x:c>
      <x:c r="B319" s="142" t="str">
        <x:v>WV</x:v>
      </x:c>
      <x:c r="C319" s="142" t="str">
        <x:v>first-offense-drug-possession-conditional-discharge-relief</x:v>
      </x:c>
      <x:c r="D319" s="142" t="str">
        <x:v>First-offense drug-possession conditional-discharge relief</x:v>
      </x:c>
      <x:c r="E319" s="142" t="str">
        <x:v>packet_ready_with_caution</x:v>
      </x:c>
      <x:c r="F319" s="142" t="str">
        <x:v>Filing path</x:v>
      </x:c>
      <x:c r="G319" s="56" t="str">
        <x:v>https://github.com/Roger-LegalEase/legalease-partner-dashboard-clean/blob/2f0ef0403f16e57544ad0bc86b2d1b1cd08861b3/src/lib/rcap-engine/compiled/profiles/WV-west-virginia.json</x:v>
      </x:c>
    </x:row>
    <x:row r="320">
      <x:c r="A320" s="55" t="str">
        <x:v>West Virginia</x:v>
      </x:c>
      <x:c r="B320" s="142" t="str">
        <x:v>WV</x:v>
      </x:c>
      <x:c r="C320" s="142" t="str">
        <x:v>pardon-based-expungement</x:v>
      </x:c>
      <x:c r="D320" s="142" t="str">
        <x:v>Pardon-based expungement</x:v>
      </x:c>
      <x:c r="E320" s="142" t="str">
        <x:v>packet_ready_with_caution</x:v>
      </x:c>
      <x:c r="F320" s="142" t="str">
        <x:v>Filing path</x:v>
      </x:c>
      <x:c r="G320" s="56" t="str">
        <x:v>https://github.com/Roger-LegalEase/legalease-partner-dashboard-clean/blob/2f0ef0403f16e57544ad0bc86b2d1b1cd08861b3/src/lib/rcap-engine/compiled/profiles/WV-west-virginia.json</x:v>
      </x:c>
    </x:row>
    <x:row r="321">
      <x:c r="A321" s="55" t="str">
        <x:v>West Virginia</x:v>
      </x:c>
      <x:c r="B321" s="142" t="str">
        <x:v>WV</x:v>
      </x:c>
      <x:c r="C321" s="142" t="str">
        <x:v>sex-trafficking-victim-vacatur-and-expungement</x:v>
      </x:c>
      <x:c r="D321" s="142" t="str">
        <x:v>Sex-trafficking-victim vacatur and expungement</x:v>
      </x:c>
      <x:c r="E321" s="142" t="str">
        <x:v>packet_ready_with_caution</x:v>
      </x:c>
      <x:c r="F321" s="142" t="str">
        <x:v>Filing path</x:v>
      </x:c>
      <x:c r="G321" s="56" t="str">
        <x:v>https://github.com/Roger-LegalEase/legalease-partner-dashboard-clean/blob/2f0ef0403f16e57544ad0bc86b2d1b1cd08861b3/src/lib/rcap-engine/compiled/profiles/WV-west-virginia.json</x:v>
      </x:c>
    </x:row>
    <x:row r="322">
      <x:c r="A322" s="55" t="str">
        <x:v>West Virginia</x:v>
      </x:c>
      <x:c r="B322" s="142" t="str">
        <x:v>WV</x:v>
      </x:c>
      <x:c r="C322" s="142" t="str">
        <x:v>juvenile-record-relief</x:v>
      </x:c>
      <x:c r="D322" s="142" t="str">
        <x:v>Juvenile-record relief</x:v>
      </x:c>
      <x:c r="E322" s="142" t="str">
        <x:v>packet_ready_with_caution</x:v>
      </x:c>
      <x:c r="F322" s="142" t="str">
        <x:v>Filing path</x:v>
      </x:c>
      <x:c r="G322" s="56" t="str">
        <x:v>https://github.com/Roger-LegalEase/legalease-partner-dashboard-clean/blob/2f0ef0403f16e57544ad0bc86b2d1b1cd08861b3/src/lib/rcap-engine/compiled/profiles/WV-west-virginia.json</x:v>
      </x:c>
    </x:row>
    <x:row r="323">
      <x:c r="A323" s="55" t="str">
        <x:v>Wyoming</x:v>
      </x:c>
      <x:c r="B323" s="142" t="str">
        <x:v>WY</x:v>
      </x:c>
      <x:c r="C323" s="142" t="str">
        <x:v>adult-non-conviction-expungement-w-s-7-13-1401</x:v>
      </x:c>
      <x:c r="D323" s="142" t="str">
        <x:v>Adult non-conviction expungement - W.S. 7-13-1401</x:v>
      </x:c>
      <x:c r="E323" s="142" t="str">
        <x:v>guidance_only</x:v>
      </x:c>
      <x:c r="F323" s="142" t="str">
        <x:v>No filing / verification</x:v>
      </x:c>
      <x:c r="G323" s="56" t="str">
        <x:v>https://github.com/Roger-LegalEase/legalease-partner-dashboard-clean/blob/2f0ef0403f16e57544ad0bc86b2d1b1cd08861b3/src/lib/rcap-engine/compiled/profiles/WY-wyoming.json</x:v>
      </x:c>
    </x:row>
    <x:row r="324">
      <x:c r="A324" s="55" t="str">
        <x:v>Wyoming</x:v>
      </x:c>
      <x:c r="B324" s="142" t="str">
        <x:v>WY</x:v>
      </x:c>
      <x:c r="C324" s="142" t="str">
        <x:v>misdemeanor-conviction-expungement-w-s-7-13-1501</x:v>
      </x:c>
      <x:c r="D324" s="142" t="str">
        <x:v>Misdemeanor conviction expungement - W.S. 7-13-1501</x:v>
      </x:c>
      <x:c r="E324" s="142" t="str">
        <x:v>guidance_only</x:v>
      </x:c>
      <x:c r="F324" s="142" t="str">
        <x:v>No filing / verification</x:v>
      </x:c>
      <x:c r="G324" s="56" t="str">
        <x:v>https://github.com/Roger-LegalEase/legalease-partner-dashboard-clean/blob/2f0ef0403f16e57544ad0bc86b2d1b1cd08861b3/src/lib/rcap-engine/compiled/profiles/WY-wyoming.json</x:v>
      </x:c>
    </x:row>
    <x:row r="325">
      <x:c r="A325" s="55" t="str">
        <x:v>Wyoming</x:v>
      </x:c>
      <x:c r="B325" s="142" t="str">
        <x:v>WY</x:v>
      </x:c>
      <x:c r="C325" s="142" t="str">
        <x:v>felony-conviction-expungement-w-s-7-13-1502</x:v>
      </x:c>
      <x:c r="D325" s="142" t="str">
        <x:v>Felony conviction expungement - W.S. 7-13-1502</x:v>
      </x:c>
      <x:c r="E325" s="142" t="str">
        <x:v>packet_ready_with_caution</x:v>
      </x:c>
      <x:c r="F325" s="142" t="str">
        <x:v>Filing path</x:v>
      </x:c>
      <x:c r="G325" s="56" t="str">
        <x:v>https://github.com/Roger-LegalEase/legalease-partner-dashboard-clean/blob/2f0ef0403f16e57544ad0bc86b2d1b1cd08861b3/src/lib/rcap-engine/compiled/profiles/WY-wyoming.json</x:v>
      </x:c>
    </x:row>
    <x:row r="326">
      <x:c r="A326" s="55" t="str">
        <x:v>Wyoming</x:v>
      </x:c>
      <x:c r="B326" s="142" t="str">
        <x:v>WY</x:v>
      </x:c>
      <x:c r="C326" s="142" t="str">
        <x:v>human-trafficking-victim-vacatur-w-s-6-2-708</x:v>
      </x:c>
      <x:c r="D326" s="142" t="str">
        <x:v>Human-trafficking victim vacatur - W.S. 6-2-708</x:v>
      </x:c>
      <x:c r="E326" s="142" t="str">
        <x:v>packet_ready_with_caution</x:v>
      </x:c>
      <x:c r="F326" s="142" t="str">
        <x:v>Backend decides</x:v>
      </x:c>
      <x:c r="G326" s="56" t="str">
        <x:v>https://github.com/Roger-LegalEase/legalease-partner-dashboard-clean/blob/2f0ef0403f16e57544ad0bc86b2d1b1cd08861b3/src/lib/rcap-engine/compiled/profiles/WY-wyoming.json</x:v>
      </x:c>
    </x:row>
    <x:row r="327">
      <x:c r="A327" s="57" t="str">
        <x:v>Wyoming</x:v>
      </x:c>
      <x:c r="B327" s="143" t="str">
        <x:v>WY</x:v>
      </x:c>
      <x:c r="C327" s="143" t="str">
        <x:v>juvenile-minor-expungement-w-s-14-6-241</x:v>
      </x:c>
      <x:c r="D327" s="143" t="str">
        <x:v>Juvenile / minor expungement - W.S. 14-6-241</x:v>
      </x:c>
      <x:c r="E327" s="143" t="str">
        <x:v>packet_ready_with_caution</x:v>
      </x:c>
      <x:c r="F327" s="143" t="str">
        <x:v>Filing path</x:v>
      </x:c>
      <x:c r="G327" s="58" t="str">
        <x:v>https://github.com/Roger-LegalEase/legalease-partner-dashboard-clean/blob/2f0ef0403f16e57544ad0bc86b2d1b1cd08861b3/src/lib/rcap-engine/compiled/profiles/WY-wyoming.json</x:v>
      </x:c>
    </x:row>
  </x:sheetData>
  <x:mergeCells>
    <x:mergeCell ref="A1:G1"/>
    <x:mergeCell ref="A2:G2"/>
  </x:mergeCells>
  <x:pageMargins left="0.7" right="0.7" top="0.75" bottom="0.75" header="0.3" footer="0.3"/>
  <x:tableParts count="1">
    <x:tablePart xmlns:r="http://schemas.openxmlformats.org/officeDocument/2006/relationships" r:id="Ref55acf5db4240cc"/>
  </x:tableParts>
</x:worksheet>
</file>

<file path=xl/worksheets/sheet6.xml><?xml version="1.0" encoding="utf-8"?>
<x:worksheet xmlns:x="http://schemas.openxmlformats.org/spreadsheetml/2006/main">
  <x:sheetFormatPr defaultRowHeight="15"/>
  <x:cols>
    <x:col min="1" max="1" width="22" hidden="0" customWidth="1"/>
    <x:col min="2" max="2" width="7" hidden="0" customWidth="1"/>
    <x:col min="3" max="3" width="60" hidden="0" customWidth="1"/>
    <x:col min="4" max="4" width="24" hidden="0" customWidth="1"/>
    <x:col min="5" max="5" width="18" hidden="0" customWidth="1"/>
    <x:col min="6" max="6" width="55" hidden="0" customWidth="1"/>
    <x:col min="7" max="7" width="55" hidden="0" customWidth="1"/>
  </x:cols>
  <x:sheetData>
    <x:row r="1" ht="32" customHeight="1">
      <x:c r="A1" s="5" t="str">
        <x:v>Questions Deferred Until Account + Packet Completion</x:v>
      </x:c>
    </x:row>
    <x:row r="2" ht="36" customHeight="1">
      <x:c r="A2" s="13" t="str">
        <x:v>These source-catalog questions should not burden the anonymous free check. They are collected only after the participant creates or signs into an account and owns a persistent matter/Briefcase.</x:v>
      </x:c>
    </x:row>
    <x:row r="4">
      <x:c r="A4" s="109" t="str">
        <x:v>State</x:v>
      </x:c>
      <x:c r="B4" s="131" t="str">
        <x:v>Code</x:v>
      </x:c>
      <x:c r="C4" s="131" t="str">
        <x:v>Original Question</x:v>
      </x:c>
      <x:c r="D4" s="131" t="str">
        <x:v>Original Stage</x:v>
      </x:c>
      <x:c r="E4" s="131" t="str">
        <x:v>Original Type</x:v>
      </x:c>
      <x:c r="F4" s="131" t="str">
        <x:v>Why Deferred</x:v>
      </x:c>
      <x:c r="G4" s="110" t="str">
        <x:v>Profile URL</x:v>
      </x:c>
    </x:row>
    <x:row r="5">
      <x:c r="A5" s="53" t="str">
        <x:v>Alaska</x:v>
      </x:c>
      <x:c r="B5" s="141" t="str">
        <x:v>AK</x:v>
      </x:c>
      <x:c r="C5" s="141" t="str">
        <x:v>Do you have the Alaska criminal-history report, court docket, or certified disposition needed to verify the record?</x:v>
      </x:c>
      <x:c r="D5" s="141" t="str">
        <x:v>record_readiness</x:v>
      </x:c>
      <x:c r="E5" s="141" t="str">
        <x:v>yes_no_unsure</x:v>
      </x:c>
      <x:c r="F5" s="141" t="str">
        <x:v>Packet completion: record, court, case, filing, or form detail</x:v>
      </x:c>
      <x:c r="G5" s="54" t="str">
        <x:v>https://github.com/Roger-LegalEase/legalease-partner-dashboard-clean/blob/2f0ef0403f16e57544ad0bc86b2d1b1cd08861b3/src/lib/rcap-engine/compiled/profiles/AK-alaska.json</x:v>
      </x:c>
    </x:row>
    <x:row r="6">
      <x:c r="A6" s="55" t="str">
        <x:v>Alaska</x:v>
      </x:c>
      <x:c r="B6" s="142" t="str">
        <x:v>AK</x:v>
      </x:c>
      <x:c r="C6" s="142" t="str">
        <x:v>When was the case disposed of, dismissed, completed, or discharged?</x:v>
      </x:c>
      <x:c r="D6" s="142" t="str">
        <x:v>timing_and_completion</x:v>
      </x:c>
      <x:c r="E6" s="142" t="str">
        <x:v>date_or_unknown</x:v>
      </x:c>
      <x:c r="F6" s="142" t="str">
        <x:v>Packet completion/final verification: exact date; free check uses approximate timing where appropriate</x:v>
      </x:c>
      <x:c r="G6" s="56" t="str">
        <x:v>https://github.com/Roger-LegalEase/legalease-partner-dashboard-clean/blob/2f0ef0403f16e57544ad0bc86b2d1b1cd08861b3/src/lib/rcap-engine/compiled/profiles/AK-alaska.json</x:v>
      </x:c>
    </x:row>
    <x:row r="7">
      <x:c r="A7" s="55" t="str">
        <x:v>Alaska</x:v>
      </x:c>
      <x:c r="B7" s="142" t="str">
        <x:v>AK</x:v>
      </x:c>
      <x:c r="C7" s="142" t="str">
        <x:v>Which court or agency handled the case?</x:v>
      </x:c>
      <x:c r="D7" s="142" t="str">
        <x:v>case_details</x:v>
      </x:c>
      <x:c r="E7" s="142" t="str">
        <x:v>text</x:v>
      </x:c>
      <x:c r="F7" s="142" t="str">
        <x:v>Packet completion: record, court, case, filing, or form detail</x:v>
      </x:c>
      <x:c r="G7" s="56" t="str">
        <x:v>https://github.com/Roger-LegalEase/legalease-partner-dashboard-clean/blob/2f0ef0403f16e57544ad0bc86b2d1b1cd08861b3/src/lib/rcap-engine/compiled/profiles/AK-alaska.json</x:v>
      </x:c>
    </x:row>
    <x:row r="8">
      <x:c r="A8" s="55" t="str">
        <x:v>Alaska</x:v>
      </x:c>
      <x:c r="B8" s="142" t="str">
        <x:v>AK</x:v>
      </x:c>
      <x:c r="C8" s="142" t="str">
        <x:v>What charge, statute, or record description appears on the record?</x:v>
      </x:c>
      <x:c r="D8" s="142" t="str">
        <x:v>case_details</x:v>
      </x:c>
      <x:c r="E8" s="142" t="str">
        <x:v>text_or_unknown</x:v>
      </x:c>
      <x:c r="F8" s="142" t="str">
        <x:v>Packet completion: record, court, case, filing, or form detail</x:v>
      </x:c>
      <x:c r="G8" s="56" t="str">
        <x:v>https://github.com/Roger-LegalEase/legalease-partner-dashboard-clean/blob/2f0ef0403f16e57544ad0bc86b2d1b1cd08861b3/src/lib/rcap-engine/compiled/profiles/AK-alaska.json</x:v>
      </x:c>
    </x:row>
    <x:row r="9">
      <x:c r="A9" s="55" t="str">
        <x:v>Alaska</x:v>
      </x:c>
      <x:c r="B9" s="142" t="str">
        <x:v>AK</x:v>
      </x:c>
      <x:c r="C9" s="142" t="str">
        <x:v>Do you have court paperwork or a criminal-history record showing the exact charge and outcome?</x:v>
      </x:c>
      <x:c r="D9" s="142" t="str">
        <x:v>record_readiness</x:v>
      </x:c>
      <x:c r="E9" s="142" t="str">
        <x:v>yes_no_unsure</x:v>
      </x:c>
      <x:c r="F9" s="142" t="str">
        <x:v>Packet completion: record, court, case, filing, or form detail</x:v>
      </x:c>
      <x:c r="G9" s="56" t="str">
        <x:v>https://github.com/Roger-LegalEase/legalease-partner-dashboard-clean/blob/2f0ef0403f16e57544ad0bc86b2d1b1cd08861b3/src/lib/rcap-engine/compiled/profiles/AK-alaska.json</x:v>
      </x:c>
    </x:row>
    <x:row r="10">
      <x:c r="A10" s="55" t="str">
        <x:v>Alaska</x:v>
      </x:c>
      <x:c r="B10" s="142" t="str">
        <x:v>AK</x:v>
      </x:c>
      <x:c r="C10" s="142" t="str">
        <x:v>Where in Alaska was the case handled?</x:v>
      </x:c>
      <x:c r="D10" s="142" t="str">
        <x:v>case_details</x:v>
      </x:c>
      <x:c r="E10" s="142" t="str">
        <x:v>text_or_unknown</x:v>
      </x:c>
      <x:c r="F10" s="142" t="str">
        <x:v>Packet completion: record, court, case, filing, or form detail</x:v>
      </x:c>
      <x:c r="G10" s="56" t="str">
        <x:v>https://github.com/Roger-LegalEase/legalease-partner-dashboard-clean/blob/2f0ef0403f16e57544ad0bc86b2d1b1cd08861b3/src/lib/rcap-engine/compiled/profiles/AK-alaska.json</x:v>
      </x:c>
    </x:row>
    <x:row r="11">
      <x:c r="A11" s="55" t="str">
        <x:v>Alaska</x:v>
      </x:c>
      <x:c r="B11" s="142" t="str">
        <x:v>AK</x:v>
      </x:c>
      <x:c r="C11" s="142" t="str">
        <x:v>What case, docket, cause, or arrest number appears on the record?</x:v>
      </x:c>
      <x:c r="D11" s="142" t="str">
        <x:v>case_details</x:v>
      </x:c>
      <x:c r="E11" s="142" t="str">
        <x:v>text_or_unknown</x:v>
      </x:c>
      <x:c r="F11" s="142" t="str">
        <x:v>Packet completion: record, court, case, filing, or form detail</x:v>
      </x:c>
      <x:c r="G11" s="56" t="str">
        <x:v>https://github.com/Roger-LegalEase/legalease-partner-dashboard-clean/blob/2f0ef0403f16e57544ad0bc86b2d1b1cd08861b3/src/lib/rcap-engine/compiled/profiles/AK-alaska.json</x:v>
      </x:c>
    </x:row>
    <x:row r="12">
      <x:c r="A12" s="55" t="str">
        <x:v>Alabama</x:v>
      </x:c>
      <x:c r="B12" s="142" t="str">
        <x:v>AL</x:v>
      </x:c>
      <x:c r="C12" s="142" t="str">
        <x:v>When was the case disposed of, dismissed, completed, or discharged?</x:v>
      </x:c>
      <x:c r="D12" s="142" t="str">
        <x:v>timing_and_completion</x:v>
      </x:c>
      <x:c r="E12" s="142" t="str">
        <x:v>date_or_unknown</x:v>
      </x:c>
      <x:c r="F12" s="142" t="str">
        <x:v>Packet completion/final verification: exact date; free check uses approximate timing where appropriate</x:v>
      </x:c>
      <x:c r="G12" s="56" t="str">
        <x:v>https://github.com/Roger-LegalEase/legalease-partner-dashboard-clean/blob/2f0ef0403f16e57544ad0bc86b2d1b1cd08861b3/src/lib/rcap-engine/compiled/profiles/AL-alabama.json</x:v>
      </x:c>
    </x:row>
    <x:row r="13">
      <x:c r="A13" s="55" t="str">
        <x:v>Alabama</x:v>
      </x:c>
      <x:c r="B13" s="142" t="str">
        <x:v>AL</x:v>
      </x:c>
      <x:c r="C13" s="142" t="str">
        <x:v>Which court or agency handled the case?</x:v>
      </x:c>
      <x:c r="D13" s="142" t="str">
        <x:v>case_details</x:v>
      </x:c>
      <x:c r="E13" s="142" t="str">
        <x:v>text</x:v>
      </x:c>
      <x:c r="F13" s="142" t="str">
        <x:v>Packet completion: record, court, case, filing, or form detail</x:v>
      </x:c>
      <x:c r="G13" s="56" t="str">
        <x:v>https://github.com/Roger-LegalEase/legalease-partner-dashboard-clean/blob/2f0ef0403f16e57544ad0bc86b2d1b1cd08861b3/src/lib/rcap-engine/compiled/profiles/AL-alabama.json</x:v>
      </x:c>
    </x:row>
    <x:row r="14">
      <x:c r="A14" s="55" t="str">
        <x:v>Alabama</x:v>
      </x:c>
      <x:c r="B14" s="142" t="str">
        <x:v>AL</x:v>
      </x:c>
      <x:c r="C14" s="142" t="str">
        <x:v>What charge, statute, or record description appears on the record?</x:v>
      </x:c>
      <x:c r="D14" s="142" t="str">
        <x:v>case_details</x:v>
      </x:c>
      <x:c r="E14" s="142" t="str">
        <x:v>text_or_unknown</x:v>
      </x:c>
      <x:c r="F14" s="142" t="str">
        <x:v>Packet completion: record, court, case, filing, or form detail</x:v>
      </x:c>
      <x:c r="G14" s="56" t="str">
        <x:v>https://github.com/Roger-LegalEase/legalease-partner-dashboard-clean/blob/2f0ef0403f16e57544ad0bc86b2d1b1cd08861b3/src/lib/rcap-engine/compiled/profiles/AL-alabama.json</x:v>
      </x:c>
    </x:row>
    <x:row r="15">
      <x:c r="A15" s="55" t="str">
        <x:v>Alabama</x:v>
      </x:c>
      <x:c r="B15" s="142" t="str">
        <x:v>AL</x:v>
      </x:c>
      <x:c r="C15" s="142" t="str">
        <x:v>Do you have court paperwork or a criminal-history record showing the exact charge and outcome?</x:v>
      </x:c>
      <x:c r="D15" s="142" t="str">
        <x:v>record_readiness</x:v>
      </x:c>
      <x:c r="E15" s="142" t="str">
        <x:v>yes_no_unsure</x:v>
      </x:c>
      <x:c r="F15" s="142" t="str">
        <x:v>Packet completion: record, court, case, filing, or form detail</x:v>
      </x:c>
      <x:c r="G15" s="56" t="str">
        <x:v>https://github.com/Roger-LegalEase/legalease-partner-dashboard-clean/blob/2f0ef0403f16e57544ad0bc86b2d1b1cd08861b3/src/lib/rcap-engine/compiled/profiles/AL-alabama.json</x:v>
      </x:c>
    </x:row>
    <x:row r="16">
      <x:c r="A16" s="55" t="str">
        <x:v>Alabama</x:v>
      </x:c>
      <x:c r="B16" s="142" t="str">
        <x:v>AL</x:v>
      </x:c>
      <x:c r="C16" s="142" t="str">
        <x:v>Where in Alabama was the case handled?</x:v>
      </x:c>
      <x:c r="D16" s="142" t="str">
        <x:v>case_details</x:v>
      </x:c>
      <x:c r="E16" s="142" t="str">
        <x:v>text_or_unknown</x:v>
      </x:c>
      <x:c r="F16" s="142" t="str">
        <x:v>Packet completion: record, court, case, filing, or form detail</x:v>
      </x:c>
      <x:c r="G16" s="56" t="str">
        <x:v>https://github.com/Roger-LegalEase/legalease-partner-dashboard-clean/blob/2f0ef0403f16e57544ad0bc86b2d1b1cd08861b3/src/lib/rcap-engine/compiled/profiles/AL-alabama.json</x:v>
      </x:c>
    </x:row>
    <x:row r="17">
      <x:c r="A17" s="55" t="str">
        <x:v>Alabama</x:v>
      </x:c>
      <x:c r="B17" s="142" t="str">
        <x:v>AL</x:v>
      </x:c>
      <x:c r="C17" s="142" t="str">
        <x:v>What case, docket, cause, or arrest number appears on the record?</x:v>
      </x:c>
      <x:c r="D17" s="142" t="str">
        <x:v>case_details</x:v>
      </x:c>
      <x:c r="E17" s="142" t="str">
        <x:v>text_or_unknown</x:v>
      </x:c>
      <x:c r="F17" s="142" t="str">
        <x:v>Packet completion: record, court, case, filing, or form detail</x:v>
      </x:c>
      <x:c r="G17" s="56" t="str">
        <x:v>https://github.com/Roger-LegalEase/legalease-partner-dashboard-clean/blob/2f0ef0403f16e57544ad0bc86b2d1b1cd08861b3/src/lib/rcap-engine/compiled/profiles/AL-alabama.json</x:v>
      </x:c>
    </x:row>
    <x:row r="18">
      <x:c r="A18" s="55" t="str">
        <x:v>Arkansas</x:v>
      </x:c>
      <x:c r="B18" s="142" t="str">
        <x:v>AR</x:v>
      </x:c>
      <x:c r="C18" s="142" t="str">
        <x:v>When was the case disposed of, dismissed, completed, or discharged?</x:v>
      </x:c>
      <x:c r="D18" s="142" t="str">
        <x:v>timing_and_completion</x:v>
      </x:c>
      <x:c r="E18" s="142" t="str">
        <x:v>date_or_unknown</x:v>
      </x:c>
      <x:c r="F18" s="142" t="str">
        <x:v>Packet completion/final verification: exact date; free check uses approximate timing where appropriate</x:v>
      </x:c>
      <x:c r="G18" s="56" t="str">
        <x:v>https://github.com/Roger-LegalEase/legalease-partner-dashboard-clean/blob/2f0ef0403f16e57544ad0bc86b2d1b1cd08861b3/src/lib/rcap-engine/compiled/profiles/AR-arkansas.json</x:v>
      </x:c>
    </x:row>
    <x:row r="19">
      <x:c r="A19" s="55" t="str">
        <x:v>Arkansas</x:v>
      </x:c>
      <x:c r="B19" s="142" t="str">
        <x:v>AR</x:v>
      </x:c>
      <x:c r="C19" s="142" t="str">
        <x:v>Which court or agency handled the case?</x:v>
      </x:c>
      <x:c r="D19" s="142" t="str">
        <x:v>case_details</x:v>
      </x:c>
      <x:c r="E19" s="142" t="str">
        <x:v>text</x:v>
      </x:c>
      <x:c r="F19" s="142" t="str">
        <x:v>Packet completion: record, court, case, filing, or form detail</x:v>
      </x:c>
      <x:c r="G19" s="56" t="str">
        <x:v>https://github.com/Roger-LegalEase/legalease-partner-dashboard-clean/blob/2f0ef0403f16e57544ad0bc86b2d1b1cd08861b3/src/lib/rcap-engine/compiled/profiles/AR-arkansas.json</x:v>
      </x:c>
    </x:row>
    <x:row r="20">
      <x:c r="A20" s="55" t="str">
        <x:v>Arkansas</x:v>
      </x:c>
      <x:c r="B20" s="142" t="str">
        <x:v>AR</x:v>
      </x:c>
      <x:c r="C20" s="142" t="str">
        <x:v>What charge, statute, or record description appears on the record?</x:v>
      </x:c>
      <x:c r="D20" s="142" t="str">
        <x:v>case_details</x:v>
      </x:c>
      <x:c r="E20" s="142" t="str">
        <x:v>text_or_unknown</x:v>
      </x:c>
      <x:c r="F20" s="142" t="str">
        <x:v>Packet completion: record, court, case, filing, or form detail</x:v>
      </x:c>
      <x:c r="G20" s="56" t="str">
        <x:v>https://github.com/Roger-LegalEase/legalease-partner-dashboard-clean/blob/2f0ef0403f16e57544ad0bc86b2d1b1cd08861b3/src/lib/rcap-engine/compiled/profiles/AR-arkansas.json</x:v>
      </x:c>
    </x:row>
    <x:row r="21">
      <x:c r="A21" s="55" t="str">
        <x:v>Arkansas</x:v>
      </x:c>
      <x:c r="B21" s="142" t="str">
        <x:v>AR</x:v>
      </x:c>
      <x:c r="C21" s="142" t="str">
        <x:v>Do you have court paperwork or a criminal-history record showing the exact charge and outcome?</x:v>
      </x:c>
      <x:c r="D21" s="142" t="str">
        <x:v>record_readiness</x:v>
      </x:c>
      <x:c r="E21" s="142" t="str">
        <x:v>yes_no_unsure</x:v>
      </x:c>
      <x:c r="F21" s="142" t="str">
        <x:v>Packet completion: record, court, case, filing, or form detail</x:v>
      </x:c>
      <x:c r="G21" s="56" t="str">
        <x:v>https://github.com/Roger-LegalEase/legalease-partner-dashboard-clean/blob/2f0ef0403f16e57544ad0bc86b2d1b1cd08861b3/src/lib/rcap-engine/compiled/profiles/AR-arkansas.json</x:v>
      </x:c>
    </x:row>
    <x:row r="22">
      <x:c r="A22" s="55" t="str">
        <x:v>Arkansas</x:v>
      </x:c>
      <x:c r="B22" s="142" t="str">
        <x:v>AR</x:v>
      </x:c>
      <x:c r="C22" s="142" t="str">
        <x:v>Where in Arkansas was the case handled?</x:v>
      </x:c>
      <x:c r="D22" s="142" t="str">
        <x:v>case_details</x:v>
      </x:c>
      <x:c r="E22" s="142" t="str">
        <x:v>text_or_unknown</x:v>
      </x:c>
      <x:c r="F22" s="142" t="str">
        <x:v>Packet completion: record, court, case, filing, or form detail</x:v>
      </x:c>
      <x:c r="G22" s="56" t="str">
        <x:v>https://github.com/Roger-LegalEase/legalease-partner-dashboard-clean/blob/2f0ef0403f16e57544ad0bc86b2d1b1cd08861b3/src/lib/rcap-engine/compiled/profiles/AR-arkansas.json</x:v>
      </x:c>
    </x:row>
    <x:row r="23">
      <x:c r="A23" s="55" t="str">
        <x:v>Arkansas</x:v>
      </x:c>
      <x:c r="B23" s="142" t="str">
        <x:v>AR</x:v>
      </x:c>
      <x:c r="C23" s="142" t="str">
        <x:v>What case, docket, cause, or arrest number appears on the record?</x:v>
      </x:c>
      <x:c r="D23" s="142" t="str">
        <x:v>case_details</x:v>
      </x:c>
      <x:c r="E23" s="142" t="str">
        <x:v>text_or_unknown</x:v>
      </x:c>
      <x:c r="F23" s="142" t="str">
        <x:v>Packet completion: record, court, case, filing, or form detail</x:v>
      </x:c>
      <x:c r="G23" s="56" t="str">
        <x:v>https://github.com/Roger-LegalEase/legalease-partner-dashboard-clean/blob/2f0ef0403f16e57544ad0bc86b2d1b1cd08861b3/src/lib/rcap-engine/compiled/profiles/AR-arkansas.json</x:v>
      </x:c>
    </x:row>
    <x:row r="24">
      <x:c r="A24" s="55" t="str">
        <x:v>Arizona</x:v>
      </x:c>
      <x:c r="B24" s="142" t="str">
        <x:v>AZ</x:v>
      </x:c>
      <x:c r="C24" s="142" t="str">
        <x:v>Do you have the Arizona criminal-history report, court docket, or certified disposition needed to verify the record?</x:v>
      </x:c>
      <x:c r="D24" s="142" t="str">
        <x:v>record_readiness</x:v>
      </x:c>
      <x:c r="E24" s="142" t="str">
        <x:v>yes_no_unsure</x:v>
      </x:c>
      <x:c r="F24" s="142" t="str">
        <x:v>Packet completion: record, court, case, filing, or form detail</x:v>
      </x:c>
      <x:c r="G24" s="56" t="str">
        <x:v>https://github.com/Roger-LegalEase/legalease-partner-dashboard-clean/blob/2f0ef0403f16e57544ad0bc86b2d1b1cd08861b3/src/lib/rcap-engine/compiled/profiles/AZ-arizona.json</x:v>
      </x:c>
    </x:row>
    <x:row r="25">
      <x:c r="A25" s="55" t="str">
        <x:v>Arizona</x:v>
      </x:c>
      <x:c r="B25" s="142" t="str">
        <x:v>AZ</x:v>
      </x:c>
      <x:c r="C25" s="142" t="str">
        <x:v>When was the case disposed of, dismissed, completed, or discharged?</x:v>
      </x:c>
      <x:c r="D25" s="142" t="str">
        <x:v>timing_and_completion</x:v>
      </x:c>
      <x:c r="E25" s="142" t="str">
        <x:v>date_or_unknown</x:v>
      </x:c>
      <x:c r="F25" s="142" t="str">
        <x:v>Packet completion/final verification: exact date; free check uses approximate timing where appropriate</x:v>
      </x:c>
      <x:c r="G25" s="56" t="str">
        <x:v>https://github.com/Roger-LegalEase/legalease-partner-dashboard-clean/blob/2f0ef0403f16e57544ad0bc86b2d1b1cd08861b3/src/lib/rcap-engine/compiled/profiles/AZ-arizona.json</x:v>
      </x:c>
    </x:row>
    <x:row r="26">
      <x:c r="A26" s="55" t="str">
        <x:v>Arizona</x:v>
      </x:c>
      <x:c r="B26" s="142" t="str">
        <x:v>AZ</x:v>
      </x:c>
      <x:c r="C26" s="142" t="str">
        <x:v>Which court or agency handled the case?</x:v>
      </x:c>
      <x:c r="D26" s="142" t="str">
        <x:v>case_details</x:v>
      </x:c>
      <x:c r="E26" s="142" t="str">
        <x:v>text</x:v>
      </x:c>
      <x:c r="F26" s="142" t="str">
        <x:v>Packet completion: record, court, case, filing, or form detail</x:v>
      </x:c>
      <x:c r="G26" s="56" t="str">
        <x:v>https://github.com/Roger-LegalEase/legalease-partner-dashboard-clean/blob/2f0ef0403f16e57544ad0bc86b2d1b1cd08861b3/src/lib/rcap-engine/compiled/profiles/AZ-arizona.json</x:v>
      </x:c>
    </x:row>
    <x:row r="27">
      <x:c r="A27" s="55" t="str">
        <x:v>Arizona</x:v>
      </x:c>
      <x:c r="B27" s="142" t="str">
        <x:v>AZ</x:v>
      </x:c>
      <x:c r="C27" s="142" t="str">
        <x:v>What charge, statute, or record description appears on the record?</x:v>
      </x:c>
      <x:c r="D27" s="142" t="str">
        <x:v>case_details</x:v>
      </x:c>
      <x:c r="E27" s="142" t="str">
        <x:v>text_or_unknown</x:v>
      </x:c>
      <x:c r="F27" s="142" t="str">
        <x:v>Packet completion: record, court, case, filing, or form detail</x:v>
      </x:c>
      <x:c r="G27" s="56" t="str">
        <x:v>https://github.com/Roger-LegalEase/legalease-partner-dashboard-clean/blob/2f0ef0403f16e57544ad0bc86b2d1b1cd08861b3/src/lib/rcap-engine/compiled/profiles/AZ-arizona.json</x:v>
      </x:c>
    </x:row>
    <x:row r="28">
      <x:c r="A28" s="55" t="str">
        <x:v>Arizona</x:v>
      </x:c>
      <x:c r="B28" s="142" t="str">
        <x:v>AZ</x:v>
      </x:c>
      <x:c r="C28" s="142" t="str">
        <x:v>Do you have court paperwork or a criminal-history record showing the exact charge and outcome?</x:v>
      </x:c>
      <x:c r="D28" s="142" t="str">
        <x:v>record_readiness</x:v>
      </x:c>
      <x:c r="E28" s="142" t="str">
        <x:v>yes_no_unsure</x:v>
      </x:c>
      <x:c r="F28" s="142" t="str">
        <x:v>Packet completion: record, court, case, filing, or form detail</x:v>
      </x:c>
      <x:c r="G28" s="56" t="str">
        <x:v>https://github.com/Roger-LegalEase/legalease-partner-dashboard-clean/blob/2f0ef0403f16e57544ad0bc86b2d1b1cd08861b3/src/lib/rcap-engine/compiled/profiles/AZ-arizona.json</x:v>
      </x:c>
    </x:row>
    <x:row r="29">
      <x:c r="A29" s="55" t="str">
        <x:v>Arizona</x:v>
      </x:c>
      <x:c r="B29" s="142" t="str">
        <x:v>AZ</x:v>
      </x:c>
      <x:c r="C29" s="142" t="str">
        <x:v>Where in Arizona was the case handled?</x:v>
      </x:c>
      <x:c r="D29" s="142" t="str">
        <x:v>case_details</x:v>
      </x:c>
      <x:c r="E29" s="142" t="str">
        <x:v>text_or_unknown</x:v>
      </x:c>
      <x:c r="F29" s="142" t="str">
        <x:v>Packet completion: record, court, case, filing, or form detail</x:v>
      </x:c>
      <x:c r="G29" s="56" t="str">
        <x:v>https://github.com/Roger-LegalEase/legalease-partner-dashboard-clean/blob/2f0ef0403f16e57544ad0bc86b2d1b1cd08861b3/src/lib/rcap-engine/compiled/profiles/AZ-arizona.json</x:v>
      </x:c>
    </x:row>
    <x:row r="30">
      <x:c r="A30" s="55" t="str">
        <x:v>Arizona</x:v>
      </x:c>
      <x:c r="B30" s="142" t="str">
        <x:v>AZ</x:v>
      </x:c>
      <x:c r="C30" s="142" t="str">
        <x:v>What case, docket, cause, or arrest number appears on the record?</x:v>
      </x:c>
      <x:c r="D30" s="142" t="str">
        <x:v>case_details</x:v>
      </x:c>
      <x:c r="E30" s="142" t="str">
        <x:v>text_or_unknown</x:v>
      </x:c>
      <x:c r="F30" s="142" t="str">
        <x:v>Packet completion: record, court, case, filing, or form detail</x:v>
      </x:c>
      <x:c r="G30" s="56" t="str">
        <x:v>https://github.com/Roger-LegalEase/legalease-partner-dashboard-clean/blob/2f0ef0403f16e57544ad0bc86b2d1b1cd08861b3/src/lib/rcap-engine/compiled/profiles/AZ-arizona.json</x:v>
      </x:c>
    </x:row>
    <x:row r="31">
      <x:c r="A31" s="55" t="str">
        <x:v>California</x:v>
      </x:c>
      <x:c r="B31" s="142" t="str">
        <x:v>CA</x:v>
      </x:c>
      <x:c r="C31" s="142" t="str">
        <x:v>Do you have the California criminal-history report, court docket, or certified disposition needed to verify the record?</x:v>
      </x:c>
      <x:c r="D31" s="142" t="str">
        <x:v>record_readiness</x:v>
      </x:c>
      <x:c r="E31" s="142" t="str">
        <x:v>yes_no_unsure</x:v>
      </x:c>
      <x:c r="F31" s="142" t="str">
        <x:v>Packet completion: record, court, case, filing, or form detail</x:v>
      </x:c>
      <x:c r="G31" s="56" t="str">
        <x:v>https://github.com/Roger-LegalEase/legalease-partner-dashboard-clean/blob/2f0ef0403f16e57544ad0bc86b2d1b1cd08861b3/src/lib/rcap-engine/compiled/profiles/CA-california.json</x:v>
      </x:c>
    </x:row>
    <x:row r="32">
      <x:c r="A32" s="55" t="str">
        <x:v>California</x:v>
      </x:c>
      <x:c r="B32" s="142" t="str">
        <x:v>CA</x:v>
      </x:c>
      <x:c r="C32" s="142" t="str">
        <x:v>What California county, parish, borough, district, or local filing area handled the case?</x:v>
      </x:c>
      <x:c r="D32" s="142" t="str">
        <x:v>case_details</x:v>
      </x:c>
      <x:c r="E32" s="142" t="str">
        <x:v>text</x:v>
      </x:c>
      <x:c r="F32" s="142" t="str">
        <x:v>Packet completion: record, court, case, filing, or form detail</x:v>
      </x:c>
      <x:c r="G32" s="56" t="str">
        <x:v>https://github.com/Roger-LegalEase/legalease-partner-dashboard-clean/blob/2f0ef0403f16e57544ad0bc86b2d1b1cd08861b3/src/lib/rcap-engine/compiled/profiles/CA-california.json</x:v>
      </x:c>
    </x:row>
    <x:row r="33">
      <x:c r="A33" s="55" t="str">
        <x:v>California</x:v>
      </x:c>
      <x:c r="B33" s="142" t="str">
        <x:v>CA</x:v>
      </x:c>
      <x:c r="C33" s="142" t="str">
        <x:v>Which court or agency handled the case?</x:v>
      </x:c>
      <x:c r="D33" s="142" t="str">
        <x:v>case_details</x:v>
      </x:c>
      <x:c r="E33" s="142" t="str">
        <x:v>text</x:v>
      </x:c>
      <x:c r="F33" s="142" t="str">
        <x:v>Packet completion: record, court, case, filing, or form detail</x:v>
      </x:c>
      <x:c r="G33" s="56" t="str">
        <x:v>https://github.com/Roger-LegalEase/legalease-partner-dashboard-clean/blob/2f0ef0403f16e57544ad0bc86b2d1b1cd08861b3/src/lib/rcap-engine/compiled/profiles/CA-california.json</x:v>
      </x:c>
    </x:row>
    <x:row r="34">
      <x:c r="A34" s="55" t="str">
        <x:v>California</x:v>
      </x:c>
      <x:c r="B34" s="142" t="str">
        <x:v>CA</x:v>
      </x:c>
      <x:c r="C34" s="142" t="str">
        <x:v>What charge, statute, or record description appears on the record?</x:v>
      </x:c>
      <x:c r="D34" s="142" t="str">
        <x:v>case_details</x:v>
      </x:c>
      <x:c r="E34" s="142" t="str">
        <x:v>text_or_unknown</x:v>
      </x:c>
      <x:c r="F34" s="142" t="str">
        <x:v>Packet completion: record, court, case, filing, or form detail</x:v>
      </x:c>
      <x:c r="G34" s="56" t="str">
        <x:v>https://github.com/Roger-LegalEase/legalease-partner-dashboard-clean/blob/2f0ef0403f16e57544ad0bc86b2d1b1cd08861b3/src/lib/rcap-engine/compiled/profiles/CA-california.json</x:v>
      </x:c>
    </x:row>
    <x:row r="35">
      <x:c r="A35" s="55" t="str">
        <x:v>California</x:v>
      </x:c>
      <x:c r="B35" s="142" t="str">
        <x:v>CA</x:v>
      </x:c>
      <x:c r="C35" s="142" t="str">
        <x:v>Do you have court paperwork or a criminal-history record showing the exact charge and outcome?</x:v>
      </x:c>
      <x:c r="D35" s="142" t="str">
        <x:v>record_readiness</x:v>
      </x:c>
      <x:c r="E35" s="142" t="str">
        <x:v>yes_no_unsure</x:v>
      </x:c>
      <x:c r="F35" s="142" t="str">
        <x:v>Packet completion: record, court, case, filing, or form detail</x:v>
      </x:c>
      <x:c r="G35" s="56" t="str">
        <x:v>https://github.com/Roger-LegalEase/legalease-partner-dashboard-clean/blob/2f0ef0403f16e57544ad0bc86b2d1b1cd08861b3/src/lib/rcap-engine/compiled/profiles/CA-california.json</x:v>
      </x:c>
    </x:row>
    <x:row r="36">
      <x:c r="A36" s="55" t="str">
        <x:v>California</x:v>
      </x:c>
      <x:c r="B36" s="142" t="str">
        <x:v>CA</x:v>
      </x:c>
      <x:c r="C36" s="142" t="str">
        <x:v>Where in California was the case handled?</x:v>
      </x:c>
      <x:c r="D36" s="142" t="str">
        <x:v>case_details</x:v>
      </x:c>
      <x:c r="E36" s="142" t="str">
        <x:v>text_or_unknown</x:v>
      </x:c>
      <x:c r="F36" s="142" t="str">
        <x:v>Packet completion: record, court, case, filing, or form detail</x:v>
      </x:c>
      <x:c r="G36" s="56" t="str">
        <x:v>https://github.com/Roger-LegalEase/legalease-partner-dashboard-clean/blob/2f0ef0403f16e57544ad0bc86b2d1b1cd08861b3/src/lib/rcap-engine/compiled/profiles/CA-california.json</x:v>
      </x:c>
    </x:row>
    <x:row r="37">
      <x:c r="A37" s="55" t="str">
        <x:v>California</x:v>
      </x:c>
      <x:c r="B37" s="142" t="str">
        <x:v>CA</x:v>
      </x:c>
      <x:c r="C37" s="142" t="str">
        <x:v>What case, docket, cause, or arrest number appears on the record?</x:v>
      </x:c>
      <x:c r="D37" s="142" t="str">
        <x:v>case_details</x:v>
      </x:c>
      <x:c r="E37" s="142" t="str">
        <x:v>text_or_unknown</x:v>
      </x:c>
      <x:c r="F37" s="142" t="str">
        <x:v>Packet completion: record, court, case, filing, or form detail</x:v>
      </x:c>
      <x:c r="G37" s="56" t="str">
        <x:v>https://github.com/Roger-LegalEase/legalease-partner-dashboard-clean/blob/2f0ef0403f16e57544ad0bc86b2d1b1cd08861b3/src/lib/rcap-engine/compiled/profiles/CA-california.json</x:v>
      </x:c>
    </x:row>
    <x:row r="38">
      <x:c r="A38" s="55" t="str">
        <x:v>Colorado</x:v>
      </x:c>
      <x:c r="B38" s="142" t="str">
        <x:v>CO</x:v>
      </x:c>
      <x:c r="C38" s="142" t="str">
        <x:v>Which court or agency handled the case?</x:v>
      </x:c>
      <x:c r="D38" s="142" t="str">
        <x:v>case_details</x:v>
      </x:c>
      <x:c r="E38" s="142" t="str">
        <x:v>text</x:v>
      </x:c>
      <x:c r="F38" s="142" t="str">
        <x:v>Packet completion: record, court, case, filing, or form detail</x:v>
      </x:c>
      <x:c r="G38" s="56" t="str">
        <x:v>https://github.com/Roger-LegalEase/legalease-partner-dashboard-clean/blob/2f0ef0403f16e57544ad0bc86b2d1b1cd08861b3/src/lib/rcap-engine/compiled/profiles/CO-colorado.json</x:v>
      </x:c>
    </x:row>
    <x:row r="39">
      <x:c r="A39" s="55" t="str">
        <x:v>Colorado</x:v>
      </x:c>
      <x:c r="B39" s="142" t="str">
        <x:v>CO</x:v>
      </x:c>
      <x:c r="C39" s="142" t="str">
        <x:v>What charge, statute, or record description appears on the record?</x:v>
      </x:c>
      <x:c r="D39" s="142" t="str">
        <x:v>case_details</x:v>
      </x:c>
      <x:c r="E39" s="142" t="str">
        <x:v>text_or_unknown</x:v>
      </x:c>
      <x:c r="F39" s="142" t="str">
        <x:v>Packet completion: record, court, case, filing, or form detail</x:v>
      </x:c>
      <x:c r="G39" s="56" t="str">
        <x:v>https://github.com/Roger-LegalEase/legalease-partner-dashboard-clean/blob/2f0ef0403f16e57544ad0bc86b2d1b1cd08861b3/src/lib/rcap-engine/compiled/profiles/CO-colorado.json</x:v>
      </x:c>
    </x:row>
    <x:row r="40">
      <x:c r="A40" s="55" t="str">
        <x:v>Colorado</x:v>
      </x:c>
      <x:c r="B40" s="142" t="str">
        <x:v>CO</x:v>
      </x:c>
      <x:c r="C40" s="142" t="str">
        <x:v>Do you have court paperwork or a criminal-history record showing the exact charge and outcome?</x:v>
      </x:c>
      <x:c r="D40" s="142" t="str">
        <x:v>record_readiness</x:v>
      </x:c>
      <x:c r="E40" s="142" t="str">
        <x:v>yes_no_unsure</x:v>
      </x:c>
      <x:c r="F40" s="142" t="str">
        <x:v>Packet completion: record, court, case, filing, or form detail</x:v>
      </x:c>
      <x:c r="G40" s="56" t="str">
        <x:v>https://github.com/Roger-LegalEase/legalease-partner-dashboard-clean/blob/2f0ef0403f16e57544ad0bc86b2d1b1cd08861b3/src/lib/rcap-engine/compiled/profiles/CO-colorado.json</x:v>
      </x:c>
    </x:row>
    <x:row r="41">
      <x:c r="A41" s="55" t="str">
        <x:v>Colorado</x:v>
      </x:c>
      <x:c r="B41" s="142" t="str">
        <x:v>CO</x:v>
      </x:c>
      <x:c r="C41" s="142" t="str">
        <x:v>Where in Colorado was the case handled?</x:v>
      </x:c>
      <x:c r="D41" s="142" t="str">
        <x:v>case_details</x:v>
      </x:c>
      <x:c r="E41" s="142" t="str">
        <x:v>text_or_unknown</x:v>
      </x:c>
      <x:c r="F41" s="142" t="str">
        <x:v>Packet completion: record, court, case, filing, or form detail</x:v>
      </x:c>
      <x:c r="G41" s="56" t="str">
        <x:v>https://github.com/Roger-LegalEase/legalease-partner-dashboard-clean/blob/2f0ef0403f16e57544ad0bc86b2d1b1cd08861b3/src/lib/rcap-engine/compiled/profiles/CO-colorado.json</x:v>
      </x:c>
    </x:row>
    <x:row r="42">
      <x:c r="A42" s="55" t="str">
        <x:v>Colorado</x:v>
      </x:c>
      <x:c r="B42" s="142" t="str">
        <x:v>CO</x:v>
      </x:c>
      <x:c r="C42" s="142" t="str">
        <x:v>What case, docket, cause, or arrest number appears on the record?</x:v>
      </x:c>
      <x:c r="D42" s="142" t="str">
        <x:v>case_details</x:v>
      </x:c>
      <x:c r="E42" s="142" t="str">
        <x:v>text_or_unknown</x:v>
      </x:c>
      <x:c r="F42" s="142" t="str">
        <x:v>Packet completion: record, court, case, filing, or form detail</x:v>
      </x:c>
      <x:c r="G42" s="56" t="str">
        <x:v>https://github.com/Roger-LegalEase/legalease-partner-dashboard-clean/blob/2f0ef0403f16e57544ad0bc86b2d1b1cd08861b3/src/lib/rcap-engine/compiled/profiles/CO-colorado.json</x:v>
      </x:c>
    </x:row>
    <x:row r="43">
      <x:c r="A43" s="55" t="str">
        <x:v>Connecticut</x:v>
      </x:c>
      <x:c r="B43" s="142" t="str">
        <x:v>CT</x:v>
      </x:c>
      <x:c r="C43" s="142" t="str">
        <x:v>Which court or agency handled the case?</x:v>
      </x:c>
      <x:c r="D43" s="142" t="str">
        <x:v>case_details</x:v>
      </x:c>
      <x:c r="E43" s="142" t="str">
        <x:v>text</x:v>
      </x:c>
      <x:c r="F43" s="142" t="str">
        <x:v>Packet completion: record, court, case, filing, or form detail</x:v>
      </x:c>
      <x:c r="G43" s="56" t="str">
        <x:v>https://github.com/Roger-LegalEase/legalease-partner-dashboard-clean/blob/2f0ef0403f16e57544ad0bc86b2d1b1cd08861b3/src/lib/rcap-engine/compiled/profiles/CT-connecticut.json</x:v>
      </x:c>
    </x:row>
    <x:row r="44">
      <x:c r="A44" s="55" t="str">
        <x:v>Connecticut</x:v>
      </x:c>
      <x:c r="B44" s="142" t="str">
        <x:v>CT</x:v>
      </x:c>
      <x:c r="C44" s="142" t="str">
        <x:v>What charge, statute, or record description appears on the record?</x:v>
      </x:c>
      <x:c r="D44" s="142" t="str">
        <x:v>case_details</x:v>
      </x:c>
      <x:c r="E44" s="142" t="str">
        <x:v>text_or_unknown</x:v>
      </x:c>
      <x:c r="F44" s="142" t="str">
        <x:v>Packet completion: record, court, case, filing, or form detail</x:v>
      </x:c>
      <x:c r="G44" s="56" t="str">
        <x:v>https://github.com/Roger-LegalEase/legalease-partner-dashboard-clean/blob/2f0ef0403f16e57544ad0bc86b2d1b1cd08861b3/src/lib/rcap-engine/compiled/profiles/CT-connecticut.json</x:v>
      </x:c>
    </x:row>
    <x:row r="45">
      <x:c r="A45" s="55" t="str">
        <x:v>Connecticut</x:v>
      </x:c>
      <x:c r="B45" s="142" t="str">
        <x:v>CT</x:v>
      </x:c>
      <x:c r="C45" s="142" t="str">
        <x:v>Do you have court paperwork or a criminal-history record showing the exact charge and outcome?</x:v>
      </x:c>
      <x:c r="D45" s="142" t="str">
        <x:v>record_readiness</x:v>
      </x:c>
      <x:c r="E45" s="142" t="str">
        <x:v>yes_no_unsure</x:v>
      </x:c>
      <x:c r="F45" s="142" t="str">
        <x:v>Packet completion: record, court, case, filing, or form detail</x:v>
      </x:c>
      <x:c r="G45" s="56" t="str">
        <x:v>https://github.com/Roger-LegalEase/legalease-partner-dashboard-clean/blob/2f0ef0403f16e57544ad0bc86b2d1b1cd08861b3/src/lib/rcap-engine/compiled/profiles/CT-connecticut.json</x:v>
      </x:c>
    </x:row>
    <x:row r="46">
      <x:c r="A46" s="55" t="str">
        <x:v>Connecticut</x:v>
      </x:c>
      <x:c r="B46" s="142" t="str">
        <x:v>CT</x:v>
      </x:c>
      <x:c r="C46" s="142" t="str">
        <x:v>Where in Connecticut was the case handled?</x:v>
      </x:c>
      <x:c r="D46" s="142" t="str">
        <x:v>case_details</x:v>
      </x:c>
      <x:c r="E46" s="142" t="str">
        <x:v>text_or_unknown</x:v>
      </x:c>
      <x:c r="F46" s="142" t="str">
        <x:v>Packet completion: record, court, case, filing, or form detail</x:v>
      </x:c>
      <x:c r="G46" s="56" t="str">
        <x:v>https://github.com/Roger-LegalEase/legalease-partner-dashboard-clean/blob/2f0ef0403f16e57544ad0bc86b2d1b1cd08861b3/src/lib/rcap-engine/compiled/profiles/CT-connecticut.json</x:v>
      </x:c>
    </x:row>
    <x:row r="47">
      <x:c r="A47" s="55" t="str">
        <x:v>Connecticut</x:v>
      </x:c>
      <x:c r="B47" s="142" t="str">
        <x:v>CT</x:v>
      </x:c>
      <x:c r="C47" s="142" t="str">
        <x:v>What case, docket, cause, or arrest number appears on the record?</x:v>
      </x:c>
      <x:c r="D47" s="142" t="str">
        <x:v>case_details</x:v>
      </x:c>
      <x:c r="E47" s="142" t="str">
        <x:v>text_or_unknown</x:v>
      </x:c>
      <x:c r="F47" s="142" t="str">
        <x:v>Packet completion: record, court, case, filing, or form detail</x:v>
      </x:c>
      <x:c r="G47" s="56" t="str">
        <x:v>https://github.com/Roger-LegalEase/legalease-partner-dashboard-clean/blob/2f0ef0403f16e57544ad0bc86b2d1b1cd08861b3/src/lib/rcap-engine/compiled/profiles/CT-connecticut.json</x:v>
      </x:c>
    </x:row>
    <x:row r="48">
      <x:c r="A48" s="55" t="str">
        <x:v>District of Columbia</x:v>
      </x:c>
      <x:c r="B48" s="142" t="str">
        <x:v>DC</x:v>
      </x:c>
      <x:c r="C48" s="142" t="str">
        <x:v>When was the case disposed of, dismissed, completed, or discharged?</x:v>
      </x:c>
      <x:c r="D48" s="142" t="str">
        <x:v>timing_and_completion</x:v>
      </x:c>
      <x:c r="E48" s="142" t="str">
        <x:v>date_or_unknown</x:v>
      </x:c>
      <x:c r="F48" s="142" t="str">
        <x:v>Packet completion/final verification: exact date; free check uses approximate timing where appropriate</x:v>
      </x:c>
      <x:c r="G48" s="56" t="str">
        <x:v>https://github.com/Roger-LegalEase/legalease-partner-dashboard-clean/blob/2f0ef0403f16e57544ad0bc86b2d1b1cd08861b3/src/lib/rcap-engine/compiled/profiles/DC-district-of-columbia.json</x:v>
      </x:c>
    </x:row>
    <x:row r="49">
      <x:c r="A49" s="55" t="str">
        <x:v>District of Columbia</x:v>
      </x:c>
      <x:c r="B49" s="142" t="str">
        <x:v>DC</x:v>
      </x:c>
      <x:c r="C49" s="142" t="str">
        <x:v>Which court or agency handled the case?</x:v>
      </x:c>
      <x:c r="D49" s="142" t="str">
        <x:v>case_details</x:v>
      </x:c>
      <x:c r="E49" s="142" t="str">
        <x:v>text</x:v>
      </x:c>
      <x:c r="F49" s="142" t="str">
        <x:v>Packet completion: record, court, case, filing, or form detail</x:v>
      </x:c>
      <x:c r="G49" s="56" t="str">
        <x:v>https://github.com/Roger-LegalEase/legalease-partner-dashboard-clean/blob/2f0ef0403f16e57544ad0bc86b2d1b1cd08861b3/src/lib/rcap-engine/compiled/profiles/DC-district-of-columbia.json</x:v>
      </x:c>
    </x:row>
    <x:row r="50">
      <x:c r="A50" s="55" t="str">
        <x:v>District of Columbia</x:v>
      </x:c>
      <x:c r="B50" s="142" t="str">
        <x:v>DC</x:v>
      </x:c>
      <x:c r="C50" s="142" t="str">
        <x:v>What charge, statute, or record description appears on the record?</x:v>
      </x:c>
      <x:c r="D50" s="142" t="str">
        <x:v>case_details</x:v>
      </x:c>
      <x:c r="E50" s="142" t="str">
        <x:v>text_or_unknown</x:v>
      </x:c>
      <x:c r="F50" s="142" t="str">
        <x:v>Packet completion: record, court, case, filing, or form detail</x:v>
      </x:c>
      <x:c r="G50" s="56" t="str">
        <x:v>https://github.com/Roger-LegalEase/legalease-partner-dashboard-clean/blob/2f0ef0403f16e57544ad0bc86b2d1b1cd08861b3/src/lib/rcap-engine/compiled/profiles/DC-district-of-columbia.json</x:v>
      </x:c>
    </x:row>
    <x:row r="51">
      <x:c r="A51" s="55" t="str">
        <x:v>District of Columbia</x:v>
      </x:c>
      <x:c r="B51" s="142" t="str">
        <x:v>DC</x:v>
      </x:c>
      <x:c r="C51" s="142" t="str">
        <x:v>Do you have court paperwork or a criminal-history record showing the exact charge and outcome?</x:v>
      </x:c>
      <x:c r="D51" s="142" t="str">
        <x:v>record_readiness</x:v>
      </x:c>
      <x:c r="E51" s="142" t="str">
        <x:v>yes_no_unsure</x:v>
      </x:c>
      <x:c r="F51" s="142" t="str">
        <x:v>Packet completion: record, court, case, filing, or form detail</x:v>
      </x:c>
      <x:c r="G51" s="56" t="str">
        <x:v>https://github.com/Roger-LegalEase/legalease-partner-dashboard-clean/blob/2f0ef0403f16e57544ad0bc86b2d1b1cd08861b3/src/lib/rcap-engine/compiled/profiles/DC-district-of-columbia.json</x:v>
      </x:c>
    </x:row>
    <x:row r="52">
      <x:c r="A52" s="55" t="str">
        <x:v>District of Columbia</x:v>
      </x:c>
      <x:c r="B52" s="142" t="str">
        <x:v>DC</x:v>
      </x:c>
      <x:c r="C52" s="142" t="str">
        <x:v>Where in District of Columbia was the case handled?</x:v>
      </x:c>
      <x:c r="D52" s="142" t="str">
        <x:v>case_details</x:v>
      </x:c>
      <x:c r="E52" s="142" t="str">
        <x:v>text_or_unknown</x:v>
      </x:c>
      <x:c r="F52" s="142" t="str">
        <x:v>Packet completion: record, court, case, filing, or form detail</x:v>
      </x:c>
      <x:c r="G52" s="56" t="str">
        <x:v>https://github.com/Roger-LegalEase/legalease-partner-dashboard-clean/blob/2f0ef0403f16e57544ad0bc86b2d1b1cd08861b3/src/lib/rcap-engine/compiled/profiles/DC-district-of-columbia.json</x:v>
      </x:c>
    </x:row>
    <x:row r="53">
      <x:c r="A53" s="55" t="str">
        <x:v>District of Columbia</x:v>
      </x:c>
      <x:c r="B53" s="142" t="str">
        <x:v>DC</x:v>
      </x:c>
      <x:c r="C53" s="142" t="str">
        <x:v>What case, docket, cause, or arrest number appears on the record?</x:v>
      </x:c>
      <x:c r="D53" s="142" t="str">
        <x:v>case_details</x:v>
      </x:c>
      <x:c r="E53" s="142" t="str">
        <x:v>text_or_unknown</x:v>
      </x:c>
      <x:c r="F53" s="142" t="str">
        <x:v>Packet completion: record, court, case, filing, or form detail</x:v>
      </x:c>
      <x:c r="G53" s="56" t="str">
        <x:v>https://github.com/Roger-LegalEase/legalease-partner-dashboard-clean/blob/2f0ef0403f16e57544ad0bc86b2d1b1cd08861b3/src/lib/rcap-engine/compiled/profiles/DC-district-of-columbia.json</x:v>
      </x:c>
    </x:row>
    <x:row r="54">
      <x:c r="A54" s="55" t="str">
        <x:v>Delaware</x:v>
      </x:c>
      <x:c r="B54" s="142" t="str">
        <x:v>DE</x:v>
      </x:c>
      <x:c r="C54" s="142" t="str">
        <x:v>Which court or agency handled the case?</x:v>
      </x:c>
      <x:c r="D54" s="142" t="str">
        <x:v>case_details</x:v>
      </x:c>
      <x:c r="E54" s="142" t="str">
        <x:v>text</x:v>
      </x:c>
      <x:c r="F54" s="142" t="str">
        <x:v>Packet completion: record, court, case, filing, or form detail</x:v>
      </x:c>
      <x:c r="G54" s="56" t="str">
        <x:v>https://github.com/Roger-LegalEase/legalease-partner-dashboard-clean/blob/2f0ef0403f16e57544ad0bc86b2d1b1cd08861b3/src/lib/rcap-engine/compiled/profiles/DE-delaware.json</x:v>
      </x:c>
    </x:row>
    <x:row r="55">
      <x:c r="A55" s="55" t="str">
        <x:v>Delaware</x:v>
      </x:c>
      <x:c r="B55" s="142" t="str">
        <x:v>DE</x:v>
      </x:c>
      <x:c r="C55" s="142" t="str">
        <x:v>What charge, statute, or record description appears on the record?</x:v>
      </x:c>
      <x:c r="D55" s="142" t="str">
        <x:v>case_details</x:v>
      </x:c>
      <x:c r="E55" s="142" t="str">
        <x:v>text_or_unknown</x:v>
      </x:c>
      <x:c r="F55" s="142" t="str">
        <x:v>Packet completion: record, court, case, filing, or form detail</x:v>
      </x:c>
      <x:c r="G55" s="56" t="str">
        <x:v>https://github.com/Roger-LegalEase/legalease-partner-dashboard-clean/blob/2f0ef0403f16e57544ad0bc86b2d1b1cd08861b3/src/lib/rcap-engine/compiled/profiles/DE-delaware.json</x:v>
      </x:c>
    </x:row>
    <x:row r="56">
      <x:c r="A56" s="55" t="str">
        <x:v>Delaware</x:v>
      </x:c>
      <x:c r="B56" s="142" t="str">
        <x:v>DE</x:v>
      </x:c>
      <x:c r="C56" s="142" t="str">
        <x:v>Do you have court paperwork or a criminal-history record showing the exact charge and outcome?</x:v>
      </x:c>
      <x:c r="D56" s="142" t="str">
        <x:v>record_readiness</x:v>
      </x:c>
      <x:c r="E56" s="142" t="str">
        <x:v>yes_no_unsure</x:v>
      </x:c>
      <x:c r="F56" s="142" t="str">
        <x:v>Packet completion: record, court, case, filing, or form detail</x:v>
      </x:c>
      <x:c r="G56" s="56" t="str">
        <x:v>https://github.com/Roger-LegalEase/legalease-partner-dashboard-clean/blob/2f0ef0403f16e57544ad0bc86b2d1b1cd08861b3/src/lib/rcap-engine/compiled/profiles/DE-delaware.json</x:v>
      </x:c>
    </x:row>
    <x:row r="57">
      <x:c r="A57" s="55" t="str">
        <x:v>Delaware</x:v>
      </x:c>
      <x:c r="B57" s="142" t="str">
        <x:v>DE</x:v>
      </x:c>
      <x:c r="C57" s="142" t="str">
        <x:v>Where in Delaware was the case handled?</x:v>
      </x:c>
      <x:c r="D57" s="142" t="str">
        <x:v>case_details</x:v>
      </x:c>
      <x:c r="E57" s="142" t="str">
        <x:v>text_or_unknown</x:v>
      </x:c>
      <x:c r="F57" s="142" t="str">
        <x:v>Packet completion: record, court, case, filing, or form detail</x:v>
      </x:c>
      <x:c r="G57" s="56" t="str">
        <x:v>https://github.com/Roger-LegalEase/legalease-partner-dashboard-clean/blob/2f0ef0403f16e57544ad0bc86b2d1b1cd08861b3/src/lib/rcap-engine/compiled/profiles/DE-delaware.json</x:v>
      </x:c>
    </x:row>
    <x:row r="58">
      <x:c r="A58" s="55" t="str">
        <x:v>Delaware</x:v>
      </x:c>
      <x:c r="B58" s="142" t="str">
        <x:v>DE</x:v>
      </x:c>
      <x:c r="C58" s="142" t="str">
        <x:v>What case, docket, cause, or arrest number appears on the record?</x:v>
      </x:c>
      <x:c r="D58" s="142" t="str">
        <x:v>case_details</x:v>
      </x:c>
      <x:c r="E58" s="142" t="str">
        <x:v>text_or_unknown</x:v>
      </x:c>
      <x:c r="F58" s="142" t="str">
        <x:v>Packet completion: record, court, case, filing, or form detail</x:v>
      </x:c>
      <x:c r="G58" s="56" t="str">
        <x:v>https://github.com/Roger-LegalEase/legalease-partner-dashboard-clean/blob/2f0ef0403f16e57544ad0bc86b2d1b1cd08861b3/src/lib/rcap-engine/compiled/profiles/DE-delaware.json</x:v>
      </x:c>
    </x:row>
    <x:row r="59">
      <x:c r="A59" s="55" t="str">
        <x:v>Florida</x:v>
      </x:c>
      <x:c r="B59" s="142" t="str">
        <x:v>FL</x:v>
      </x:c>
      <x:c r="C59" s="142" t="str">
        <x:v>Ask in this order:</x:v>
      </x:c>
      <x:c r="D59" s="142" t="str">
        <x:v>state_specific_eligibility</x:v>
      </x:c>
      <x:c r="E59" s="142" t="str">
        <x:v>text_or_choice</x:v>
      </x:c>
      <x:c r="F59" s="142" t="str">
        <x:v>Packet completion or final verification: source questionnaire detail is not part of the short free check</x:v>
      </x:c>
      <x:c r="G59" s="56" t="str">
        <x:v>https://github.com/Roger-LegalEase/legalease-partner-dashboard-clean/blob/2f0ef0403f16e57544ad0bc86b2d1b1cd08861b3/src/lib/rcap-engine/compiled/profiles/FL-florida.json</x:v>
      </x:c>
    </x:row>
    <x:row r="60">
      <x:c r="A60" s="55" t="str">
        <x:v>Florida</x:v>
      </x:c>
      <x:c r="B60" s="142" t="str">
        <x:v>FL</x:v>
      </x:c>
      <x:c r="C60" s="142" t="str">
        <x:v>Was this an adult case or juvenile case?</x:v>
      </x:c>
      <x:c r="D60" s="142" t="str">
        <x:v>state_specific_eligibility</x:v>
      </x:c>
      <x:c r="E60" s="142" t="str">
        <x:v>yes_no_unsure</x:v>
      </x:c>
      <x:c r="F60" s="142" t="str">
        <x:v>Packet completion or final verification: source questionnaire detail is not part of the short free check</x:v>
      </x:c>
      <x:c r="G60" s="56" t="str">
        <x:v>https://github.com/Roger-LegalEase/legalease-partner-dashboard-clean/blob/2f0ef0403f16e57544ad0bc86b2d1b1cd08861b3/src/lib/rcap-engine/compiled/profiles/FL-florida.json</x:v>
      </x:c>
    </x:row>
    <x:row r="61">
      <x:c r="A61" s="55" t="str">
        <x:v>Florida</x:v>
      </x:c>
      <x:c r="B61" s="142" t="str">
        <x:v>FL</x:v>
      </x:c>
      <x:c r="C61" s="142" t="str">
        <x:v>What county was the arrest in?</x:v>
      </x:c>
      <x:c r="D61" s="142" t="str">
        <x:v>state_specific_eligibility</x:v>
      </x:c>
      <x:c r="E61" s="142" t="str">
        <x:v>text_or_choice</x:v>
      </x:c>
      <x:c r="F61" s="142" t="str">
        <x:v>Packet completion or final verification: source questionnaire detail is not part of the short free check</x:v>
      </x:c>
      <x:c r="G61" s="56" t="str">
        <x:v>https://github.com/Roger-LegalEase/legalease-partner-dashboard-clean/blob/2f0ef0403f16e57544ad0bc86b2d1b1cd08861b3/src/lib/rcap-engine/compiled/profiles/FL-florida.json</x:v>
      </x:c>
    </x:row>
    <x:row r="62">
      <x:c r="A62" s="55" t="str">
        <x:v>Florida</x:v>
      </x:c>
      <x:c r="B62" s="142" t="str">
        <x:v>FL</x:v>
      </x:c>
      <x:c r="C62" s="142" t="str">
        <x:v>Were you physically arrested, or was it a Notice to Appear?</x:v>
      </x:c>
      <x:c r="D62" s="142" t="str">
        <x:v>state_specific_eligibility</x:v>
      </x:c>
      <x:c r="E62" s="142" t="str">
        <x:v>yes_no_unsure</x:v>
      </x:c>
      <x:c r="F62" s="142" t="str">
        <x:v>Packet completion or final verification: source questionnaire detail is not part of the short free check</x:v>
      </x:c>
      <x:c r="G62" s="56" t="str">
        <x:v>https://github.com/Roger-LegalEase/legalease-partner-dashboard-clean/blob/2f0ef0403f16e57544ad0bc86b2d1b1cd08861b3/src/lib/rcap-engine/compiled/profiles/FL-florida.json</x:v>
      </x:c>
    </x:row>
    <x:row r="63">
      <x:c r="A63" s="55" t="str">
        <x:v>Florida</x:v>
      </x:c>
      <x:c r="B63" s="142" t="str">
        <x:v>FL</x:v>
      </x:c>
      <x:c r="C63" s="142" t="str">
        <x:v>What was the arrest date or Notice to Appear date?</x:v>
      </x:c>
      <x:c r="D63" s="142" t="str">
        <x:v>state_specific_eligibility</x:v>
      </x:c>
      <x:c r="E63" s="142" t="str">
        <x:v>text_or_choice</x:v>
      </x:c>
      <x:c r="F63" s="142" t="str">
        <x:v>Packet completion or final verification: source questionnaire detail is not part of the short free check</x:v>
      </x:c>
      <x:c r="G63" s="56" t="str">
        <x:v>https://github.com/Roger-LegalEase/legalease-partner-dashboard-clean/blob/2f0ef0403f16e57544ad0bc86b2d1b1cd08861b3/src/lib/rcap-engine/compiled/profiles/FL-florida.json</x:v>
      </x:c>
    </x:row>
    <x:row r="64">
      <x:c r="A64" s="55" t="str">
        <x:v>Florida</x:v>
      </x:c>
      <x:c r="B64" s="142" t="str">
        <x:v>FL</x:v>
      </x:c>
      <x:c r="C64" s="142" t="str">
        <x:v>What was the exact charge and statute?</x:v>
      </x:c>
      <x:c r="D64" s="142" t="str">
        <x:v>state_specific_eligibility</x:v>
      </x:c>
      <x:c r="E64" s="142" t="str">
        <x:v>text_or_choice</x:v>
      </x:c>
      <x:c r="F64" s="142" t="str">
        <x:v>Packet completion or final verification: source questionnaire detail is not part of the short free check</x:v>
      </x:c>
      <x:c r="G64" s="56" t="str">
        <x:v>https://github.com/Roger-LegalEase/legalease-partner-dashboard-clean/blob/2f0ef0403f16e57544ad0bc86b2d1b1cd08861b3/src/lib/rcap-engine/compiled/profiles/FL-florida.json</x:v>
      </x:c>
    </x:row>
    <x:row r="65">
      <x:c r="A65" s="55" t="str">
        <x:v>Florida</x:v>
      </x:c>
      <x:c r="B65" s="142" t="str">
        <x:v>FL</x:v>
      </x:c>
      <x:c r="C65" s="142" t="str">
        <x:v>How did the case end: no file, dismissed, nolle prosequi, not guilty, acquittal, withhold of adjudication, adjudicated guilty, diversion, or still pending?</x:v>
      </x:c>
      <x:c r="D65" s="142" t="str">
        <x:v>state_specific_eligibility</x:v>
      </x:c>
      <x:c r="E65" s="142" t="str">
        <x:v>text_or_choice</x:v>
      </x:c>
      <x:c r="F65" s="142" t="str">
        <x:v>Packet completion or final verification: source questionnaire detail is not part of the short free check</x:v>
      </x:c>
      <x:c r="G65" s="56" t="str">
        <x:v>https://github.com/Roger-LegalEase/legalease-partner-dashboard-clean/blob/2f0ef0403f16e57544ad0bc86b2d1b1cd08861b3/src/lib/rcap-engine/compiled/profiles/FL-florida.json</x:v>
      </x:c>
    </x:row>
    <x:row r="66">
      <x:c r="A66" s="55" t="str">
        <x:v>Florida</x:v>
      </x:c>
      <x:c r="B66" s="142" t="str">
        <x:v>FL</x:v>
      </x:c>
      <x:c r="C66" s="142" t="str">
        <x:v>Were all counts resolved the same way?</x:v>
      </x:c>
      <x:c r="D66" s="142" t="str">
        <x:v>state_specific_eligibility</x:v>
      </x:c>
      <x:c r="E66" s="142" t="str">
        <x:v>yes_no_unsure</x:v>
      </x:c>
      <x:c r="F66" s="142" t="str">
        <x:v>Packet completion or final verification: source questionnaire detail is not part of the short free check</x:v>
      </x:c>
      <x:c r="G66" s="56" t="str">
        <x:v>https://github.com/Roger-LegalEase/legalease-partner-dashboard-clean/blob/2f0ef0403f16e57544ad0bc86b2d1b1cd08861b3/src/lib/rcap-engine/compiled/profiles/FL-florida.json</x:v>
      </x:c>
    </x:row>
    <x:row r="67">
      <x:c r="A67" s="55" t="str">
        <x:v>Florida</x:v>
      </x:c>
      <x:c r="B67" s="142" t="str">
        <x:v>FL</x:v>
      </x:c>
      <x:c r="C67" s="142" t="str">
        <x:v>Did you plead guilty or no contest?</x:v>
      </x:c>
      <x:c r="D67" s="142" t="str">
        <x:v>state_specific_eligibility</x:v>
      </x:c>
      <x:c r="E67" s="142" t="str">
        <x:v>yes_no_unsure</x:v>
      </x:c>
      <x:c r="F67" s="142" t="str">
        <x:v>Packet completion or final verification: source questionnaire detail is not part of the short free check</x:v>
      </x:c>
      <x:c r="G67" s="56" t="str">
        <x:v>https://github.com/Roger-LegalEase/legalease-partner-dashboard-clean/blob/2f0ef0403f16e57544ad0bc86b2d1b1cd08861b3/src/lib/rcap-engine/compiled/profiles/FL-florida.json</x:v>
      </x:c>
    </x:row>
    <x:row r="68">
      <x:c r="A68" s="55" t="str">
        <x:v>Florida</x:v>
      </x:c>
      <x:c r="B68" s="142" t="str">
        <x:v>FL</x:v>
      </x:c>
      <x:c r="C68" s="142" t="str">
        <x:v>Was adjudication withheld or were you adjudicated guilty?</x:v>
      </x:c>
      <x:c r="D68" s="142" t="str">
        <x:v>state_specific_eligibility</x:v>
      </x:c>
      <x:c r="E68" s="142" t="str">
        <x:v>yes_no_unsure</x:v>
      </x:c>
      <x:c r="F68" s="142" t="str">
        <x:v>Packet completion or final verification: source questionnaire detail is not part of the short free check</x:v>
      </x:c>
      <x:c r="G68" s="56" t="str">
        <x:v>https://github.com/Roger-LegalEase/legalease-partner-dashboard-clean/blob/2f0ef0403f16e57544ad0bc86b2d1b1cd08861b3/src/lib/rcap-engine/compiled/profiles/FL-florida.json</x:v>
      </x:c>
    </x:row>
    <x:row r="69">
      <x:c r="A69" s="55" t="str">
        <x:v>Florida</x:v>
      </x:c>
      <x:c r="B69" s="142" t="str">
        <x:v>FL</x:v>
      </x:c>
      <x:c r="C69" s="142" t="str">
        <x:v>Are you still on probation, court supervision, diversion, payment plan, or any sentence condition?</x:v>
      </x:c>
      <x:c r="D69" s="142" t="str">
        <x:v>state_specific_eligibility</x:v>
      </x:c>
      <x:c r="E69" s="142" t="str">
        <x:v>yes_no_unsure</x:v>
      </x:c>
      <x:c r="F69" s="142" t="str">
        <x:v>Packet completion or final verification: source questionnaire detail is not part of the short free check</x:v>
      </x:c>
      <x:c r="G69" s="56" t="str">
        <x:v>https://github.com/Roger-LegalEase/legalease-partner-dashboard-clean/blob/2f0ef0403f16e57544ad0bc86b2d1b1cd08861b3/src/lib/rcap-engine/compiled/profiles/FL-florida.json</x:v>
      </x:c>
    </x:row>
    <x:row r="70">
      <x:c r="A70" s="55" t="str">
        <x:v>Florida</x:v>
      </x:c>
      <x:c r="B70" s="142" t="str">
        <x:v>FL</x:v>
      </x:c>
      <x:c r="C70" s="142" t="str">
        <x:v>Have you ever been adjudicated guilty of any criminal offense anywhere?</x:v>
      </x:c>
      <x:c r="D70" s="142" t="str">
        <x:v>state_specific_eligibility</x:v>
      </x:c>
      <x:c r="E70" s="142" t="str">
        <x:v>yes_no_unsure</x:v>
      </x:c>
      <x:c r="F70" s="142" t="str">
        <x:v>Packet completion or final verification: source questionnaire detail is not part of the short free check</x:v>
      </x:c>
      <x:c r="G70" s="56" t="str">
        <x:v>https://github.com/Roger-LegalEase/legalease-partner-dashboard-clean/blob/2f0ef0403f16e57544ad0bc86b2d1b1cd08861b3/src/lib/rcap-engine/compiled/profiles/FL-florida.json</x:v>
      </x:c>
    </x:row>
    <x:row r="71">
      <x:c r="A71" s="55" t="str">
        <x:v>Florida</x:v>
      </x:c>
      <x:c r="B71" s="142" t="str">
        <x:v>FL</x:v>
      </x:c>
      <x:c r="C71" s="142" t="str">
        <x:v>Have you ever had a Florida record sealed or expunged before?</x:v>
      </x:c>
      <x:c r="D71" s="142" t="str">
        <x:v>state_specific_eligibility</x:v>
      </x:c>
      <x:c r="E71" s="142" t="str">
        <x:v>yes_no_unsure</x:v>
      </x:c>
      <x:c r="F71" s="142" t="str">
        <x:v>Packet completion or final verification: source questionnaire detail is not part of the short free check</x:v>
      </x:c>
      <x:c r="G71" s="56" t="str">
        <x:v>https://github.com/Roger-LegalEase/legalease-partner-dashboard-clean/blob/2f0ef0403f16e57544ad0bc86b2d1b1cd08861b3/src/lib/rcap-engine/compiled/profiles/FL-florida.json</x:v>
      </x:c>
    </x:row>
    <x:row r="72">
      <x:c r="A72" s="55" t="str">
        <x:v>Florida</x:v>
      </x:c>
      <x:c r="B72" s="142" t="str">
        <x:v>FL</x:v>
      </x:c>
      <x:c r="C72" s="142" t="str">
        <x:v>Was the charge one of the barred offenses, especially domestic violence, sex offense, child offense, violent offense, drug trafficking, manufacturing controlled substances, burglary of dwelling, robbery, or firearm/registration-related offense?</x:v>
      </x:c>
      <x:c r="D72" s="142" t="str">
        <x:v>state_specific_eligibility</x:v>
      </x:c>
      <x:c r="E72" s="142" t="str">
        <x:v>yes_no_unsure</x:v>
      </x:c>
      <x:c r="F72" s="142" t="str">
        <x:v>Packet completion or final verification: source questionnaire detail is not part of the short free check</x:v>
      </x:c>
      <x:c r="G72" s="56" t="str">
        <x:v>https://github.com/Roger-LegalEase/legalease-partner-dashboard-clean/blob/2f0ef0403f16e57544ad0bc86b2d1b1cd08861b3/src/lib/rcap-engine/compiled/profiles/FL-florida.json</x:v>
      </x:c>
    </x:row>
    <x:row r="73">
      <x:c r="A73" s="55" t="str">
        <x:v>Florida</x:v>
      </x:c>
      <x:c r="B73" s="142" t="str">
        <x:v>FL</x:v>
      </x:c>
      <x:c r="C73" s="142" t="str">
        <x:v>Was the case connected to human trafficking, coercion, or exploitation?</x:v>
      </x:c>
      <x:c r="D73" s="142" t="str">
        <x:v>state_specific_eligibility</x:v>
      </x:c>
      <x:c r="E73" s="142" t="str">
        <x:v>yes_no_unsure</x:v>
      </x:c>
      <x:c r="F73" s="142" t="str">
        <x:v>Packet completion or final verification: source questionnaire detail is not part of the short free check</x:v>
      </x:c>
      <x:c r="G73" s="56" t="str">
        <x:v>https://github.com/Roger-LegalEase/legalease-partner-dashboard-clean/blob/2f0ef0403f16e57544ad0bc86b2d1b1cd08861b3/src/lib/rcap-engine/compiled/profiles/FL-florida.json</x:v>
      </x:c>
    </x:row>
    <x:row r="74">
      <x:c r="A74" s="55" t="str">
        <x:v>Florida</x:v>
      </x:c>
      <x:c r="B74" s="142" t="str">
        <x:v>FL</x:v>
      </x:c>
      <x:c r="C74" s="142" t="str">
        <x:v>Was the dismissal/no-file based on lawful self-defense?</x:v>
      </x:c>
      <x:c r="D74" s="142" t="str">
        <x:v>state_specific_eligibility</x:v>
      </x:c>
      <x:c r="E74" s="142" t="str">
        <x:v>yes_no_unsure</x:v>
      </x:c>
      <x:c r="F74" s="142" t="str">
        <x:v>Packet completion or final verification: source questionnaire detail is not part of the short free check</x:v>
      </x:c>
      <x:c r="G74" s="56" t="str">
        <x:v>https://github.com/Roger-LegalEase/legalease-partner-dashboard-clean/blob/2f0ef0403f16e57544ad0bc86b2d1b1cd08861b3/src/lib/rcap-engine/compiled/profiles/FL-florida.json</x:v>
      </x:c>
    </x:row>
    <x:row r="75">
      <x:c r="A75" s="55" t="str">
        <x:v>Florida</x:v>
      </x:c>
      <x:c r="B75" s="142" t="str">
        <x:v>FL</x:v>
      </x:c>
      <x:c r="C75" s="142" t="str">
        <x:v>Was the arrest a mistake or made contrary to law?</x:v>
      </x:c>
      <x:c r="D75" s="142" t="str">
        <x:v>state_specific_eligibility</x:v>
      </x:c>
      <x:c r="E75" s="142" t="str">
        <x:v>yes_no_unsure</x:v>
      </x:c>
      <x:c r="F75" s="142" t="str">
        <x:v>Packet completion or final verification: source questionnaire detail is not part of the short free check</x:v>
      </x:c>
      <x:c r="G75" s="56" t="str">
        <x:v>https://github.com/Roger-LegalEase/legalease-partner-dashboard-clean/blob/2f0ef0403f16e57544ad0bc86b2d1b1cd08861b3/src/lib/rcap-engine/compiled/profiles/FL-florida.json</x:v>
      </x:c>
    </x:row>
    <x:row r="76">
      <x:c r="A76" s="55" t="str">
        <x:v>Florida</x:v>
      </x:c>
      <x:c r="B76" s="142" t="str">
        <x:v>FL</x:v>
      </x:c>
      <x:c r="C76" s="142" t="str">
        <x:v>Do you have the certified disposition from the clerk?</x:v>
      </x:c>
      <x:c r="D76" s="142" t="str">
        <x:v>state_specific_eligibility</x:v>
      </x:c>
      <x:c r="E76" s="142" t="str">
        <x:v>yes_no_unsure</x:v>
      </x:c>
      <x:c r="F76" s="142" t="str">
        <x:v>Packet completion or final verification: source questionnaire detail is not part of the short free check</x:v>
      </x:c>
      <x:c r="G76" s="56" t="str">
        <x:v>https://github.com/Roger-LegalEase/legalease-partner-dashboard-clean/blob/2f0ef0403f16e57544ad0bc86b2d1b1cd08861b3/src/lib/rcap-engine/compiled/profiles/FL-florida.json</x:v>
      </x:c>
    </x:row>
    <x:row r="77">
      <x:c r="A77" s="55" t="str">
        <x:v>Florida</x:v>
      </x:c>
      <x:c r="B77" s="142" t="str">
        <x:v>FL</x:v>
      </x:c>
      <x:c r="C77" s="142" t="str">
        <x:v>Do you have the Florida criminal-history report, court docket, or certified disposition needed to verify the record?</x:v>
      </x:c>
      <x:c r="D77" s="142" t="str">
        <x:v>record_readiness</x:v>
      </x:c>
      <x:c r="E77" s="142" t="str">
        <x:v>yes_no_unsure</x:v>
      </x:c>
      <x:c r="F77" s="142" t="str">
        <x:v>Packet completion: record, court, case, filing, or form detail</x:v>
      </x:c>
      <x:c r="G77" s="56" t="str">
        <x:v>https://github.com/Roger-LegalEase/legalease-partner-dashboard-clean/blob/2f0ef0403f16e57544ad0bc86b2d1b1cd08861b3/src/lib/rcap-engine/compiled/profiles/FL-florida.json</x:v>
      </x:c>
    </x:row>
    <x:row r="78">
      <x:c r="A78" s="55" t="str">
        <x:v>Florida</x:v>
      </x:c>
      <x:c r="B78" s="142" t="str">
        <x:v>FL</x:v>
      </x:c>
      <x:c r="C78" s="142" t="str">
        <x:v>When was the case disposed of, dismissed, completed, or discharged?</x:v>
      </x:c>
      <x:c r="D78" s="142" t="str">
        <x:v>timing_and_completion</x:v>
      </x:c>
      <x:c r="E78" s="142" t="str">
        <x:v>date_or_unknown</x:v>
      </x:c>
      <x:c r="F78" s="142" t="str">
        <x:v>Packet completion/final verification: exact date; free check uses approximate timing where appropriate</x:v>
      </x:c>
      <x:c r="G78" s="56" t="str">
        <x:v>https://github.com/Roger-LegalEase/legalease-partner-dashboard-clean/blob/2f0ef0403f16e57544ad0bc86b2d1b1cd08861b3/src/lib/rcap-engine/compiled/profiles/FL-florida.json</x:v>
      </x:c>
    </x:row>
    <x:row r="79">
      <x:c r="A79" s="55" t="str">
        <x:v>Florida</x:v>
      </x:c>
      <x:c r="B79" s="142" t="str">
        <x:v>FL</x:v>
      </x:c>
      <x:c r="C79" s="142" t="str">
        <x:v>What Florida county, parish, borough, district, or local filing area handled the case?</x:v>
      </x:c>
      <x:c r="D79" s="142" t="str">
        <x:v>case_details</x:v>
      </x:c>
      <x:c r="E79" s="142" t="str">
        <x:v>text</x:v>
      </x:c>
      <x:c r="F79" s="142" t="str">
        <x:v>Packet completion: record, court, case, filing, or form detail</x:v>
      </x:c>
      <x:c r="G79" s="56" t="str">
        <x:v>https://github.com/Roger-LegalEase/legalease-partner-dashboard-clean/blob/2f0ef0403f16e57544ad0bc86b2d1b1cd08861b3/src/lib/rcap-engine/compiled/profiles/FL-florida.json</x:v>
      </x:c>
    </x:row>
    <x:row r="80">
      <x:c r="A80" s="55" t="str">
        <x:v>Florida</x:v>
      </x:c>
      <x:c r="B80" s="142" t="str">
        <x:v>FL</x:v>
      </x:c>
      <x:c r="C80" s="142" t="str">
        <x:v>Which court or agency handled the case?</x:v>
      </x:c>
      <x:c r="D80" s="142" t="str">
        <x:v>case_details</x:v>
      </x:c>
      <x:c r="E80" s="142" t="str">
        <x:v>text</x:v>
      </x:c>
      <x:c r="F80" s="142" t="str">
        <x:v>Packet completion: record, court, case, filing, or form detail</x:v>
      </x:c>
      <x:c r="G80" s="56" t="str">
        <x:v>https://github.com/Roger-LegalEase/legalease-partner-dashboard-clean/blob/2f0ef0403f16e57544ad0bc86b2d1b1cd08861b3/src/lib/rcap-engine/compiled/profiles/FL-florida.json</x:v>
      </x:c>
    </x:row>
    <x:row r="81">
      <x:c r="A81" s="55" t="str">
        <x:v>Florida</x:v>
      </x:c>
      <x:c r="B81" s="142" t="str">
        <x:v>FL</x:v>
      </x:c>
      <x:c r="C81" s="142" t="str">
        <x:v>What charge, statute, or record description appears on the record?</x:v>
      </x:c>
      <x:c r="D81" s="142" t="str">
        <x:v>case_details</x:v>
      </x:c>
      <x:c r="E81" s="142" t="str">
        <x:v>text_or_unknown</x:v>
      </x:c>
      <x:c r="F81" s="142" t="str">
        <x:v>Packet completion: record, court, case, filing, or form detail</x:v>
      </x:c>
      <x:c r="G81" s="56" t="str">
        <x:v>https://github.com/Roger-LegalEase/legalease-partner-dashboard-clean/blob/2f0ef0403f16e57544ad0bc86b2d1b1cd08861b3/src/lib/rcap-engine/compiled/profiles/FL-florida.json</x:v>
      </x:c>
    </x:row>
    <x:row r="82">
      <x:c r="A82" s="55" t="str">
        <x:v>Florida</x:v>
      </x:c>
      <x:c r="B82" s="142" t="str">
        <x:v>FL</x:v>
      </x:c>
      <x:c r="C82" s="142" t="str">
        <x:v>Do you have court paperwork or a criminal-history record showing the exact charge and outcome?</x:v>
      </x:c>
      <x:c r="D82" s="142" t="str">
        <x:v>record_readiness</x:v>
      </x:c>
      <x:c r="E82" s="142" t="str">
        <x:v>yes_no_unsure</x:v>
      </x:c>
      <x:c r="F82" s="142" t="str">
        <x:v>Packet completion: record, court, case, filing, or form detail</x:v>
      </x:c>
      <x:c r="G82" s="56" t="str">
        <x:v>https://github.com/Roger-LegalEase/legalease-partner-dashboard-clean/blob/2f0ef0403f16e57544ad0bc86b2d1b1cd08861b3/src/lib/rcap-engine/compiled/profiles/FL-florida.json</x:v>
      </x:c>
    </x:row>
    <x:row r="83">
      <x:c r="A83" s="55" t="str">
        <x:v>Florida</x:v>
      </x:c>
      <x:c r="B83" s="142" t="str">
        <x:v>FL</x:v>
      </x:c>
      <x:c r="C83" s="142" t="str">
        <x:v>Where in Florida was the case handled?</x:v>
      </x:c>
      <x:c r="D83" s="142" t="str">
        <x:v>case_details</x:v>
      </x:c>
      <x:c r="E83" s="142" t="str">
        <x:v>text_or_unknown</x:v>
      </x:c>
      <x:c r="F83" s="142" t="str">
        <x:v>Packet completion: record, court, case, filing, or form detail</x:v>
      </x:c>
      <x:c r="G83" s="56" t="str">
        <x:v>https://github.com/Roger-LegalEase/legalease-partner-dashboard-clean/blob/2f0ef0403f16e57544ad0bc86b2d1b1cd08861b3/src/lib/rcap-engine/compiled/profiles/FL-florida.json</x:v>
      </x:c>
    </x:row>
    <x:row r="84">
      <x:c r="A84" s="55" t="str">
        <x:v>Georgia</x:v>
      </x:c>
      <x:c r="B84" s="142" t="str">
        <x:v>GA</x:v>
      </x:c>
      <x:c r="C84" s="142" t="str">
        <x:v>Do you have the Georgia criminal-history report, court docket, or certified disposition needed to verify the record?</x:v>
      </x:c>
      <x:c r="D84" s="142" t="str">
        <x:v>record_readiness</x:v>
      </x:c>
      <x:c r="E84" s="142" t="str">
        <x:v>yes_no_unsure</x:v>
      </x:c>
      <x:c r="F84" s="142" t="str">
        <x:v>Packet completion: record, court, case, filing, or form detail</x:v>
      </x:c>
      <x:c r="G84" s="56" t="str">
        <x:v>https://github.com/Roger-LegalEase/legalease-partner-dashboard-clean/blob/2f0ef0403f16e57544ad0bc86b2d1b1cd08861b3/src/lib/rcap-engine/compiled/profiles/GA-georgia.json</x:v>
      </x:c>
    </x:row>
    <x:row r="85">
      <x:c r="A85" s="55" t="str">
        <x:v>Georgia</x:v>
      </x:c>
      <x:c r="B85" s="142" t="str">
        <x:v>GA</x:v>
      </x:c>
      <x:c r="C85" s="142" t="str">
        <x:v>When was the case disposed of, dismissed, completed, or discharged?</x:v>
      </x:c>
      <x:c r="D85" s="142" t="str">
        <x:v>timing_and_completion</x:v>
      </x:c>
      <x:c r="E85" s="142" t="str">
        <x:v>date_or_unknown</x:v>
      </x:c>
      <x:c r="F85" s="142" t="str">
        <x:v>Packet completion/final verification: exact date; free check uses approximate timing where appropriate</x:v>
      </x:c>
      <x:c r="G85" s="56" t="str">
        <x:v>https://github.com/Roger-LegalEase/legalease-partner-dashboard-clean/blob/2f0ef0403f16e57544ad0bc86b2d1b1cd08861b3/src/lib/rcap-engine/compiled/profiles/GA-georgia.json</x:v>
      </x:c>
    </x:row>
    <x:row r="86">
      <x:c r="A86" s="55" t="str">
        <x:v>Georgia</x:v>
      </x:c>
      <x:c r="B86" s="142" t="str">
        <x:v>GA</x:v>
      </x:c>
      <x:c r="C86" s="142" t="str">
        <x:v>When did the arrest or citation occur?</x:v>
      </x:c>
      <x:c r="D86" s="142" t="str">
        <x:v>case_details</x:v>
      </x:c>
      <x:c r="E86" s="142" t="str">
        <x:v>date_or_unknown</x:v>
      </x:c>
      <x:c r="F86" s="142" t="str">
        <x:v>Packet completion: record, court, case, filing, or form detail</x:v>
      </x:c>
      <x:c r="G86" s="56" t="str">
        <x:v>https://github.com/Roger-LegalEase/legalease-partner-dashboard-clean/blob/2f0ef0403f16e57544ad0bc86b2d1b1cd08861b3/src/lib/rcap-engine/compiled/profiles/GA-georgia.json</x:v>
      </x:c>
    </x:row>
    <x:row r="87">
      <x:c r="A87" s="55" t="str">
        <x:v>Georgia</x:v>
      </x:c>
      <x:c r="B87" s="142" t="str">
        <x:v>GA</x:v>
      </x:c>
      <x:c r="C87" s="142" t="str">
        <x:v>What Georgia county, parish, borough, district, or local filing area handled the case?</x:v>
      </x:c>
      <x:c r="D87" s="142" t="str">
        <x:v>case_details</x:v>
      </x:c>
      <x:c r="E87" s="142" t="str">
        <x:v>text</x:v>
      </x:c>
      <x:c r="F87" s="142" t="str">
        <x:v>Packet completion: record, court, case, filing, or form detail</x:v>
      </x:c>
      <x:c r="G87" s="56" t="str">
        <x:v>https://github.com/Roger-LegalEase/legalease-partner-dashboard-clean/blob/2f0ef0403f16e57544ad0bc86b2d1b1cd08861b3/src/lib/rcap-engine/compiled/profiles/GA-georgia.json</x:v>
      </x:c>
    </x:row>
    <x:row r="88">
      <x:c r="A88" s="55" t="str">
        <x:v>Georgia</x:v>
      </x:c>
      <x:c r="B88" s="142" t="str">
        <x:v>GA</x:v>
      </x:c>
      <x:c r="C88" s="142" t="str">
        <x:v>Which court or agency handled the case?</x:v>
      </x:c>
      <x:c r="D88" s="142" t="str">
        <x:v>case_details</x:v>
      </x:c>
      <x:c r="E88" s="142" t="str">
        <x:v>text</x:v>
      </x:c>
      <x:c r="F88" s="142" t="str">
        <x:v>Packet completion: record, court, case, filing, or form detail</x:v>
      </x:c>
      <x:c r="G88" s="56" t="str">
        <x:v>https://github.com/Roger-LegalEase/legalease-partner-dashboard-clean/blob/2f0ef0403f16e57544ad0bc86b2d1b1cd08861b3/src/lib/rcap-engine/compiled/profiles/GA-georgia.json</x:v>
      </x:c>
    </x:row>
    <x:row r="89">
      <x:c r="A89" s="55" t="str">
        <x:v>Georgia</x:v>
      </x:c>
      <x:c r="B89" s="142" t="str">
        <x:v>GA</x:v>
      </x:c>
      <x:c r="C89" s="142" t="str">
        <x:v>What charge, statute, or record description appears on the record?</x:v>
      </x:c>
      <x:c r="D89" s="142" t="str">
        <x:v>case_details</x:v>
      </x:c>
      <x:c r="E89" s="142" t="str">
        <x:v>text_or_unknown</x:v>
      </x:c>
      <x:c r="F89" s="142" t="str">
        <x:v>Packet completion: record, court, case, filing, or form detail</x:v>
      </x:c>
      <x:c r="G89" s="56" t="str">
        <x:v>https://github.com/Roger-LegalEase/legalease-partner-dashboard-clean/blob/2f0ef0403f16e57544ad0bc86b2d1b1cd08861b3/src/lib/rcap-engine/compiled/profiles/GA-georgia.json</x:v>
      </x:c>
    </x:row>
    <x:row r="90">
      <x:c r="A90" s="55" t="str">
        <x:v>Georgia</x:v>
      </x:c>
      <x:c r="B90" s="142" t="str">
        <x:v>GA</x:v>
      </x:c>
      <x:c r="C90" s="142" t="str">
        <x:v>Do you have court paperwork or a criminal-history record showing the exact charge and outcome?</x:v>
      </x:c>
      <x:c r="D90" s="142" t="str">
        <x:v>record_readiness</x:v>
      </x:c>
      <x:c r="E90" s="142" t="str">
        <x:v>yes_no_unsure</x:v>
      </x:c>
      <x:c r="F90" s="142" t="str">
        <x:v>Packet completion: record, court, case, filing, or form detail</x:v>
      </x:c>
      <x:c r="G90" s="56" t="str">
        <x:v>https://github.com/Roger-LegalEase/legalease-partner-dashboard-clean/blob/2f0ef0403f16e57544ad0bc86b2d1b1cd08861b3/src/lib/rcap-engine/compiled/profiles/GA-georgia.json</x:v>
      </x:c>
    </x:row>
    <x:row r="91">
      <x:c r="A91" s="55" t="str">
        <x:v>Georgia</x:v>
      </x:c>
      <x:c r="B91" s="142" t="str">
        <x:v>GA</x:v>
      </x:c>
      <x:c r="C91" s="142" t="str">
        <x:v>Where in Georgia was the case handled?</x:v>
      </x:c>
      <x:c r="D91" s="142" t="str">
        <x:v>case_details</x:v>
      </x:c>
      <x:c r="E91" s="142" t="str">
        <x:v>text_or_unknown</x:v>
      </x:c>
      <x:c r="F91" s="142" t="str">
        <x:v>Packet completion: record, court, case, filing, or form detail</x:v>
      </x:c>
      <x:c r="G91" s="56" t="str">
        <x:v>https://github.com/Roger-LegalEase/legalease-partner-dashboard-clean/blob/2f0ef0403f16e57544ad0bc86b2d1b1cd08861b3/src/lib/rcap-engine/compiled/profiles/GA-georgia.json</x:v>
      </x:c>
    </x:row>
    <x:row r="92">
      <x:c r="A92" s="55" t="str">
        <x:v>Georgia</x:v>
      </x:c>
      <x:c r="B92" s="142" t="str">
        <x:v>GA</x:v>
      </x:c>
      <x:c r="C92" s="142" t="str">
        <x:v>What case, docket, cause, or arrest number appears on the record?</x:v>
      </x:c>
      <x:c r="D92" s="142" t="str">
        <x:v>case_details</x:v>
      </x:c>
      <x:c r="E92" s="142" t="str">
        <x:v>text_or_unknown</x:v>
      </x:c>
      <x:c r="F92" s="142" t="str">
        <x:v>Packet completion: record, court, case, filing, or form detail</x:v>
      </x:c>
      <x:c r="G92" s="56" t="str">
        <x:v>https://github.com/Roger-LegalEase/legalease-partner-dashboard-clean/blob/2f0ef0403f16e57544ad0bc86b2d1b1cd08861b3/src/lib/rcap-engine/compiled/profiles/GA-georgia.json</x:v>
      </x:c>
    </x:row>
    <x:row r="93">
      <x:c r="A93" s="55" t="str">
        <x:v>Hawaii</x:v>
      </x:c>
      <x:c r="B93" s="142" t="str">
        <x:v>HI</x:v>
      </x:c>
      <x:c r="C93" s="142" t="str">
        <x:v>Which court or agency handled the case?</x:v>
      </x:c>
      <x:c r="D93" s="142" t="str">
        <x:v>case_details</x:v>
      </x:c>
      <x:c r="E93" s="142" t="str">
        <x:v>text</x:v>
      </x:c>
      <x:c r="F93" s="142" t="str">
        <x:v>Packet completion: record, court, case, filing, or form detail</x:v>
      </x:c>
      <x:c r="G93" s="56" t="str">
        <x:v>https://github.com/Roger-LegalEase/legalease-partner-dashboard-clean/blob/2f0ef0403f16e57544ad0bc86b2d1b1cd08861b3/src/lib/rcap-engine/compiled/profiles/HI-hawaii.json</x:v>
      </x:c>
    </x:row>
    <x:row r="94">
      <x:c r="A94" s="55" t="str">
        <x:v>Hawaii</x:v>
      </x:c>
      <x:c r="B94" s="142" t="str">
        <x:v>HI</x:v>
      </x:c>
      <x:c r="C94" s="142" t="str">
        <x:v>What charge, statute, or record description appears on the record?</x:v>
      </x:c>
      <x:c r="D94" s="142" t="str">
        <x:v>case_details</x:v>
      </x:c>
      <x:c r="E94" s="142" t="str">
        <x:v>text_or_unknown</x:v>
      </x:c>
      <x:c r="F94" s="142" t="str">
        <x:v>Packet completion: record, court, case, filing, or form detail</x:v>
      </x:c>
      <x:c r="G94" s="56" t="str">
        <x:v>https://github.com/Roger-LegalEase/legalease-partner-dashboard-clean/blob/2f0ef0403f16e57544ad0bc86b2d1b1cd08861b3/src/lib/rcap-engine/compiled/profiles/HI-hawaii.json</x:v>
      </x:c>
    </x:row>
    <x:row r="95">
      <x:c r="A95" s="55" t="str">
        <x:v>Hawaii</x:v>
      </x:c>
      <x:c r="B95" s="142" t="str">
        <x:v>HI</x:v>
      </x:c>
      <x:c r="C95" s="142" t="str">
        <x:v>Do you have court paperwork or a criminal-history record showing the exact charge and outcome?</x:v>
      </x:c>
      <x:c r="D95" s="142" t="str">
        <x:v>record_readiness</x:v>
      </x:c>
      <x:c r="E95" s="142" t="str">
        <x:v>yes_no_unsure</x:v>
      </x:c>
      <x:c r="F95" s="142" t="str">
        <x:v>Packet completion: record, court, case, filing, or form detail</x:v>
      </x:c>
      <x:c r="G95" s="56" t="str">
        <x:v>https://github.com/Roger-LegalEase/legalease-partner-dashboard-clean/blob/2f0ef0403f16e57544ad0bc86b2d1b1cd08861b3/src/lib/rcap-engine/compiled/profiles/HI-hawaii.json</x:v>
      </x:c>
    </x:row>
    <x:row r="96">
      <x:c r="A96" s="55" t="str">
        <x:v>Hawaii</x:v>
      </x:c>
      <x:c r="B96" s="142" t="str">
        <x:v>HI</x:v>
      </x:c>
      <x:c r="C96" s="142" t="str">
        <x:v>Where in Hawaii was the case handled?</x:v>
      </x:c>
      <x:c r="D96" s="142" t="str">
        <x:v>case_details</x:v>
      </x:c>
      <x:c r="E96" s="142" t="str">
        <x:v>text_or_unknown</x:v>
      </x:c>
      <x:c r="F96" s="142" t="str">
        <x:v>Packet completion: record, court, case, filing, or form detail</x:v>
      </x:c>
      <x:c r="G96" s="56" t="str">
        <x:v>https://github.com/Roger-LegalEase/legalease-partner-dashboard-clean/blob/2f0ef0403f16e57544ad0bc86b2d1b1cd08861b3/src/lib/rcap-engine/compiled/profiles/HI-hawaii.json</x:v>
      </x:c>
    </x:row>
    <x:row r="97">
      <x:c r="A97" s="55" t="str">
        <x:v>Hawaii</x:v>
      </x:c>
      <x:c r="B97" s="142" t="str">
        <x:v>HI</x:v>
      </x:c>
      <x:c r="C97" s="142" t="str">
        <x:v>What case, docket, cause, or arrest number appears on the record?</x:v>
      </x:c>
      <x:c r="D97" s="142" t="str">
        <x:v>case_details</x:v>
      </x:c>
      <x:c r="E97" s="142" t="str">
        <x:v>text_or_unknown</x:v>
      </x:c>
      <x:c r="F97" s="142" t="str">
        <x:v>Packet completion: record, court, case, filing, or form detail</x:v>
      </x:c>
      <x:c r="G97" s="56" t="str">
        <x:v>https://github.com/Roger-LegalEase/legalease-partner-dashboard-clean/blob/2f0ef0403f16e57544ad0bc86b2d1b1cd08861b3/src/lib/rcap-engine/compiled/profiles/HI-hawaii.json</x:v>
      </x:c>
    </x:row>
    <x:row r="98">
      <x:c r="A98" s="55" t="str">
        <x:v>Iowa</x:v>
      </x:c>
      <x:c r="B98" s="142" t="str">
        <x:v>IA</x:v>
      </x:c>
      <x:c r="C98" s="142" t="str">
        <x:v>What Iowa county, parish, borough, district, or local filing area handled the case?</x:v>
      </x:c>
      <x:c r="D98" s="142" t="str">
        <x:v>case_details</x:v>
      </x:c>
      <x:c r="E98" s="142" t="str">
        <x:v>text</x:v>
      </x:c>
      <x:c r="F98" s="142" t="str">
        <x:v>Packet completion: record, court, case, filing, or form detail</x:v>
      </x:c>
      <x:c r="G98" s="56" t="str">
        <x:v>https://github.com/Roger-LegalEase/legalease-partner-dashboard-clean/blob/2f0ef0403f16e57544ad0bc86b2d1b1cd08861b3/src/lib/rcap-engine/compiled/profiles/IA-iowa.json</x:v>
      </x:c>
    </x:row>
    <x:row r="99">
      <x:c r="A99" s="55" t="str">
        <x:v>Iowa</x:v>
      </x:c>
      <x:c r="B99" s="142" t="str">
        <x:v>IA</x:v>
      </x:c>
      <x:c r="C99" s="142" t="str">
        <x:v>Which court or agency handled the case?</x:v>
      </x:c>
      <x:c r="D99" s="142" t="str">
        <x:v>case_details</x:v>
      </x:c>
      <x:c r="E99" s="142" t="str">
        <x:v>text</x:v>
      </x:c>
      <x:c r="F99" s="142" t="str">
        <x:v>Packet completion: record, court, case, filing, or form detail</x:v>
      </x:c>
      <x:c r="G99" s="56" t="str">
        <x:v>https://github.com/Roger-LegalEase/legalease-partner-dashboard-clean/blob/2f0ef0403f16e57544ad0bc86b2d1b1cd08861b3/src/lib/rcap-engine/compiled/profiles/IA-iowa.json</x:v>
      </x:c>
    </x:row>
    <x:row r="100">
      <x:c r="A100" s="55" t="str">
        <x:v>Iowa</x:v>
      </x:c>
      <x:c r="B100" s="142" t="str">
        <x:v>IA</x:v>
      </x:c>
      <x:c r="C100" s="142" t="str">
        <x:v>What charge, statute, or record description appears on the record?</x:v>
      </x:c>
      <x:c r="D100" s="142" t="str">
        <x:v>case_details</x:v>
      </x:c>
      <x:c r="E100" s="142" t="str">
        <x:v>text_or_unknown</x:v>
      </x:c>
      <x:c r="F100" s="142" t="str">
        <x:v>Packet completion: record, court, case, filing, or form detail</x:v>
      </x:c>
      <x:c r="G100" s="56" t="str">
        <x:v>https://github.com/Roger-LegalEase/legalease-partner-dashboard-clean/blob/2f0ef0403f16e57544ad0bc86b2d1b1cd08861b3/src/lib/rcap-engine/compiled/profiles/IA-iowa.json</x:v>
      </x:c>
    </x:row>
    <x:row r="101">
      <x:c r="A101" s="55" t="str">
        <x:v>Iowa</x:v>
      </x:c>
      <x:c r="B101" s="142" t="str">
        <x:v>IA</x:v>
      </x:c>
      <x:c r="C101" s="142" t="str">
        <x:v>Do you have court paperwork or a criminal-history record showing the exact charge and outcome?</x:v>
      </x:c>
      <x:c r="D101" s="142" t="str">
        <x:v>record_readiness</x:v>
      </x:c>
      <x:c r="E101" s="142" t="str">
        <x:v>yes_no_unsure</x:v>
      </x:c>
      <x:c r="F101" s="142" t="str">
        <x:v>Packet completion: record, court, case, filing, or form detail</x:v>
      </x:c>
      <x:c r="G101" s="56" t="str">
        <x:v>https://github.com/Roger-LegalEase/legalease-partner-dashboard-clean/blob/2f0ef0403f16e57544ad0bc86b2d1b1cd08861b3/src/lib/rcap-engine/compiled/profiles/IA-iowa.json</x:v>
      </x:c>
    </x:row>
    <x:row r="102">
      <x:c r="A102" s="55" t="str">
        <x:v>Iowa</x:v>
      </x:c>
      <x:c r="B102" s="142" t="str">
        <x:v>IA</x:v>
      </x:c>
      <x:c r="C102" s="142" t="str">
        <x:v>Where in Iowa was the case handled?</x:v>
      </x:c>
      <x:c r="D102" s="142" t="str">
        <x:v>case_details</x:v>
      </x:c>
      <x:c r="E102" s="142" t="str">
        <x:v>text_or_unknown</x:v>
      </x:c>
      <x:c r="F102" s="142" t="str">
        <x:v>Packet completion: record, court, case, filing, or form detail</x:v>
      </x:c>
      <x:c r="G102" s="56" t="str">
        <x:v>https://github.com/Roger-LegalEase/legalease-partner-dashboard-clean/blob/2f0ef0403f16e57544ad0bc86b2d1b1cd08861b3/src/lib/rcap-engine/compiled/profiles/IA-iowa.json</x:v>
      </x:c>
    </x:row>
    <x:row r="103">
      <x:c r="A103" s="55" t="str">
        <x:v>Iowa</x:v>
      </x:c>
      <x:c r="B103" s="142" t="str">
        <x:v>IA</x:v>
      </x:c>
      <x:c r="C103" s="142" t="str">
        <x:v>What case, docket, cause, or arrest number appears on the record?</x:v>
      </x:c>
      <x:c r="D103" s="142" t="str">
        <x:v>case_details</x:v>
      </x:c>
      <x:c r="E103" s="142" t="str">
        <x:v>text_or_unknown</x:v>
      </x:c>
      <x:c r="F103" s="142" t="str">
        <x:v>Packet completion: record, court, case, filing, or form detail</x:v>
      </x:c>
      <x:c r="G103" s="56" t="str">
        <x:v>https://github.com/Roger-LegalEase/legalease-partner-dashboard-clean/blob/2f0ef0403f16e57544ad0bc86b2d1b1cd08861b3/src/lib/rcap-engine/compiled/profiles/IA-iowa.json</x:v>
      </x:c>
    </x:row>
    <x:row r="104">
      <x:c r="A104" s="55" t="str">
        <x:v>Idaho</x:v>
      </x:c>
      <x:c r="B104" s="142" t="str">
        <x:v>ID</x:v>
      </x:c>
      <x:c r="C104" s="142" t="str">
        <x:v>When was the case disposed of, dismissed, completed, or discharged?</x:v>
      </x:c>
      <x:c r="D104" s="142" t="str">
        <x:v>timing_and_completion</x:v>
      </x:c>
      <x:c r="E104" s="142" t="str">
        <x:v>date_or_unknown</x:v>
      </x:c>
      <x:c r="F104" s="142" t="str">
        <x:v>Packet completion/final verification: exact date; free check uses approximate timing where appropriate</x:v>
      </x:c>
      <x:c r="G104" s="56" t="str">
        <x:v>https://github.com/Roger-LegalEase/legalease-partner-dashboard-clean/blob/2f0ef0403f16e57544ad0bc86b2d1b1cd08861b3/src/lib/rcap-engine/compiled/profiles/ID-idaho.json</x:v>
      </x:c>
    </x:row>
    <x:row r="105">
      <x:c r="A105" s="55" t="str">
        <x:v>Idaho</x:v>
      </x:c>
      <x:c r="B105" s="142" t="str">
        <x:v>ID</x:v>
      </x:c>
      <x:c r="C105" s="142" t="str">
        <x:v>What Idaho county, parish, borough, district, or local filing area handled the case?</x:v>
      </x:c>
      <x:c r="D105" s="142" t="str">
        <x:v>case_details</x:v>
      </x:c>
      <x:c r="E105" s="142" t="str">
        <x:v>text</x:v>
      </x:c>
      <x:c r="F105" s="142" t="str">
        <x:v>Packet completion: record, court, case, filing, or form detail</x:v>
      </x:c>
      <x:c r="G105" s="56" t="str">
        <x:v>https://github.com/Roger-LegalEase/legalease-partner-dashboard-clean/blob/2f0ef0403f16e57544ad0bc86b2d1b1cd08861b3/src/lib/rcap-engine/compiled/profiles/ID-idaho.json</x:v>
      </x:c>
    </x:row>
    <x:row r="106">
      <x:c r="A106" s="55" t="str">
        <x:v>Idaho</x:v>
      </x:c>
      <x:c r="B106" s="142" t="str">
        <x:v>ID</x:v>
      </x:c>
      <x:c r="C106" s="142" t="str">
        <x:v>Which court or agency handled the case?</x:v>
      </x:c>
      <x:c r="D106" s="142" t="str">
        <x:v>case_details</x:v>
      </x:c>
      <x:c r="E106" s="142" t="str">
        <x:v>text</x:v>
      </x:c>
      <x:c r="F106" s="142" t="str">
        <x:v>Packet completion: record, court, case, filing, or form detail</x:v>
      </x:c>
      <x:c r="G106" s="56" t="str">
        <x:v>https://github.com/Roger-LegalEase/legalease-partner-dashboard-clean/blob/2f0ef0403f16e57544ad0bc86b2d1b1cd08861b3/src/lib/rcap-engine/compiled/profiles/ID-idaho.json</x:v>
      </x:c>
    </x:row>
    <x:row r="107">
      <x:c r="A107" s="55" t="str">
        <x:v>Idaho</x:v>
      </x:c>
      <x:c r="B107" s="142" t="str">
        <x:v>ID</x:v>
      </x:c>
      <x:c r="C107" s="142" t="str">
        <x:v>What charge, statute, or record description appears on the record?</x:v>
      </x:c>
      <x:c r="D107" s="142" t="str">
        <x:v>case_details</x:v>
      </x:c>
      <x:c r="E107" s="142" t="str">
        <x:v>text_or_unknown</x:v>
      </x:c>
      <x:c r="F107" s="142" t="str">
        <x:v>Packet completion: record, court, case, filing, or form detail</x:v>
      </x:c>
      <x:c r="G107" s="56" t="str">
        <x:v>https://github.com/Roger-LegalEase/legalease-partner-dashboard-clean/blob/2f0ef0403f16e57544ad0bc86b2d1b1cd08861b3/src/lib/rcap-engine/compiled/profiles/ID-idaho.json</x:v>
      </x:c>
    </x:row>
    <x:row r="108">
      <x:c r="A108" s="55" t="str">
        <x:v>Idaho</x:v>
      </x:c>
      <x:c r="B108" s="142" t="str">
        <x:v>ID</x:v>
      </x:c>
      <x:c r="C108" s="142" t="str">
        <x:v>Do you have court paperwork or a criminal-history record showing the exact charge and outcome?</x:v>
      </x:c>
      <x:c r="D108" s="142" t="str">
        <x:v>record_readiness</x:v>
      </x:c>
      <x:c r="E108" s="142" t="str">
        <x:v>yes_no_unsure</x:v>
      </x:c>
      <x:c r="F108" s="142" t="str">
        <x:v>Packet completion: record, court, case, filing, or form detail</x:v>
      </x:c>
      <x:c r="G108" s="56" t="str">
        <x:v>https://github.com/Roger-LegalEase/legalease-partner-dashboard-clean/blob/2f0ef0403f16e57544ad0bc86b2d1b1cd08861b3/src/lib/rcap-engine/compiled/profiles/ID-idaho.json</x:v>
      </x:c>
    </x:row>
    <x:row r="109">
      <x:c r="A109" s="55" t="str">
        <x:v>Idaho</x:v>
      </x:c>
      <x:c r="B109" s="142" t="str">
        <x:v>ID</x:v>
      </x:c>
      <x:c r="C109" s="142" t="str">
        <x:v>Where in Idaho was the case handled?</x:v>
      </x:c>
      <x:c r="D109" s="142" t="str">
        <x:v>case_details</x:v>
      </x:c>
      <x:c r="E109" s="142" t="str">
        <x:v>text_or_unknown</x:v>
      </x:c>
      <x:c r="F109" s="142" t="str">
        <x:v>Packet completion: record, court, case, filing, or form detail</x:v>
      </x:c>
      <x:c r="G109" s="56" t="str">
        <x:v>https://github.com/Roger-LegalEase/legalease-partner-dashboard-clean/blob/2f0ef0403f16e57544ad0bc86b2d1b1cd08861b3/src/lib/rcap-engine/compiled/profiles/ID-idaho.json</x:v>
      </x:c>
    </x:row>
    <x:row r="110">
      <x:c r="A110" s="55" t="str">
        <x:v>Idaho</x:v>
      </x:c>
      <x:c r="B110" s="142" t="str">
        <x:v>ID</x:v>
      </x:c>
      <x:c r="C110" s="142" t="str">
        <x:v>What case, docket, cause, or arrest number appears on the record?</x:v>
      </x:c>
      <x:c r="D110" s="142" t="str">
        <x:v>case_details</x:v>
      </x:c>
      <x:c r="E110" s="142" t="str">
        <x:v>text_or_unknown</x:v>
      </x:c>
      <x:c r="F110" s="142" t="str">
        <x:v>Packet completion: record, court, case, filing, or form detail</x:v>
      </x:c>
      <x:c r="G110" s="56" t="str">
        <x:v>https://github.com/Roger-LegalEase/legalease-partner-dashboard-clean/blob/2f0ef0403f16e57544ad0bc86b2d1b1cd08861b3/src/lib/rcap-engine/compiled/profiles/ID-idaho.json</x:v>
      </x:c>
    </x:row>
    <x:row r="111">
      <x:c r="A111" s="55" t="str">
        <x:v>Illinois</x:v>
      </x:c>
      <x:c r="B111" s="142" t="str">
        <x:v>IL</x:v>
      </x:c>
      <x:c r="C111" s="142" t="str">
        <x:v>Ask in this order:</x:v>
      </x:c>
      <x:c r="D111" s="142" t="str">
        <x:v>state_specific_eligibility</x:v>
      </x:c>
      <x:c r="E111" s="142" t="str">
        <x:v>text_or_choice</x:v>
      </x:c>
      <x:c r="F111" s="142" t="str">
        <x:v>Packet completion or final verification: source questionnaire detail is not part of the short free check</x:v>
      </x:c>
      <x:c r="G111" s="56" t="str">
        <x:v>https://github.com/Roger-LegalEase/legalease-partner-dashboard-clean/blob/2f0ef0403f16e57544ad0bc86b2d1b1cd08861b3/src/lib/rcap-engine/compiled/profiles/IL-illinois.json</x:v>
      </x:c>
    </x:row>
    <x:row r="112">
      <x:c r="A112" s="55" t="str">
        <x:v>Illinois</x:v>
      </x:c>
      <x:c r="B112" s="142" t="str">
        <x:v>IL</x:v>
      </x:c>
      <x:c r="C112" s="142" t="str">
        <x:v>Was this an Illinois state case, federal case, or out-of-state case?</x:v>
      </x:c>
      <x:c r="D112" s="142" t="str">
        <x:v>state_specific_eligibility</x:v>
      </x:c>
      <x:c r="E112" s="142" t="str">
        <x:v>yes_no_unsure</x:v>
      </x:c>
      <x:c r="F112" s="142" t="str">
        <x:v>Packet completion or final verification: source questionnaire detail is not part of the short free check</x:v>
      </x:c>
      <x:c r="G112" s="56" t="str">
        <x:v>https://github.com/Roger-LegalEase/legalease-partner-dashboard-clean/blob/2f0ef0403f16e57544ad0bc86b2d1b1cd08861b3/src/lib/rcap-engine/compiled/profiles/IL-illinois.json</x:v>
      </x:c>
    </x:row>
    <x:row r="113">
      <x:c r="A113" s="55" t="str">
        <x:v>Illinois</x:v>
      </x:c>
      <x:c r="B113" s="142" t="str">
        <x:v>IL</x:v>
      </x:c>
      <x:c r="C113" s="142" t="str">
        <x:v>Were you under 18 when it happened, and was it handled in juvenile court or adult court?</x:v>
      </x:c>
      <x:c r="D113" s="142" t="str">
        <x:v>state_specific_eligibility</x:v>
      </x:c>
      <x:c r="E113" s="142" t="str">
        <x:v>yes_no_unsure</x:v>
      </x:c>
      <x:c r="F113" s="142" t="str">
        <x:v>Packet completion or final verification: source questionnaire detail is not part of the short free check</x:v>
      </x:c>
      <x:c r="G113" s="56" t="str">
        <x:v>https://github.com/Roger-LegalEase/legalease-partner-dashboard-clean/blob/2f0ef0403f16e57544ad0bc86b2d1b1cd08861b3/src/lib/rcap-engine/compiled/profiles/IL-illinois.json</x:v>
      </x:c>
    </x:row>
    <x:row r="114">
      <x:c r="A114" s="55" t="str">
        <x:v>Illinois</x:v>
      </x:c>
      <x:c r="B114" s="142" t="str">
        <x:v>IL</x:v>
      </x:c>
      <x:c r="C114" s="142" t="str">
        <x:v>What county, court, and case number?</x:v>
      </x:c>
      <x:c r="D114" s="142" t="str">
        <x:v>state_specific_eligibility</x:v>
      </x:c>
      <x:c r="E114" s="142" t="str">
        <x:v>text_or_choice</x:v>
      </x:c>
      <x:c r="F114" s="142" t="str">
        <x:v>Packet completion or final verification: source questionnaire detail is not part of the short free check</x:v>
      </x:c>
      <x:c r="G114" s="56" t="str">
        <x:v>https://github.com/Roger-LegalEase/legalease-partner-dashboard-clean/blob/2f0ef0403f16e57544ad0bc86b2d1b1cd08861b3/src/lib/rcap-engine/compiled/profiles/IL-illinois.json</x:v>
      </x:c>
    </x:row>
    <x:row r="115">
      <x:c r="A115" s="55" t="str">
        <x:v>Illinois</x:v>
      </x:c>
      <x:c r="B115" s="142" t="str">
        <x:v>IL</x:v>
      </x:c>
      <x:c r="C115" s="142" t="str">
        <x:v>Was there an arrest, ticket, or charge not initiated by arrest?</x:v>
      </x:c>
      <x:c r="D115" s="142" t="str">
        <x:v>state_specific_eligibility</x:v>
      </x:c>
      <x:c r="E115" s="142" t="str">
        <x:v>yes_no_unsure</x:v>
      </x:c>
      <x:c r="F115" s="142" t="str">
        <x:v>Packet completion or final verification: source questionnaire detail is not part of the short free check</x:v>
      </x:c>
      <x:c r="G115" s="56" t="str">
        <x:v>https://github.com/Roger-LegalEase/legalease-partner-dashboard-clean/blob/2f0ef0403f16e57544ad0bc86b2d1b1cd08861b3/src/lib/rcap-engine/compiled/profiles/IL-illinois.json</x:v>
      </x:c>
    </x:row>
    <x:row r="116">
      <x:c r="A116" s="55" t="str">
        <x:v>Illinois</x:v>
      </x:c>
      <x:c r="B116" s="142" t="str">
        <x:v>IL</x:v>
      </x:c>
      <x:c r="C116" s="142" t="str">
        <x:v>How did the case end: released without charging, dismissed, acquitted, no probable cause, supervision, qualified probation, conviction, reversed/vacated conviction, pardon, certificate of innocence, or still pending?</x:v>
      </x:c>
      <x:c r="D116" s="142" t="str">
        <x:v>state_specific_eligibility</x:v>
      </x:c>
      <x:c r="E116" s="142" t="str">
        <x:v>text_or_choice</x:v>
      </x:c>
      <x:c r="F116" s="142" t="str">
        <x:v>Packet completion or final verification: source questionnaire detail is not part of the short free check</x:v>
      </x:c>
      <x:c r="G116" s="56" t="str">
        <x:v>https://github.com/Roger-LegalEase/legalease-partner-dashboard-clean/blob/2f0ef0403f16e57544ad0bc86b2d1b1cd08861b3/src/lib/rcap-engine/compiled/profiles/IL-illinois.json</x:v>
      </x:c>
    </x:row>
    <x:row r="117">
      <x:c r="A117" s="55" t="str">
        <x:v>Illinois</x:v>
      </x:c>
      <x:c r="B117" s="142" t="str">
        <x:v>IL</x:v>
      </x:c>
      <x:c r="C117" s="142" t="str">
        <x:v>What was the exact charge and statute?</x:v>
      </x:c>
      <x:c r="D117" s="142" t="str">
        <x:v>state_specific_eligibility</x:v>
      </x:c>
      <x:c r="E117" s="142" t="str">
        <x:v>text_or_choice</x:v>
      </x:c>
      <x:c r="F117" s="142" t="str">
        <x:v>Packet completion or final verification: source questionnaire detail is not part of the short free check</x:v>
      </x:c>
      <x:c r="G117" s="56" t="str">
        <x:v>https://github.com/Roger-LegalEase/legalease-partner-dashboard-clean/blob/2f0ef0403f16e57544ad0bc86b2d1b1cd08861b3/src/lib/rcap-engine/compiled/profiles/IL-illinois.json</x:v>
      </x:c>
    </x:row>
    <x:row r="118">
      <x:c r="A118" s="55" t="str">
        <x:v>Illinois</x:v>
      </x:c>
      <x:c r="B118" s="142" t="str">
        <x:v>IL</x:v>
      </x:c>
      <x:c r="C118" s="142" t="str">
        <x:v>Was the case a DUI, reckless driving, minor traffic offense, domestic battery, protection-order/no-contact violation, sex offense, offense against a minor, animal cruelty, registry offense, or violent offense?</x:v>
      </x:c>
      <x:c r="D118" s="142" t="str">
        <x:v>state_specific_eligibility</x:v>
      </x:c>
      <x:c r="E118" s="142" t="str">
        <x:v>yes_no_unsure</x:v>
      </x:c>
      <x:c r="F118" s="142" t="str">
        <x:v>Packet completion or final verification: source questionnaire detail is not part of the short free check</x:v>
      </x:c>
      <x:c r="G118" s="56" t="str">
        <x:v>https://github.com/Roger-LegalEase/legalease-partner-dashboard-clean/blob/2f0ef0403f16e57544ad0bc86b2d1b1cd08861b3/src/lib/rcap-engine/compiled/profiles/IL-illinois.json</x:v>
      </x:c>
    </x:row>
    <x:row r="119">
      <x:c r="A119" s="55" t="str">
        <x:v>Illinois</x:v>
      </x:c>
      <x:c r="B119" s="142" t="str">
        <x:v>IL</x:v>
      </x:c>
      <x:c r="C119" s="142" t="str">
        <x:v>Did you successfully complete supervision or probation?</x:v>
      </x:c>
      <x:c r="D119" s="142" t="str">
        <x:v>state_specific_eligibility</x:v>
      </x:c>
      <x:c r="E119" s="142" t="str">
        <x:v>yes_no_unsure</x:v>
      </x:c>
      <x:c r="F119" s="142" t="str">
        <x:v>Packet completion or final verification: source questionnaire detail is not part of the short free check</x:v>
      </x:c>
      <x:c r="G119" s="56" t="str">
        <x:v>https://github.com/Roger-LegalEase/legalease-partner-dashboard-clean/blob/2f0ef0403f16e57544ad0bc86b2d1b1cd08861b3/src/lib/rcap-engine/compiled/profiles/IL-illinois.json</x:v>
      </x:c>
    </x:row>
    <x:row r="120">
      <x:c r="A120" s="55" t="str">
        <x:v>Illinois</x:v>
      </x:c>
      <x:c r="B120" s="142" t="str">
        <x:v>IL</x:v>
      </x:c>
      <x:c r="C120" s="142" t="str">
        <x:v>Was it qualified probation under a drug/cannabis/meth/second-chance/substance-use statute?</x:v>
      </x:c>
      <x:c r="D120" s="142" t="str">
        <x:v>state_specific_eligibility</x:v>
      </x:c>
      <x:c r="E120" s="142" t="str">
        <x:v>yes_no_unsure</x:v>
      </x:c>
      <x:c r="F120" s="142" t="str">
        <x:v>Packet completion or final verification: source questionnaire detail is not part of the short free check</x:v>
      </x:c>
      <x:c r="G120" s="56" t="str">
        <x:v>https://github.com/Roger-LegalEase/legalease-partner-dashboard-clean/blob/2f0ef0403f16e57544ad0bc86b2d1b1cd08861b3/src/lib/rcap-engine/compiled/profiles/IL-illinois.json</x:v>
      </x:c>
    </x:row>
    <x:row r="121">
      <x:c r="A121" s="55" t="str">
        <x:v>Illinois</x:v>
      </x:c>
      <x:c r="B121" s="142" t="str">
        <x:v>IL</x:v>
      </x:c>
      <x:c r="C121" s="142" t="str">
        <x:v>When did the last sentence, supervision, or qualified probation terminate?</x:v>
      </x:c>
      <x:c r="D121" s="142" t="str">
        <x:v>state_specific_eligibility</x:v>
      </x:c>
      <x:c r="E121" s="142" t="str">
        <x:v>text_or_choice</x:v>
      </x:c>
      <x:c r="F121" s="142" t="str">
        <x:v>Packet completion or final verification: source questionnaire detail is not part of the short free check</x:v>
      </x:c>
      <x:c r="G121" s="56" t="str">
        <x:v>https://github.com/Roger-LegalEase/legalease-partner-dashboard-clean/blob/2f0ef0403f16e57544ad0bc86b2d1b1cd08861b3/src/lib/rcap-engine/compiled/profiles/IL-illinois.json</x:v>
      </x:c>
    </x:row>
    <x:row r="122">
      <x:c r="A122" s="55" t="str">
        <x:v>Illinois</x:v>
      </x:c>
      <x:c r="B122" s="142" t="str">
        <x:v>IL</x:v>
      </x:c>
      <x:c r="C122" s="142" t="str">
        <x:v>Do you have any pending criminal charges?</x:v>
      </x:c>
      <x:c r="D122" s="142" t="str">
        <x:v>state_specific_eligibility</x:v>
      </x:c>
      <x:c r="E122" s="142" t="str">
        <x:v>yes_no_unsure</x:v>
      </x:c>
      <x:c r="F122" s="142" t="str">
        <x:v>Packet completion or final verification: source questionnaire detail is not part of the short free check</x:v>
      </x:c>
      <x:c r="G122" s="56" t="str">
        <x:v>https://github.com/Roger-LegalEase/legalease-partner-dashboard-clean/blob/2f0ef0403f16e57544ad0bc86b2d1b1cd08861b3/src/lib/rcap-engine/compiled/profiles/IL-illinois.json</x:v>
      </x:c>
    </x:row>
    <x:row r="123">
      <x:c r="A123" s="55" t="str">
        <x:v>Illinois</x:v>
      </x:c>
      <x:c r="B123" s="142" t="str">
        <x:v>IL</x:v>
      </x:c>
      <x:c r="C123" s="142" t="str">
        <x:v>Was the case cannabis-related? If yes, amount, statute, date, and violent-crime connection?</x:v>
      </x:c>
      <x:c r="D123" s="142" t="str">
        <x:v>state_specific_eligibility</x:v>
      </x:c>
      <x:c r="E123" s="142" t="str">
        <x:v>yes_no_unsure</x:v>
      </x:c>
      <x:c r="F123" s="142" t="str">
        <x:v>Packet completion or final verification: source questionnaire detail is not part of the short free check</x:v>
      </x:c>
      <x:c r="G123" s="56" t="str">
        <x:v>https://github.com/Roger-LegalEase/legalease-partner-dashboard-clean/blob/2f0ef0403f16e57544ad0bc86b2d1b1cd08861b3/src/lib/rcap-engine/compiled/profiles/IL-illinois.json</x:v>
      </x:c>
    </x:row>
    <x:row r="124">
      <x:c r="A124" s="55" t="str">
        <x:v>Illinois</x:v>
      </x:c>
      <x:c r="B124" s="142" t="str">
        <x:v>IL</x:v>
      </x:c>
      <x:c r="C124" s="142" t="str">
        <x:v>Was the case connected to trafficking, coercion, exploitation, survival circumstances, or felony prostitution?</x:v>
      </x:c>
      <x:c r="D124" s="142" t="str">
        <x:v>state_specific_eligibility</x:v>
      </x:c>
      <x:c r="E124" s="142" t="str">
        <x:v>yes_no_unsure</x:v>
      </x:c>
      <x:c r="F124" s="142" t="str">
        <x:v>Packet completion or final verification: source questionnaire detail is not part of the short free check</x:v>
      </x:c>
      <x:c r="G124" s="56" t="str">
        <x:v>https://github.com/Roger-LegalEase/legalease-partner-dashboard-clean/blob/2f0ef0403f16e57544ad0bc86b2d1b1cd08861b3/src/lib/rcap-engine/compiled/profiles/IL-illinois.json</x:v>
      </x:c>
    </x:row>
    <x:row r="125">
      <x:c r="A125" s="55" t="str">
        <x:v>Illinois</x:v>
      </x:c>
      <x:c r="B125" s="142" t="str">
        <x:v>IL</x:v>
      </x:c>
      <x:c r="C125" s="142" t="str">
        <x:v>Was someone else using your name or identity?</x:v>
      </x:c>
      <x:c r="D125" s="142" t="str">
        <x:v>state_specific_eligibility</x:v>
      </x:c>
      <x:c r="E125" s="142" t="str">
        <x:v>yes_no_unsure</x:v>
      </x:c>
      <x:c r="F125" s="142" t="str">
        <x:v>Packet completion or final verification: source questionnaire detail is not part of the short free check</x:v>
      </x:c>
      <x:c r="G125" s="56" t="str">
        <x:v>https://github.com/Roger-LegalEase/legalease-partner-dashboard-clean/blob/2f0ef0403f16e57544ad0bc86b2d1b1cd08861b3/src/lib/rcap-engine/compiled/profiles/IL-illinois.json</x:v>
      </x:c>
    </x:row>
    <x:row r="126">
      <x:c r="A126" s="55" t="str">
        <x:v>Illinois</x:v>
      </x:c>
      <x:c r="B126" s="142" t="str">
        <x:v>IL</x:v>
      </x:c>
      <x:c r="C126" s="142" t="str">
        <x:v>Do you have your ISP Access and Review RAP sheet, court dispositions, and Chicago RAP sheet if applicable?</x:v>
      </x:c>
      <x:c r="D126" s="142" t="str">
        <x:v>state_specific_eligibility</x:v>
      </x:c>
      <x:c r="E126" s="142" t="str">
        <x:v>yes_no_unsure</x:v>
      </x:c>
      <x:c r="F126" s="142" t="str">
        <x:v>Packet completion or final verification: source questionnaire detail is not part of the short free check</x:v>
      </x:c>
      <x:c r="G126" s="56" t="str">
        <x:v>https://github.com/Roger-LegalEase/legalease-partner-dashboard-clean/blob/2f0ef0403f16e57544ad0bc86b2d1b1cd08861b3/src/lib/rcap-engine/compiled/profiles/IL-illinois.json</x:v>
      </x:c>
    </x:row>
    <x:row r="127">
      <x:c r="A127" s="55" t="str">
        <x:v>Illinois</x:v>
      </x:c>
      <x:c r="B127" s="142" t="str">
        <x:v>IL</x:v>
      </x:c>
      <x:c r="C127" s="142" t="str">
        <x:v>When was the case disposed of, dismissed, completed, or discharged?</x:v>
      </x:c>
      <x:c r="D127" s="142" t="str">
        <x:v>timing_and_completion</x:v>
      </x:c>
      <x:c r="E127" s="142" t="str">
        <x:v>date_or_unknown</x:v>
      </x:c>
      <x:c r="F127" s="142" t="str">
        <x:v>Packet completion/final verification: exact date; free check uses approximate timing where appropriate</x:v>
      </x:c>
      <x:c r="G127" s="56" t="str">
        <x:v>https://github.com/Roger-LegalEase/legalease-partner-dashboard-clean/blob/2f0ef0403f16e57544ad0bc86b2d1b1cd08861b3/src/lib/rcap-engine/compiled/profiles/IL-illinois.json</x:v>
      </x:c>
    </x:row>
    <x:row r="128">
      <x:c r="A128" s="55" t="str">
        <x:v>Illinois</x:v>
      </x:c>
      <x:c r="B128" s="142" t="str">
        <x:v>IL</x:v>
      </x:c>
      <x:c r="C128" s="142" t="str">
        <x:v>Which court or agency handled the case?</x:v>
      </x:c>
      <x:c r="D128" s="142" t="str">
        <x:v>case_details</x:v>
      </x:c>
      <x:c r="E128" s="142" t="str">
        <x:v>text</x:v>
      </x:c>
      <x:c r="F128" s="142" t="str">
        <x:v>Packet completion: record, court, case, filing, or form detail</x:v>
      </x:c>
      <x:c r="G128" s="56" t="str">
        <x:v>https://github.com/Roger-LegalEase/legalease-partner-dashboard-clean/blob/2f0ef0403f16e57544ad0bc86b2d1b1cd08861b3/src/lib/rcap-engine/compiled/profiles/IL-illinois.json</x:v>
      </x:c>
    </x:row>
    <x:row r="129">
      <x:c r="A129" s="55" t="str">
        <x:v>Illinois</x:v>
      </x:c>
      <x:c r="B129" s="142" t="str">
        <x:v>IL</x:v>
      </x:c>
      <x:c r="C129" s="142" t="str">
        <x:v>What charge, statute, or record description appears on the record?</x:v>
      </x:c>
      <x:c r="D129" s="142" t="str">
        <x:v>case_details</x:v>
      </x:c>
      <x:c r="E129" s="142" t="str">
        <x:v>text_or_unknown</x:v>
      </x:c>
      <x:c r="F129" s="142" t="str">
        <x:v>Packet completion: record, court, case, filing, or form detail</x:v>
      </x:c>
      <x:c r="G129" s="56" t="str">
        <x:v>https://github.com/Roger-LegalEase/legalease-partner-dashboard-clean/blob/2f0ef0403f16e57544ad0bc86b2d1b1cd08861b3/src/lib/rcap-engine/compiled/profiles/IL-illinois.json</x:v>
      </x:c>
    </x:row>
    <x:row r="130">
      <x:c r="A130" s="55" t="str">
        <x:v>Illinois</x:v>
      </x:c>
      <x:c r="B130" s="142" t="str">
        <x:v>IL</x:v>
      </x:c>
      <x:c r="C130" s="142" t="str">
        <x:v>Do you have court paperwork or a criminal-history record showing the exact charge and outcome?</x:v>
      </x:c>
      <x:c r="D130" s="142" t="str">
        <x:v>record_readiness</x:v>
      </x:c>
      <x:c r="E130" s="142" t="str">
        <x:v>yes_no_unsure</x:v>
      </x:c>
      <x:c r="F130" s="142" t="str">
        <x:v>Packet completion: record, court, case, filing, or form detail</x:v>
      </x:c>
      <x:c r="G130" s="56" t="str">
        <x:v>https://github.com/Roger-LegalEase/legalease-partner-dashboard-clean/blob/2f0ef0403f16e57544ad0bc86b2d1b1cd08861b3/src/lib/rcap-engine/compiled/profiles/IL-illinois.json</x:v>
      </x:c>
    </x:row>
    <x:row r="131">
      <x:c r="A131" s="55" t="str">
        <x:v>Illinois</x:v>
      </x:c>
      <x:c r="B131" s="142" t="str">
        <x:v>IL</x:v>
      </x:c>
      <x:c r="C131" s="142" t="str">
        <x:v>Where in Illinois was the case handled?</x:v>
      </x:c>
      <x:c r="D131" s="142" t="str">
        <x:v>case_details</x:v>
      </x:c>
      <x:c r="E131" s="142" t="str">
        <x:v>text_or_unknown</x:v>
      </x:c>
      <x:c r="F131" s="142" t="str">
        <x:v>Packet completion: record, court, case, filing, or form detail</x:v>
      </x:c>
      <x:c r="G131" s="56" t="str">
        <x:v>https://github.com/Roger-LegalEase/legalease-partner-dashboard-clean/blob/2f0ef0403f16e57544ad0bc86b2d1b1cd08861b3/src/lib/rcap-engine/compiled/profiles/IL-illinois.json</x:v>
      </x:c>
    </x:row>
    <x:row r="132">
      <x:c r="A132" s="55" t="str">
        <x:v>Illinois</x:v>
      </x:c>
      <x:c r="B132" s="142" t="str">
        <x:v>IL</x:v>
      </x:c>
      <x:c r="C132" s="142" t="str">
        <x:v>What case, docket, cause, or arrest number appears on the record?</x:v>
      </x:c>
      <x:c r="D132" s="142" t="str">
        <x:v>case_details</x:v>
      </x:c>
      <x:c r="E132" s="142" t="str">
        <x:v>text_or_unknown</x:v>
      </x:c>
      <x:c r="F132" s="142" t="str">
        <x:v>Packet completion: record, court, case, filing, or form detail</x:v>
      </x:c>
      <x:c r="G132" s="56" t="str">
        <x:v>https://github.com/Roger-LegalEase/legalease-partner-dashboard-clean/blob/2f0ef0403f16e57544ad0bc86b2d1b1cd08861b3/src/lib/rcap-engine/compiled/profiles/IL-illinois.json</x:v>
      </x:c>
    </x:row>
    <x:row r="133">
      <x:c r="A133" s="55" t="str">
        <x:v>Indiana</x:v>
      </x:c>
      <x:c r="B133" s="142" t="str">
        <x:v>IN</x:v>
      </x:c>
      <x:c r="C133" s="142" t="str">
        <x:v>What Indiana county, parish, borough, district, or local filing area handled the case?</x:v>
      </x:c>
      <x:c r="D133" s="142" t="str">
        <x:v>case_details</x:v>
      </x:c>
      <x:c r="E133" s="142" t="str">
        <x:v>text</x:v>
      </x:c>
      <x:c r="F133" s="142" t="str">
        <x:v>Packet completion: record, court, case, filing, or form detail</x:v>
      </x:c>
      <x:c r="G133" s="56" t="str">
        <x:v>https://github.com/Roger-LegalEase/legalease-partner-dashboard-clean/blob/2f0ef0403f16e57544ad0bc86b2d1b1cd08861b3/src/lib/rcap-engine/compiled/profiles/IN-indiana.json</x:v>
      </x:c>
    </x:row>
    <x:row r="134">
      <x:c r="A134" s="55" t="str">
        <x:v>Indiana</x:v>
      </x:c>
      <x:c r="B134" s="142" t="str">
        <x:v>IN</x:v>
      </x:c>
      <x:c r="C134" s="142" t="str">
        <x:v>Which court or agency handled the case?</x:v>
      </x:c>
      <x:c r="D134" s="142" t="str">
        <x:v>case_details</x:v>
      </x:c>
      <x:c r="E134" s="142" t="str">
        <x:v>text</x:v>
      </x:c>
      <x:c r="F134" s="142" t="str">
        <x:v>Packet completion: record, court, case, filing, or form detail</x:v>
      </x:c>
      <x:c r="G134" s="56" t="str">
        <x:v>https://github.com/Roger-LegalEase/legalease-partner-dashboard-clean/blob/2f0ef0403f16e57544ad0bc86b2d1b1cd08861b3/src/lib/rcap-engine/compiled/profiles/IN-indiana.json</x:v>
      </x:c>
    </x:row>
    <x:row r="135">
      <x:c r="A135" s="55" t="str">
        <x:v>Indiana</x:v>
      </x:c>
      <x:c r="B135" s="142" t="str">
        <x:v>IN</x:v>
      </x:c>
      <x:c r="C135" s="142" t="str">
        <x:v>What is the case, cause, docket, or arrest number?</x:v>
      </x:c>
      <x:c r="D135" s="142" t="str">
        <x:v>case_details</x:v>
      </x:c>
      <x:c r="E135" s="142" t="str">
        <x:v>text_or_unknown</x:v>
      </x:c>
      <x:c r="F135" s="142" t="str">
        <x:v>Packet completion: record, court, case, filing, or form detail</x:v>
      </x:c>
      <x:c r="G135" s="56" t="str">
        <x:v>https://github.com/Roger-LegalEase/legalease-partner-dashboard-clean/blob/2f0ef0403f16e57544ad0bc86b2d1b1cd08861b3/src/lib/rcap-engine/compiled/profiles/IN-indiana.json</x:v>
      </x:c>
    </x:row>
    <x:row r="136">
      <x:c r="A136" s="55" t="str">
        <x:v>Indiana</x:v>
      </x:c>
      <x:c r="B136" s="142" t="str">
        <x:v>IN</x:v>
      </x:c>
      <x:c r="C136" s="142" t="str">
        <x:v>What charge, statute, or record description appears on the record?</x:v>
      </x:c>
      <x:c r="D136" s="142" t="str">
        <x:v>case_details</x:v>
      </x:c>
      <x:c r="E136" s="142" t="str">
        <x:v>text_or_unknown</x:v>
      </x:c>
      <x:c r="F136" s="142" t="str">
        <x:v>Packet completion: record, court, case, filing, or form detail</x:v>
      </x:c>
      <x:c r="G136" s="56" t="str">
        <x:v>https://github.com/Roger-LegalEase/legalease-partner-dashboard-clean/blob/2f0ef0403f16e57544ad0bc86b2d1b1cd08861b3/src/lib/rcap-engine/compiled/profiles/IN-indiana.json</x:v>
      </x:c>
    </x:row>
    <x:row r="137">
      <x:c r="A137" s="55" t="str">
        <x:v>Indiana</x:v>
      </x:c>
      <x:c r="B137" s="142" t="str">
        <x:v>IN</x:v>
      </x:c>
      <x:c r="C137" s="142" t="str">
        <x:v>Do you have court paperwork or a criminal-history record showing the exact charge and outcome?</x:v>
      </x:c>
      <x:c r="D137" s="142" t="str">
        <x:v>record_readiness</x:v>
      </x:c>
      <x:c r="E137" s="142" t="str">
        <x:v>yes_no_unsure</x:v>
      </x:c>
      <x:c r="F137" s="142" t="str">
        <x:v>Packet completion: record, court, case, filing, or form detail</x:v>
      </x:c>
      <x:c r="G137" s="56" t="str">
        <x:v>https://github.com/Roger-LegalEase/legalease-partner-dashboard-clean/blob/2f0ef0403f16e57544ad0bc86b2d1b1cd08861b3/src/lib/rcap-engine/compiled/profiles/IN-indiana.json</x:v>
      </x:c>
    </x:row>
    <x:row r="138">
      <x:c r="A138" s="55" t="str">
        <x:v>Indiana</x:v>
      </x:c>
      <x:c r="B138" s="142" t="str">
        <x:v>IN</x:v>
      </x:c>
      <x:c r="C138" s="142" t="str">
        <x:v>Where in Indiana was the case handled?</x:v>
      </x:c>
      <x:c r="D138" s="142" t="str">
        <x:v>case_details</x:v>
      </x:c>
      <x:c r="E138" s="142" t="str">
        <x:v>text_or_unknown</x:v>
      </x:c>
      <x:c r="F138" s="142" t="str">
        <x:v>Packet completion: record, court, case, filing, or form detail</x:v>
      </x:c>
      <x:c r="G138" s="56" t="str">
        <x:v>https://github.com/Roger-LegalEase/legalease-partner-dashboard-clean/blob/2f0ef0403f16e57544ad0bc86b2d1b1cd08861b3/src/lib/rcap-engine/compiled/profiles/IN-indiana.json</x:v>
      </x:c>
    </x:row>
    <x:row r="139">
      <x:c r="A139" s="55" t="str">
        <x:v>Indiana</x:v>
      </x:c>
      <x:c r="B139" s="142" t="str">
        <x:v>IN</x:v>
      </x:c>
      <x:c r="C139" s="142" t="str">
        <x:v>What case, docket, cause, or arrest number appears on the record?</x:v>
      </x:c>
      <x:c r="D139" s="142" t="str">
        <x:v>case_details</x:v>
      </x:c>
      <x:c r="E139" s="142" t="str">
        <x:v>text_or_unknown</x:v>
      </x:c>
      <x:c r="F139" s="142" t="str">
        <x:v>Packet completion: record, court, case, filing, or form detail</x:v>
      </x:c>
      <x:c r="G139" s="56" t="str">
        <x:v>https://github.com/Roger-LegalEase/legalease-partner-dashboard-clean/blob/2f0ef0403f16e57544ad0bc86b2d1b1cd08861b3/src/lib/rcap-engine/compiled/profiles/IN-indiana.json</x:v>
      </x:c>
    </x:row>
    <x:row r="140">
      <x:c r="A140" s="55" t="str">
        <x:v>Kansas</x:v>
      </x:c>
      <x:c r="B140" s="142" t="str">
        <x:v>KS</x:v>
      </x:c>
      <x:c r="C140" s="142" t="str">
        <x:v>What Kansas county, parish, borough, district, or local filing area handled the case?</x:v>
      </x:c>
      <x:c r="D140" s="142" t="str">
        <x:v>case_details</x:v>
      </x:c>
      <x:c r="E140" s="142" t="str">
        <x:v>text</x:v>
      </x:c>
      <x:c r="F140" s="142" t="str">
        <x:v>Packet completion: record, court, case, filing, or form detail</x:v>
      </x:c>
      <x:c r="G140" s="56" t="str">
        <x:v>https://github.com/Roger-LegalEase/legalease-partner-dashboard-clean/blob/2f0ef0403f16e57544ad0bc86b2d1b1cd08861b3/src/lib/rcap-engine/compiled/profiles/KS-kansas.json</x:v>
      </x:c>
    </x:row>
    <x:row r="141">
      <x:c r="A141" s="55" t="str">
        <x:v>Kansas</x:v>
      </x:c>
      <x:c r="B141" s="142" t="str">
        <x:v>KS</x:v>
      </x:c>
      <x:c r="C141" s="142" t="str">
        <x:v>Which court or agency handled the case?</x:v>
      </x:c>
      <x:c r="D141" s="142" t="str">
        <x:v>case_details</x:v>
      </x:c>
      <x:c r="E141" s="142" t="str">
        <x:v>text</x:v>
      </x:c>
      <x:c r="F141" s="142" t="str">
        <x:v>Packet completion: record, court, case, filing, or form detail</x:v>
      </x:c>
      <x:c r="G141" s="56" t="str">
        <x:v>https://github.com/Roger-LegalEase/legalease-partner-dashboard-clean/blob/2f0ef0403f16e57544ad0bc86b2d1b1cd08861b3/src/lib/rcap-engine/compiled/profiles/KS-kansas.json</x:v>
      </x:c>
    </x:row>
    <x:row r="142">
      <x:c r="A142" s="55" t="str">
        <x:v>Kansas</x:v>
      </x:c>
      <x:c r="B142" s="142" t="str">
        <x:v>KS</x:v>
      </x:c>
      <x:c r="C142" s="142" t="str">
        <x:v>What charge, statute, or record description appears on the record?</x:v>
      </x:c>
      <x:c r="D142" s="142" t="str">
        <x:v>case_details</x:v>
      </x:c>
      <x:c r="E142" s="142" t="str">
        <x:v>text_or_unknown</x:v>
      </x:c>
      <x:c r="F142" s="142" t="str">
        <x:v>Packet completion: record, court, case, filing, or form detail</x:v>
      </x:c>
      <x:c r="G142" s="56" t="str">
        <x:v>https://github.com/Roger-LegalEase/legalease-partner-dashboard-clean/blob/2f0ef0403f16e57544ad0bc86b2d1b1cd08861b3/src/lib/rcap-engine/compiled/profiles/KS-kansas.json</x:v>
      </x:c>
    </x:row>
    <x:row r="143">
      <x:c r="A143" s="55" t="str">
        <x:v>Kansas</x:v>
      </x:c>
      <x:c r="B143" s="142" t="str">
        <x:v>KS</x:v>
      </x:c>
      <x:c r="C143" s="142" t="str">
        <x:v>Do you have court paperwork or a criminal-history record showing the exact charge and outcome?</x:v>
      </x:c>
      <x:c r="D143" s="142" t="str">
        <x:v>record_readiness</x:v>
      </x:c>
      <x:c r="E143" s="142" t="str">
        <x:v>yes_no_unsure</x:v>
      </x:c>
      <x:c r="F143" s="142" t="str">
        <x:v>Packet completion: record, court, case, filing, or form detail</x:v>
      </x:c>
      <x:c r="G143" s="56" t="str">
        <x:v>https://github.com/Roger-LegalEase/legalease-partner-dashboard-clean/blob/2f0ef0403f16e57544ad0bc86b2d1b1cd08861b3/src/lib/rcap-engine/compiled/profiles/KS-kansas.json</x:v>
      </x:c>
    </x:row>
    <x:row r="144">
      <x:c r="A144" s="55" t="str">
        <x:v>Kansas</x:v>
      </x:c>
      <x:c r="B144" s="142" t="str">
        <x:v>KS</x:v>
      </x:c>
      <x:c r="C144" s="142" t="str">
        <x:v>Where in Kansas was the case handled?</x:v>
      </x:c>
      <x:c r="D144" s="142" t="str">
        <x:v>case_details</x:v>
      </x:c>
      <x:c r="E144" s="142" t="str">
        <x:v>text_or_unknown</x:v>
      </x:c>
      <x:c r="F144" s="142" t="str">
        <x:v>Packet completion: record, court, case, filing, or form detail</x:v>
      </x:c>
      <x:c r="G144" s="56" t="str">
        <x:v>https://github.com/Roger-LegalEase/legalease-partner-dashboard-clean/blob/2f0ef0403f16e57544ad0bc86b2d1b1cd08861b3/src/lib/rcap-engine/compiled/profiles/KS-kansas.json</x:v>
      </x:c>
    </x:row>
    <x:row r="145">
      <x:c r="A145" s="55" t="str">
        <x:v>Kansas</x:v>
      </x:c>
      <x:c r="B145" s="142" t="str">
        <x:v>KS</x:v>
      </x:c>
      <x:c r="C145" s="142" t="str">
        <x:v>What case, docket, cause, or arrest number appears on the record?</x:v>
      </x:c>
      <x:c r="D145" s="142" t="str">
        <x:v>case_details</x:v>
      </x:c>
      <x:c r="E145" s="142" t="str">
        <x:v>text_or_unknown</x:v>
      </x:c>
      <x:c r="F145" s="142" t="str">
        <x:v>Packet completion: record, court, case, filing, or form detail</x:v>
      </x:c>
      <x:c r="G145" s="56" t="str">
        <x:v>https://github.com/Roger-LegalEase/legalease-partner-dashboard-clean/blob/2f0ef0403f16e57544ad0bc86b2d1b1cd08861b3/src/lib/rcap-engine/compiled/profiles/KS-kansas.json</x:v>
      </x:c>
    </x:row>
    <x:row r="146">
      <x:c r="A146" s="55" t="str">
        <x:v>Kentucky</x:v>
      </x:c>
      <x:c r="B146" s="142" t="str">
        <x:v>KY</x:v>
      </x:c>
      <x:c r="C146" s="142" t="str">
        <x:v>What Kentucky county, parish, borough, district, or local filing area handled the case?</x:v>
      </x:c>
      <x:c r="D146" s="142" t="str">
        <x:v>case_details</x:v>
      </x:c>
      <x:c r="E146" s="142" t="str">
        <x:v>text</x:v>
      </x:c>
      <x:c r="F146" s="142" t="str">
        <x:v>Packet completion: record, court, case, filing, or form detail</x:v>
      </x:c>
      <x:c r="G146" s="56" t="str">
        <x:v>https://github.com/Roger-LegalEase/legalease-partner-dashboard-clean/blob/2f0ef0403f16e57544ad0bc86b2d1b1cd08861b3/src/lib/rcap-engine/compiled/profiles/KY-kentucky.json</x:v>
      </x:c>
    </x:row>
    <x:row r="147">
      <x:c r="A147" s="55" t="str">
        <x:v>Kentucky</x:v>
      </x:c>
      <x:c r="B147" s="142" t="str">
        <x:v>KY</x:v>
      </x:c>
      <x:c r="C147" s="142" t="str">
        <x:v>Which court or agency handled the case?</x:v>
      </x:c>
      <x:c r="D147" s="142" t="str">
        <x:v>case_details</x:v>
      </x:c>
      <x:c r="E147" s="142" t="str">
        <x:v>text</x:v>
      </x:c>
      <x:c r="F147" s="142" t="str">
        <x:v>Packet completion: record, court, case, filing, or form detail</x:v>
      </x:c>
      <x:c r="G147" s="56" t="str">
        <x:v>https://github.com/Roger-LegalEase/legalease-partner-dashboard-clean/blob/2f0ef0403f16e57544ad0bc86b2d1b1cd08861b3/src/lib/rcap-engine/compiled/profiles/KY-kentucky.json</x:v>
      </x:c>
    </x:row>
    <x:row r="148">
      <x:c r="A148" s="55" t="str">
        <x:v>Kentucky</x:v>
      </x:c>
      <x:c r="B148" s="142" t="str">
        <x:v>KY</x:v>
      </x:c>
      <x:c r="C148" s="142" t="str">
        <x:v>What charge, statute, or record description appears on the record?</x:v>
      </x:c>
      <x:c r="D148" s="142" t="str">
        <x:v>case_details</x:v>
      </x:c>
      <x:c r="E148" s="142" t="str">
        <x:v>text_or_unknown</x:v>
      </x:c>
      <x:c r="F148" s="142" t="str">
        <x:v>Packet completion: record, court, case, filing, or form detail</x:v>
      </x:c>
      <x:c r="G148" s="56" t="str">
        <x:v>https://github.com/Roger-LegalEase/legalease-partner-dashboard-clean/blob/2f0ef0403f16e57544ad0bc86b2d1b1cd08861b3/src/lib/rcap-engine/compiled/profiles/KY-kentucky.json</x:v>
      </x:c>
    </x:row>
    <x:row r="149">
      <x:c r="A149" s="55" t="str">
        <x:v>Kentucky</x:v>
      </x:c>
      <x:c r="B149" s="142" t="str">
        <x:v>KY</x:v>
      </x:c>
      <x:c r="C149" s="142" t="str">
        <x:v>Do you have court paperwork or a criminal-history record showing the exact charge and outcome?</x:v>
      </x:c>
      <x:c r="D149" s="142" t="str">
        <x:v>record_readiness</x:v>
      </x:c>
      <x:c r="E149" s="142" t="str">
        <x:v>yes_no_unsure</x:v>
      </x:c>
      <x:c r="F149" s="142" t="str">
        <x:v>Packet completion: record, court, case, filing, or form detail</x:v>
      </x:c>
      <x:c r="G149" s="56" t="str">
        <x:v>https://github.com/Roger-LegalEase/legalease-partner-dashboard-clean/blob/2f0ef0403f16e57544ad0bc86b2d1b1cd08861b3/src/lib/rcap-engine/compiled/profiles/KY-kentucky.json</x:v>
      </x:c>
    </x:row>
    <x:row r="150">
      <x:c r="A150" s="55" t="str">
        <x:v>Kentucky</x:v>
      </x:c>
      <x:c r="B150" s="142" t="str">
        <x:v>KY</x:v>
      </x:c>
      <x:c r="C150" s="142" t="str">
        <x:v>Where in Kentucky was the case handled?</x:v>
      </x:c>
      <x:c r="D150" s="142" t="str">
        <x:v>case_details</x:v>
      </x:c>
      <x:c r="E150" s="142" t="str">
        <x:v>text_or_unknown</x:v>
      </x:c>
      <x:c r="F150" s="142" t="str">
        <x:v>Packet completion: record, court, case, filing, or form detail</x:v>
      </x:c>
      <x:c r="G150" s="56" t="str">
        <x:v>https://github.com/Roger-LegalEase/legalease-partner-dashboard-clean/blob/2f0ef0403f16e57544ad0bc86b2d1b1cd08861b3/src/lib/rcap-engine/compiled/profiles/KY-kentucky.json</x:v>
      </x:c>
    </x:row>
    <x:row r="151">
      <x:c r="A151" s="55" t="str">
        <x:v>Kentucky</x:v>
      </x:c>
      <x:c r="B151" s="142" t="str">
        <x:v>KY</x:v>
      </x:c>
      <x:c r="C151" s="142" t="str">
        <x:v>What case, docket, cause, or arrest number appears on the record?</x:v>
      </x:c>
      <x:c r="D151" s="142" t="str">
        <x:v>case_details</x:v>
      </x:c>
      <x:c r="E151" s="142" t="str">
        <x:v>text_or_unknown</x:v>
      </x:c>
      <x:c r="F151" s="142" t="str">
        <x:v>Packet completion: record, court, case, filing, or form detail</x:v>
      </x:c>
      <x:c r="G151" s="56" t="str">
        <x:v>https://github.com/Roger-LegalEase/legalease-partner-dashboard-clean/blob/2f0ef0403f16e57544ad0bc86b2d1b1cd08861b3/src/lib/rcap-engine/compiled/profiles/KY-kentucky.json</x:v>
      </x:c>
    </x:row>
    <x:row r="152">
      <x:c r="A152" s="55" t="str">
        <x:v>Louisiana</x:v>
      </x:c>
      <x:c r="B152" s="142" t="str">
        <x:v>LA</x:v>
      </x:c>
      <x:c r="C152" s="142" t="str">
        <x:v>Step 1 - Is the person currently incarcerated at hard labor?</x:v>
      </x:c>
      <x:c r="D152" s="142" t="str">
        <x:v>state_specific_eligibility</x:v>
      </x:c>
      <x:c r="E152" s="142" t="str">
        <x:v>text_or_choice</x:v>
      </x:c>
      <x:c r="F152" s="142" t="str">
        <x:v>Packet completion or final verification: source questionnaire detail is not part of the short free check</x:v>
      </x:c>
      <x:c r="G152" s="56" t="str">
        <x:v>https://github.com/Roger-LegalEase/legalease-partner-dashboard-clean/blob/2f0ef0403f16e57544ad0bc86b2d1b1cd08861b3/src/lib/rcap-engine/compiled/profiles/LA-louisiana.json</x:v>
      </x:c>
    </x:row>
    <x:row r="153">
      <x:c r="A153" s="55" t="str">
        <x:v>Louisiana</x:v>
      </x:c>
      <x:c r="B153" s="142" t="str">
        <x:v>LA</x:v>
      </x:c>
      <x:c r="C153" s="142" t="str">
        <x:v>Step 2 - Did the arrest result in a conviction?</x:v>
      </x:c>
      <x:c r="D153" s="142" t="str">
        <x:v>state_specific_eligibility</x:v>
      </x:c>
      <x:c r="E153" s="142" t="str">
        <x:v>text_or_choice</x:v>
      </x:c>
      <x:c r="F153" s="142" t="str">
        <x:v>Packet completion or final verification: source questionnaire detail is not part of the short free check</x:v>
      </x:c>
      <x:c r="G153" s="56" t="str">
        <x:v>https://github.com/Roger-LegalEase/legalease-partner-dashboard-clean/blob/2f0ef0403f16e57544ad0bc86b2d1b1cd08861b3/src/lib/rcap-engine/compiled/profiles/LA-louisiana.json</x:v>
      </x:c>
    </x:row>
    <x:row r="154">
      <x:c r="A154" s="55" t="str">
        <x:v>Louisiana</x:v>
      </x:c>
      <x:c r="B154" s="142" t="str">
        <x:v>LA</x:v>
      </x:c>
      <x:c r="C154" s="142" t="str">
        <x:v>Do you have the Louisiana criminal-history report, court docket, or certified disposition needed to verify the record?</x:v>
      </x:c>
      <x:c r="D154" s="142" t="str">
        <x:v>record_readiness</x:v>
      </x:c>
      <x:c r="E154" s="142" t="str">
        <x:v>yes_no_unsure</x:v>
      </x:c>
      <x:c r="F154" s="142" t="str">
        <x:v>Packet completion: record, court, case, filing, or form detail</x:v>
      </x:c>
      <x:c r="G154" s="56" t="str">
        <x:v>https://github.com/Roger-LegalEase/legalease-partner-dashboard-clean/blob/2f0ef0403f16e57544ad0bc86b2d1b1cd08861b3/src/lib/rcap-engine/compiled/profiles/LA-louisiana.json</x:v>
      </x:c>
    </x:row>
    <x:row r="155">
      <x:c r="A155" s="55" t="str">
        <x:v>Louisiana</x:v>
      </x:c>
      <x:c r="B155" s="142" t="str">
        <x:v>LA</x:v>
      </x:c>
      <x:c r="C155" s="142" t="str">
        <x:v>When was the case disposed of, dismissed, completed, or discharged?</x:v>
      </x:c>
      <x:c r="D155" s="142" t="str">
        <x:v>timing_and_completion</x:v>
      </x:c>
      <x:c r="E155" s="142" t="str">
        <x:v>date_or_unknown</x:v>
      </x:c>
      <x:c r="F155" s="142" t="str">
        <x:v>Packet completion/final verification: exact date; free check uses approximate timing where appropriate</x:v>
      </x:c>
      <x:c r="G155" s="56" t="str">
        <x:v>https://github.com/Roger-LegalEase/legalease-partner-dashboard-clean/blob/2f0ef0403f16e57544ad0bc86b2d1b1cd08861b3/src/lib/rcap-engine/compiled/profiles/LA-louisiana.json</x:v>
      </x:c>
    </x:row>
    <x:row r="156">
      <x:c r="A156" s="55" t="str">
        <x:v>Louisiana</x:v>
      </x:c>
      <x:c r="B156" s="142" t="str">
        <x:v>LA</x:v>
      </x:c>
      <x:c r="C156" s="142" t="str">
        <x:v>When did the arrest or citation occur?</x:v>
      </x:c>
      <x:c r="D156" s="142" t="str">
        <x:v>case_details</x:v>
      </x:c>
      <x:c r="E156" s="142" t="str">
        <x:v>date_or_unknown</x:v>
      </x:c>
      <x:c r="F156" s="142" t="str">
        <x:v>Packet completion: record, court, case, filing, or form detail</x:v>
      </x:c>
      <x:c r="G156" s="56" t="str">
        <x:v>https://github.com/Roger-LegalEase/legalease-partner-dashboard-clean/blob/2f0ef0403f16e57544ad0bc86b2d1b1cd08861b3/src/lib/rcap-engine/compiled/profiles/LA-louisiana.json</x:v>
      </x:c>
    </x:row>
    <x:row r="157">
      <x:c r="A157" s="55" t="str">
        <x:v>Louisiana</x:v>
      </x:c>
      <x:c r="B157" s="142" t="str">
        <x:v>LA</x:v>
      </x:c>
      <x:c r="C157" s="142" t="str">
        <x:v>Which court or agency handled the case?</x:v>
      </x:c>
      <x:c r="D157" s="142" t="str">
        <x:v>case_details</x:v>
      </x:c>
      <x:c r="E157" s="142" t="str">
        <x:v>text</x:v>
      </x:c>
      <x:c r="F157" s="142" t="str">
        <x:v>Packet completion: record, court, case, filing, or form detail</x:v>
      </x:c>
      <x:c r="G157" s="56" t="str">
        <x:v>https://github.com/Roger-LegalEase/legalease-partner-dashboard-clean/blob/2f0ef0403f16e57544ad0bc86b2d1b1cd08861b3/src/lib/rcap-engine/compiled/profiles/LA-louisiana.json</x:v>
      </x:c>
    </x:row>
    <x:row r="158">
      <x:c r="A158" s="55" t="str">
        <x:v>Louisiana</x:v>
      </x:c>
      <x:c r="B158" s="142" t="str">
        <x:v>LA</x:v>
      </x:c>
      <x:c r="C158" s="142" t="str">
        <x:v>What is the case, cause, docket, or arrest number?</x:v>
      </x:c>
      <x:c r="D158" s="142" t="str">
        <x:v>case_details</x:v>
      </x:c>
      <x:c r="E158" s="142" t="str">
        <x:v>text_or_unknown</x:v>
      </x:c>
      <x:c r="F158" s="142" t="str">
        <x:v>Packet completion: record, court, case, filing, or form detail</x:v>
      </x:c>
      <x:c r="G158" s="56" t="str">
        <x:v>https://github.com/Roger-LegalEase/legalease-partner-dashboard-clean/blob/2f0ef0403f16e57544ad0bc86b2d1b1cd08861b3/src/lib/rcap-engine/compiled/profiles/LA-louisiana.json</x:v>
      </x:c>
    </x:row>
    <x:row r="159">
      <x:c r="A159" s="55" t="str">
        <x:v>Louisiana</x:v>
      </x:c>
      <x:c r="B159" s="142" t="str">
        <x:v>LA</x:v>
      </x:c>
      <x:c r="C159" s="142" t="str">
        <x:v>What charge, statute, or record description appears on the record?</x:v>
      </x:c>
      <x:c r="D159" s="142" t="str">
        <x:v>case_details</x:v>
      </x:c>
      <x:c r="E159" s="142" t="str">
        <x:v>text_or_unknown</x:v>
      </x:c>
      <x:c r="F159" s="142" t="str">
        <x:v>Packet completion: record, court, case, filing, or form detail</x:v>
      </x:c>
      <x:c r="G159" s="56" t="str">
        <x:v>https://github.com/Roger-LegalEase/legalease-partner-dashboard-clean/blob/2f0ef0403f16e57544ad0bc86b2d1b1cd08861b3/src/lib/rcap-engine/compiled/profiles/LA-louisiana.json</x:v>
      </x:c>
    </x:row>
    <x:row r="160">
      <x:c r="A160" s="55" t="str">
        <x:v>Louisiana</x:v>
      </x:c>
      <x:c r="B160" s="142" t="str">
        <x:v>LA</x:v>
      </x:c>
      <x:c r="C160" s="142" t="str">
        <x:v>Do you have court paperwork or a criminal-history record showing the exact charge and outcome?</x:v>
      </x:c>
      <x:c r="D160" s="142" t="str">
        <x:v>record_readiness</x:v>
      </x:c>
      <x:c r="E160" s="142" t="str">
        <x:v>yes_no_unsure</x:v>
      </x:c>
      <x:c r="F160" s="142" t="str">
        <x:v>Packet completion: record, court, case, filing, or form detail</x:v>
      </x:c>
      <x:c r="G160" s="56" t="str">
        <x:v>https://github.com/Roger-LegalEase/legalease-partner-dashboard-clean/blob/2f0ef0403f16e57544ad0bc86b2d1b1cd08861b3/src/lib/rcap-engine/compiled/profiles/LA-louisiana.json</x:v>
      </x:c>
    </x:row>
    <x:row r="161">
      <x:c r="A161" s="55" t="str">
        <x:v>Louisiana</x:v>
      </x:c>
      <x:c r="B161" s="142" t="str">
        <x:v>LA</x:v>
      </x:c>
      <x:c r="C161" s="142" t="str">
        <x:v>Where in Louisiana was the case handled?</x:v>
      </x:c>
      <x:c r="D161" s="142" t="str">
        <x:v>case_details</x:v>
      </x:c>
      <x:c r="E161" s="142" t="str">
        <x:v>text_or_unknown</x:v>
      </x:c>
      <x:c r="F161" s="142" t="str">
        <x:v>Packet completion: record, court, case, filing, or form detail</x:v>
      </x:c>
      <x:c r="G161" s="56" t="str">
        <x:v>https://github.com/Roger-LegalEase/legalease-partner-dashboard-clean/blob/2f0ef0403f16e57544ad0bc86b2d1b1cd08861b3/src/lib/rcap-engine/compiled/profiles/LA-louisiana.json</x:v>
      </x:c>
    </x:row>
    <x:row r="162">
      <x:c r="A162" s="55" t="str">
        <x:v>Louisiana</x:v>
      </x:c>
      <x:c r="B162" s="142" t="str">
        <x:v>LA</x:v>
      </x:c>
      <x:c r="C162" s="142" t="str">
        <x:v>What case, docket, cause, or arrest number appears on the record?</x:v>
      </x:c>
      <x:c r="D162" s="142" t="str">
        <x:v>case_details</x:v>
      </x:c>
      <x:c r="E162" s="142" t="str">
        <x:v>text_or_unknown</x:v>
      </x:c>
      <x:c r="F162" s="142" t="str">
        <x:v>Packet completion: record, court, case, filing, or form detail</x:v>
      </x:c>
      <x:c r="G162" s="56" t="str">
        <x:v>https://github.com/Roger-LegalEase/legalease-partner-dashboard-clean/blob/2f0ef0403f16e57544ad0bc86b2d1b1cd08861b3/src/lib/rcap-engine/compiled/profiles/LA-louisiana.json</x:v>
      </x:c>
    </x:row>
    <x:row r="163">
      <x:c r="A163" s="55" t="str">
        <x:v>Massachusetts</x:v>
      </x:c>
      <x:c r="B163" s="142" t="str">
        <x:v>MA</x:v>
      </x:c>
      <x:c r="C163" s="142" t="str">
        <x:v>Was this an adult criminal case, juvenile delinquency/youthful offender case, or are you not sure?</x:v>
      </x:c>
      <x:c r="D163" s="142" t="str">
        <x:v>state_specific_eligibility</x:v>
      </x:c>
      <x:c r="E163" s="142" t="str">
        <x:v>yes_no_unsure</x:v>
      </x:c>
      <x:c r="F163" s="142" t="str">
        <x:v>Packet completion or final verification: source questionnaire detail is not part of the short free check</x:v>
      </x:c>
      <x:c r="G163" s="56" t="str">
        <x:v>https://github.com/Roger-LegalEase/legalease-partner-dashboard-clean/blob/2f0ef0403f16e57544ad0bc86b2d1b1cd08861b3/src/lib/rcap-engine/compiled/profiles/MA-massachusetts.json</x:v>
      </x:c>
    </x:row>
    <x:row r="164">
      <x:c r="A164" s="55" t="str">
        <x:v>Massachusetts</x:v>
      </x:c>
      <x:c r="B164" s="142" t="str">
        <x:v>MA</x:v>
      </x:c>
      <x:c r="C164" s="142" t="str">
        <x:v>How did the case end: guilty/conviction, CWOF, dismissal, nolle prosequi, not guilty, no bill, no probable cause, or still pending?</x:v>
      </x:c>
      <x:c r="D164" s="142" t="str">
        <x:v>state_specific_eligibility</x:v>
      </x:c>
      <x:c r="E164" s="142" t="str">
        <x:v>text_or_choice</x:v>
      </x:c>
      <x:c r="F164" s="142" t="str">
        <x:v>Packet completion or final verification: source questionnaire detail is not part of the short free check</x:v>
      </x:c>
      <x:c r="G164" s="56" t="str">
        <x:v>https://github.com/Roger-LegalEase/legalease-partner-dashboard-clean/blob/2f0ef0403f16e57544ad0bc86b2d1b1cd08861b3/src/lib/rcap-engine/compiled/profiles/MA-massachusetts.json</x:v>
      </x:c>
    </x:row>
    <x:row r="165">
      <x:c r="A165" s="55" t="str">
        <x:v>Massachusetts</x:v>
      </x:c>
      <x:c r="B165" s="142" t="str">
        <x:v>MA</x:v>
      </x:c>
      <x:c r="C165" s="142" t="str">
        <x:v>Was it a misdemeanor or felony, and when did you finish jail, probation, parole, or any sentence?</x:v>
      </x:c>
      <x:c r="D165" s="142" t="str">
        <x:v>state_specific_eligibility</x:v>
      </x:c>
      <x:c r="E165" s="142" t="str">
        <x:v>yes_no_unsure</x:v>
      </x:c>
      <x:c r="F165" s="142" t="str">
        <x:v>Packet completion or final verification: source questionnaire detail is not part of the short free check</x:v>
      </x:c>
      <x:c r="G165" s="56" t="str">
        <x:v>https://github.com/Roger-LegalEase/legalease-partner-dashboard-clean/blob/2f0ef0403f16e57544ad0bc86b2d1b1cd08861b3/src/lib/rcap-engine/compiled/profiles/MA-massachusetts.json</x:v>
      </x:c>
    </x:row>
    <x:row r="166">
      <x:c r="A166" s="55" t="str">
        <x:v>Massachusetts</x:v>
      </x:c>
      <x:c r="B166" s="142" t="str">
        <x:v>MA</x:v>
      </x:c>
      <x:c r="C166" s="142" t="str">
        <x:v>Were all the charges from before your 21st birthday, and do you have no more than two records total?</x:v>
      </x:c>
      <x:c r="D166" s="142" t="str">
        <x:v>state_specific_eligibility</x:v>
      </x:c>
      <x:c r="E166" s="142" t="str">
        <x:v>yes_no_unsure</x:v>
      </x:c>
      <x:c r="F166" s="142" t="str">
        <x:v>Packet completion or final verification: source questionnaire detail is not part of the short free check</x:v>
      </x:c>
      <x:c r="G166" s="56" t="str">
        <x:v>https://github.com/Roger-LegalEase/legalease-partner-dashboard-clean/blob/2f0ef0403f16e57544ad0bc86b2d1b1cd08861b3/src/lib/rcap-engine/compiled/profiles/MA-massachusetts.json</x:v>
      </x:c>
    </x:row>
    <x:row r="167">
      <x:c r="A167" s="55" t="str">
        <x:v>Massachusetts</x:v>
      </x:c>
      <x:c r="B167" s="142" t="str">
        <x:v>MA</x:v>
      </x:c>
      <x:c r="C167" s="142" t="str">
        <x:v>Was the record created because of identity theft, false identification, court/police/witness error, fraud, or because the conduct is no longer a crime?</x:v>
      </x:c>
      <x:c r="D167" s="142" t="str">
        <x:v>state_specific_eligibility</x:v>
      </x:c>
      <x:c r="E167" s="142" t="str">
        <x:v>yes_no_unsure</x:v>
      </x:c>
      <x:c r="F167" s="142" t="str">
        <x:v>Packet completion or final verification: source questionnaire detail is not part of the short free check</x:v>
      </x:c>
      <x:c r="G167" s="56" t="str">
        <x:v>https://github.com/Roger-LegalEase/legalease-partner-dashboard-clean/blob/2f0ef0403f16e57544ad0bc86b2d1b1cd08861b3/src/lib/rcap-engine/compiled/profiles/MA-massachusetts.json</x:v>
      </x:c>
    </x:row>
    <x:row r="168">
      <x:c r="A168" s="55" t="str">
        <x:v>Massachusetts</x:v>
      </x:c>
      <x:c r="B168" s="142" t="str">
        <x:v>MA</x:v>
      </x:c>
      <x:c r="C168" s="142" t="str">
        <x:v>Which court or agency handled the case?</x:v>
      </x:c>
      <x:c r="D168" s="142" t="str">
        <x:v>case_details</x:v>
      </x:c>
      <x:c r="E168" s="142" t="str">
        <x:v>text</x:v>
      </x:c>
      <x:c r="F168" s="142" t="str">
        <x:v>Packet completion: record, court, case, filing, or form detail</x:v>
      </x:c>
      <x:c r="G168" s="56" t="str">
        <x:v>https://github.com/Roger-LegalEase/legalease-partner-dashboard-clean/blob/2f0ef0403f16e57544ad0bc86b2d1b1cd08861b3/src/lib/rcap-engine/compiled/profiles/MA-massachusetts.json</x:v>
      </x:c>
    </x:row>
    <x:row r="169">
      <x:c r="A169" s="55" t="str">
        <x:v>Massachusetts</x:v>
      </x:c>
      <x:c r="B169" s="142" t="str">
        <x:v>MA</x:v>
      </x:c>
      <x:c r="C169" s="142" t="str">
        <x:v>What charge, statute, or record description appears on the record?</x:v>
      </x:c>
      <x:c r="D169" s="142" t="str">
        <x:v>case_details</x:v>
      </x:c>
      <x:c r="E169" s="142" t="str">
        <x:v>text_or_unknown</x:v>
      </x:c>
      <x:c r="F169" s="142" t="str">
        <x:v>Packet completion: record, court, case, filing, or form detail</x:v>
      </x:c>
      <x:c r="G169" s="56" t="str">
        <x:v>https://github.com/Roger-LegalEase/legalease-partner-dashboard-clean/blob/2f0ef0403f16e57544ad0bc86b2d1b1cd08861b3/src/lib/rcap-engine/compiled/profiles/MA-massachusetts.json</x:v>
      </x:c>
    </x:row>
    <x:row r="170">
      <x:c r="A170" s="55" t="str">
        <x:v>Massachusetts</x:v>
      </x:c>
      <x:c r="B170" s="142" t="str">
        <x:v>MA</x:v>
      </x:c>
      <x:c r="C170" s="142" t="str">
        <x:v>Do you have court paperwork or a criminal-history record showing the exact charge and outcome?</x:v>
      </x:c>
      <x:c r="D170" s="142" t="str">
        <x:v>record_readiness</x:v>
      </x:c>
      <x:c r="E170" s="142" t="str">
        <x:v>yes_no_unsure</x:v>
      </x:c>
      <x:c r="F170" s="142" t="str">
        <x:v>Packet completion: record, court, case, filing, or form detail</x:v>
      </x:c>
      <x:c r="G170" s="56" t="str">
        <x:v>https://github.com/Roger-LegalEase/legalease-partner-dashboard-clean/blob/2f0ef0403f16e57544ad0bc86b2d1b1cd08861b3/src/lib/rcap-engine/compiled/profiles/MA-massachusetts.json</x:v>
      </x:c>
    </x:row>
    <x:row r="171">
      <x:c r="A171" s="55" t="str">
        <x:v>Massachusetts</x:v>
      </x:c>
      <x:c r="B171" s="142" t="str">
        <x:v>MA</x:v>
      </x:c>
      <x:c r="C171" s="142" t="str">
        <x:v>Where in Massachusetts was the case handled?</x:v>
      </x:c>
      <x:c r="D171" s="142" t="str">
        <x:v>case_details</x:v>
      </x:c>
      <x:c r="E171" s="142" t="str">
        <x:v>text_or_unknown</x:v>
      </x:c>
      <x:c r="F171" s="142" t="str">
        <x:v>Packet completion: record, court, case, filing, or form detail</x:v>
      </x:c>
      <x:c r="G171" s="56" t="str">
        <x:v>https://github.com/Roger-LegalEase/legalease-partner-dashboard-clean/blob/2f0ef0403f16e57544ad0bc86b2d1b1cd08861b3/src/lib/rcap-engine/compiled/profiles/MA-massachusetts.json</x:v>
      </x:c>
    </x:row>
    <x:row r="172">
      <x:c r="A172" s="55" t="str">
        <x:v>Massachusetts</x:v>
      </x:c>
      <x:c r="B172" s="142" t="str">
        <x:v>MA</x:v>
      </x:c>
      <x:c r="C172" s="142" t="str">
        <x:v>What case, docket, cause, or arrest number appears on the record?</x:v>
      </x:c>
      <x:c r="D172" s="142" t="str">
        <x:v>case_details</x:v>
      </x:c>
      <x:c r="E172" s="142" t="str">
        <x:v>text_or_unknown</x:v>
      </x:c>
      <x:c r="F172" s="142" t="str">
        <x:v>Packet completion: record, court, case, filing, or form detail</x:v>
      </x:c>
      <x:c r="G172" s="56" t="str">
        <x:v>https://github.com/Roger-LegalEase/legalease-partner-dashboard-clean/blob/2f0ef0403f16e57544ad0bc86b2d1b1cd08861b3/src/lib/rcap-engine/compiled/profiles/MA-massachusetts.json</x:v>
      </x:c>
    </x:row>
    <x:row r="173">
      <x:c r="A173" s="55" t="str">
        <x:v>Maryland</x:v>
      </x:c>
      <x:c r="B173" s="142" t="str">
        <x:v>MD</x:v>
      </x:c>
      <x:c r="C173" s="142" t="str">
        <x:v>Ask in this order:</x:v>
      </x:c>
      <x:c r="D173" s="142" t="str">
        <x:v>state_specific_eligibility</x:v>
      </x:c>
      <x:c r="E173" s="142" t="str">
        <x:v>text_or_choice</x:v>
      </x:c>
      <x:c r="F173" s="142" t="str">
        <x:v>Packet completion or final verification: source questionnaire detail is not part of the short free check</x:v>
      </x:c>
      <x:c r="G173" s="56" t="str">
        <x:v>https://github.com/Roger-LegalEase/legalease-partner-dashboard-clean/blob/2f0ef0403f16e57544ad0bc86b2d1b1cd08861b3/src/lib/rcap-engine/compiled/profiles/MD-maryland.json</x:v>
      </x:c>
    </x:row>
    <x:row r="174">
      <x:c r="A174" s="55" t="str">
        <x:v>Maryland</x:v>
      </x:c>
      <x:c r="B174" s="142" t="str">
        <x:v>MD</x:v>
      </x:c>
      <x:c r="C174" s="142" t="str">
        <x:v>Was this an adult case or juvenile case?</x:v>
      </x:c>
      <x:c r="D174" s="142" t="str">
        <x:v>state_specific_eligibility</x:v>
      </x:c>
      <x:c r="E174" s="142" t="str">
        <x:v>yes_no_unsure</x:v>
      </x:c>
      <x:c r="F174" s="142" t="str">
        <x:v>Packet completion or final verification: source questionnaire detail is not part of the short free check</x:v>
      </x:c>
      <x:c r="G174" s="56" t="str">
        <x:v>https://github.com/Roger-LegalEase/legalease-partner-dashboard-clean/blob/2f0ef0403f16e57544ad0bc86b2d1b1cd08861b3/src/lib/rcap-engine/compiled/profiles/MD-maryland.json</x:v>
      </x:c>
    </x:row>
    <x:row r="175">
      <x:c r="A175" s="55" t="str">
        <x:v>Maryland</x:v>
      </x:c>
      <x:c r="B175" s="142" t="str">
        <x:v>MD</x:v>
      </x:c>
      <x:c r="C175" s="142" t="str">
        <x:v>Was there an arrest with no charge, or was a court case filed?</x:v>
      </x:c>
      <x:c r="D175" s="142" t="str">
        <x:v>state_specific_eligibility</x:v>
      </x:c>
      <x:c r="E175" s="142" t="str">
        <x:v>yes_no_unsure</x:v>
      </x:c>
      <x:c r="F175" s="142" t="str">
        <x:v>Packet completion or final verification: source questionnaire detail is not part of the short free check</x:v>
      </x:c>
      <x:c r="G175" s="56" t="str">
        <x:v>https://github.com/Roger-LegalEase/legalease-partner-dashboard-clean/blob/2f0ef0403f16e57544ad0bc86b2d1b1cd08861b3/src/lib/rcap-engine/compiled/profiles/MD-maryland.json</x:v>
      </x:c>
    </x:row>
    <x:row r="176">
      <x:c r="A176" s="55" t="str">
        <x:v>Maryland</x:v>
      </x:c>
      <x:c r="B176" s="142" t="str">
        <x:v>MD</x:v>
      </x:c>
      <x:c r="C176" s="142" t="str">
        <x:v>What court and county handled the case?</x:v>
      </x:c>
      <x:c r="D176" s="142" t="str">
        <x:v>state_specific_eligibility</x:v>
      </x:c>
      <x:c r="E176" s="142" t="str">
        <x:v>text_or_choice</x:v>
      </x:c>
      <x:c r="F176" s="142" t="str">
        <x:v>Packet completion or final verification: source questionnaire detail is not part of the short free check</x:v>
      </x:c>
      <x:c r="G176" s="56" t="str">
        <x:v>https://github.com/Roger-LegalEase/legalease-partner-dashboard-clean/blob/2f0ef0403f16e57544ad0bc86b2d1b1cd08861b3/src/lib/rcap-engine/compiled/profiles/MD-maryland.json</x:v>
      </x:c>
    </x:row>
    <x:row r="177">
      <x:c r="A177" s="55" t="str">
        <x:v>Maryland</x:v>
      </x:c>
      <x:c r="B177" s="142" t="str">
        <x:v>MD</x:v>
      </x:c>
      <x:c r="C177" s="142" t="str">
        <x:v>What is the case number?</x:v>
      </x:c>
      <x:c r="D177" s="142" t="str">
        <x:v>state_specific_eligibility</x:v>
      </x:c>
      <x:c r="E177" s="142" t="str">
        <x:v>text_or_choice</x:v>
      </x:c>
      <x:c r="F177" s="142" t="str">
        <x:v>Packet completion or final verification: source questionnaire detail is not part of the short free check</x:v>
      </x:c>
      <x:c r="G177" s="56" t="str">
        <x:v>https://github.com/Roger-LegalEase/legalease-partner-dashboard-clean/blob/2f0ef0403f16e57544ad0bc86b2d1b1cd08861b3/src/lib/rcap-engine/compiled/profiles/MD-maryland.json</x:v>
      </x:c>
    </x:row>
    <x:row r="178">
      <x:c r="A178" s="55" t="str">
        <x:v>Maryland</x:v>
      </x:c>
      <x:c r="B178" s="142" t="str">
        <x:v>MD</x:v>
      </x:c>
      <x:c r="C178" s="142" t="str">
        <x:v>What were all charges in the case or incident?</x:v>
      </x:c>
      <x:c r="D178" s="142" t="str">
        <x:v>state_specific_eligibility</x:v>
      </x:c>
      <x:c r="E178" s="142" t="str">
        <x:v>text_or_choice</x:v>
      </x:c>
      <x:c r="F178" s="142" t="str">
        <x:v>Packet completion or final verification: source questionnaire detail is not part of the short free check</x:v>
      </x:c>
      <x:c r="G178" s="56" t="str">
        <x:v>https://github.com/Roger-LegalEase/legalease-partner-dashboard-clean/blob/2f0ef0403f16e57544ad0bc86b2d1b1cd08861b3/src/lib/rcap-engine/compiled/profiles/MD-maryland.json</x:v>
      </x:c>
    </x:row>
    <x:row r="179">
      <x:c r="A179" s="55" t="str">
        <x:v>Maryland</x:v>
      </x:c>
      <x:c r="B179" s="142" t="str">
        <x:v>MD</x:v>
      </x:c>
      <x:c r="C179" s="142" t="str">
        <x:v>How did each charge end: guilty, PBJ, stet, nolle prosequi, dismissal, not guilty, acquittal, NCR, juvenile transfer, or something else?</x:v>
      </x:c>
      <x:c r="D179" s="142" t="str">
        <x:v>state_specific_eligibility</x:v>
      </x:c>
      <x:c r="E179" s="142" t="str">
        <x:v>text_or_choice</x:v>
      </x:c>
      <x:c r="F179" s="142" t="str">
        <x:v>Packet completion or final verification: source questionnaire detail is not part of the short free check</x:v>
      </x:c>
      <x:c r="G179" s="56" t="str">
        <x:v>https://github.com/Roger-LegalEase/legalease-partner-dashboard-clean/blob/2f0ef0403f16e57544ad0bc86b2d1b1cd08861b3/src/lib/rcap-engine/compiled/profiles/MD-maryland.json</x:v>
      </x:c>
    </x:row>
    <x:row r="180">
      <x:c r="A180" s="55" t="str">
        <x:v>Maryland</x:v>
      </x:c>
      <x:c r="B180" s="142" t="str">
        <x:v>MD</x:v>
      </x:c>
      <x:c r="C180" s="142" t="str">
        <x:v>Was any charge cannabis possession or cannabis possession with intent to distribute?</x:v>
      </x:c>
      <x:c r="D180" s="142" t="str">
        <x:v>state_specific_eligibility</x:v>
      </x:c>
      <x:c r="E180" s="142" t="str">
        <x:v>yes_no_unsure</x:v>
      </x:c>
      <x:c r="F180" s="142" t="str">
        <x:v>Packet completion or final verification: source questionnaire detail is not part of the short free check</x:v>
      </x:c>
      <x:c r="G180" s="56" t="str">
        <x:v>https://github.com/Roger-LegalEase/legalease-partner-dashboard-clean/blob/2f0ef0403f16e57544ad0bc86b2d1b1cd08861b3/src/lib/rcap-engine/compiled/profiles/MD-maryland.json</x:v>
      </x:c>
    </x:row>
    <x:row r="181">
      <x:c r="A181" s="55" t="str">
        <x:v>Maryland</x:v>
      </x:c>
      <x:c r="B181" s="142" t="str">
        <x:v>MD</x:v>
      </x:c>
      <x:c r="C181" s="142" t="str">
        <x:v>Was any charge a minor traffic violation?</x:v>
      </x:c>
      <x:c r="D181" s="142" t="str">
        <x:v>state_specific_eligibility</x:v>
      </x:c>
      <x:c r="E181" s="142" t="str">
        <x:v>yes_no_unsure</x:v>
      </x:c>
      <x:c r="F181" s="142" t="str">
        <x:v>Packet completion or final verification: source questionnaire detail is not part of the short free check</x:v>
      </x:c>
      <x:c r="G181" s="56" t="str">
        <x:v>https://github.com/Roger-LegalEase/legalease-partner-dashboard-clean/blob/2f0ef0403f16e57544ad0bc86b2d1b1cd08861b3/src/lib/rcap-engine/compiled/profiles/MD-maryland.json</x:v>
      </x:c>
    </x:row>
    <x:row r="182">
      <x:c r="A182" s="55" t="str">
        <x:v>Maryland</x:v>
      </x:c>
      <x:c r="B182" s="142" t="str">
        <x:v>MD</x:v>
      </x:c>
      <x:c r="C182" s="142" t="str">
        <x:v>Did any charge result in a guilty conviction?</x:v>
      </x:c>
      <x:c r="D182" s="142" t="str">
        <x:v>state_specific_eligibility</x:v>
      </x:c>
      <x:c r="E182" s="142" t="str">
        <x:v>yes_no_unsure</x:v>
      </x:c>
      <x:c r="F182" s="142" t="str">
        <x:v>Packet completion or final verification: source questionnaire detail is not part of the short free check</x:v>
      </x:c>
      <x:c r="G182" s="56" t="str">
        <x:v>https://github.com/Roger-LegalEase/legalease-partner-dashboard-clean/blob/2f0ef0403f16e57544ad0bc86b2d1b1cd08861b3/src/lib/rcap-engine/compiled/profiles/MD-maryland.json</x:v>
      </x:c>
    </x:row>
    <x:row r="183">
      <x:c r="A183" s="55" t="str">
        <x:v>Maryland</x:v>
      </x:c>
      <x:c r="B183" s="142" t="str">
        <x:v>MD</x:v>
      </x:c>
      <x:c r="C183" s="142" t="str">
        <x:v>Was the conviction one of the 10-110 listed offenses?</x:v>
      </x:c>
      <x:c r="D183" s="142" t="str">
        <x:v>state_specific_eligibility</x:v>
      </x:c>
      <x:c r="E183" s="142" t="str">
        <x:v>yes_no_unsure</x:v>
      </x:c>
      <x:c r="F183" s="142" t="str">
        <x:v>Packet completion or final verification: source questionnaire detail is not part of the short free check</x:v>
      </x:c>
      <x:c r="G183" s="56" t="str">
        <x:v>https://github.com/Roger-LegalEase/legalease-partner-dashboard-clean/blob/2f0ef0403f16e57544ad0bc86b2d1b1cd08861b3/src/lib/rcap-engine/compiled/profiles/MD-maryland.json</x:v>
      </x:c>
    </x:row>
    <x:row r="184">
      <x:c r="A184" s="55" t="str">
        <x:v>Maryland</x:v>
      </x:c>
      <x:c r="B184" s="142" t="str">
        <x:v>MD</x:v>
      </x:c>
      <x:c r="C184" s="142" t="str">
        <x:v>When was the sentence fully completed, including probation, parole, mandatory supervision, treatment, and restitution?</x:v>
      </x:c>
      <x:c r="D184" s="142" t="str">
        <x:v>state_specific_eligibility</x:v>
      </x:c>
      <x:c r="E184" s="142" t="str">
        <x:v>text_or_choice</x:v>
      </x:c>
      <x:c r="F184" s="142" t="str">
        <x:v>Packet completion or final verification: source questionnaire detail is not part of the short free check</x:v>
      </x:c>
      <x:c r="G184" s="56" t="str">
        <x:v>https://github.com/Roger-LegalEase/legalease-partner-dashboard-clean/blob/2f0ef0403f16e57544ad0bc86b2d1b1cd08861b3/src/lib/rcap-engine/compiled/profiles/MD-maryland.json</x:v>
      </x:c>
    </x:row>
    <x:row r="185">
      <x:c r="A185" s="55" t="str">
        <x:v>Maryland</x:v>
      </x:c>
      <x:c r="B185" s="142" t="str">
        <x:v>MD</x:v>
      </x:c>
      <x:c r="C185" s="142" t="str">
        <x:v>Do you have any pending criminal case now?</x:v>
      </x:c>
      <x:c r="D185" s="142" t="str">
        <x:v>state_specific_eligibility</x:v>
      </x:c>
      <x:c r="E185" s="142" t="str">
        <x:v>yes_no_unsure</x:v>
      </x:c>
      <x:c r="F185" s="142" t="str">
        <x:v>Packet completion or final verification: source questionnaire detail is not part of the short free check</x:v>
      </x:c>
      <x:c r="G185" s="56" t="str">
        <x:v>https://github.com/Roger-LegalEase/legalease-partner-dashboard-clean/blob/2f0ef0403f16e57544ad0bc86b2d1b1cd08861b3/src/lib/rcap-engine/compiled/profiles/MD-maryland.json</x:v>
      </x:c>
    </x:row>
    <x:row r="186">
      <x:c r="A186" s="55" t="str">
        <x:v>Maryland</x:v>
      </x:c>
      <x:c r="B186" s="142" t="str">
        <x:v>MD</x:v>
      </x:c>
      <x:c r="C186" s="142" t="str">
        <x:v>Were you convicted of a new crime during the waiting period?</x:v>
      </x:c>
      <x:c r="D186" s="142" t="str">
        <x:v>state_specific_eligibility</x:v>
      </x:c>
      <x:c r="E186" s="142" t="str">
        <x:v>yes_no_unsure</x:v>
      </x:c>
      <x:c r="F186" s="142" t="str">
        <x:v>Packet completion or final verification: source questionnaire detail is not part of the short free check</x:v>
      </x:c>
      <x:c r="G186" s="56" t="str">
        <x:v>https://github.com/Roger-LegalEase/legalease-partner-dashboard-clean/blob/2f0ef0403f16e57544ad0bc86b2d1b1cd08861b3/src/lib/rcap-engine/compiled/profiles/MD-maryland.json</x:v>
      </x:c>
    </x:row>
    <x:row r="187">
      <x:c r="A187" s="55" t="str">
        <x:v>Maryland</x:v>
      </x:c>
      <x:c r="B187" s="142" t="str">
        <x:v>MD</x:v>
      </x:c>
      <x:c r="C187" s="142" t="str">
        <x:v>Was the case domestically related?</x:v>
      </x:c>
      <x:c r="D187" s="142" t="str">
        <x:v>state_specific_eligibility</x:v>
      </x:c>
      <x:c r="E187" s="142" t="str">
        <x:v>yes_no_unsure</x:v>
      </x:c>
      <x:c r="F187" s="142" t="str">
        <x:v>Packet completion or final verification: source questionnaire detail is not part of the short free check</x:v>
      </x:c>
      <x:c r="G187" s="56" t="str">
        <x:v>https://github.com/Roger-LegalEase/legalease-partner-dashboard-clean/blob/2f0ef0403f16e57544ad0bc86b2d1b1cd08861b3/src/lib/rcap-engine/compiled/profiles/MD-maryland.json</x:v>
      </x:c>
    </x:row>
    <x:row r="188">
      <x:c r="A188" s="55" t="str">
        <x:v>Maryland</x:v>
      </x:c>
      <x:c r="B188" s="142" t="str">
        <x:v>MD</x:v>
      </x:c>
      <x:c r="C188" s="142" t="str">
        <x:v>Was any victim listed in the case?</x:v>
      </x:c>
      <x:c r="D188" s="142" t="str">
        <x:v>state_specific_eligibility</x:v>
      </x:c>
      <x:c r="E188" s="142" t="str">
        <x:v>yes_no_unsure</x:v>
      </x:c>
      <x:c r="F188" s="142" t="str">
        <x:v>Packet completion or final verification: source questionnaire detail is not part of the short free check</x:v>
      </x:c>
      <x:c r="G188" s="56" t="str">
        <x:v>https://github.com/Roger-LegalEase/legalease-partner-dashboard-clean/blob/2f0ef0403f16e57544ad0bc86b2d1b1cd08861b3/src/lib/rcap-engine/compiled/profiles/MD-maryland.json</x:v>
      </x:c>
    </x:row>
    <x:row r="189">
      <x:c r="A189" s="55" t="str">
        <x:v>Maryland</x:v>
      </x:c>
      <x:c r="B189" s="142" t="str">
        <x:v>MD</x:v>
      </x:c>
      <x:c r="C189" s="142" t="str">
        <x:v>Was the case pardoned, vacated, or based on conduct that is no longer a crime?</x:v>
      </x:c>
      <x:c r="D189" s="142" t="str">
        <x:v>state_specific_eligibility</x:v>
      </x:c>
      <x:c r="E189" s="142" t="str">
        <x:v>yes_no_unsure</x:v>
      </x:c>
      <x:c r="F189" s="142" t="str">
        <x:v>Packet completion or final verification: source questionnaire detail is not part of the short free check</x:v>
      </x:c>
      <x:c r="G189" s="56" t="str">
        <x:v>https://github.com/Roger-LegalEase/legalease-partner-dashboard-clean/blob/2f0ef0403f16e57544ad0bc86b2d1b1cd08861b3/src/lib/rcap-engine/compiled/profiles/MD-maryland.json</x:v>
      </x:c>
    </x:row>
    <x:row r="190">
      <x:c r="A190" s="55" t="str">
        <x:v>Maryland</x:v>
      </x:c>
      <x:c r="B190" s="142" t="str">
        <x:v>MD</x:v>
      </x:c>
      <x:c r="C190" s="142" t="str">
        <x:v>Do you need expungement, or would shielding be enough as a fallback?</x:v>
      </x:c>
      <x:c r="D190" s="142" t="str">
        <x:v>state_specific_eligibility</x:v>
      </x:c>
      <x:c r="E190" s="142" t="str">
        <x:v>yes_no_unsure</x:v>
      </x:c>
      <x:c r="F190" s="142" t="str">
        <x:v>Packet completion or final verification: source questionnaire detail is not part of the short free check</x:v>
      </x:c>
      <x:c r="G190" s="56" t="str">
        <x:v>https://github.com/Roger-LegalEase/legalease-partner-dashboard-clean/blob/2f0ef0403f16e57544ad0bc86b2d1b1cd08861b3/src/lib/rcap-engine/compiled/profiles/MD-maryland.json</x:v>
      </x:c>
    </x:row>
    <x:row r="191">
      <x:c r="A191" s="55" t="str">
        <x:v>Maryland</x:v>
      </x:c>
      <x:c r="B191" s="142" t="str">
        <x:v>MD</x:v>
      </x:c>
      <x:c r="C191" s="142" t="str">
        <x:v>What Maryland county, parish, borough, district, or local filing area handled the case?</x:v>
      </x:c>
      <x:c r="D191" s="142" t="str">
        <x:v>case_details</x:v>
      </x:c>
      <x:c r="E191" s="142" t="str">
        <x:v>text</x:v>
      </x:c>
      <x:c r="F191" s="142" t="str">
        <x:v>Packet completion: record, court, case, filing, or form detail</x:v>
      </x:c>
      <x:c r="G191" s="56" t="str">
        <x:v>https://github.com/Roger-LegalEase/legalease-partner-dashboard-clean/blob/2f0ef0403f16e57544ad0bc86b2d1b1cd08861b3/src/lib/rcap-engine/compiled/profiles/MD-maryland.json</x:v>
      </x:c>
    </x:row>
    <x:row r="192">
      <x:c r="A192" s="55" t="str">
        <x:v>Maryland</x:v>
      </x:c>
      <x:c r="B192" s="142" t="str">
        <x:v>MD</x:v>
      </x:c>
      <x:c r="C192" s="142" t="str">
        <x:v>Which court or agency handled the case?</x:v>
      </x:c>
      <x:c r="D192" s="142" t="str">
        <x:v>case_details</x:v>
      </x:c>
      <x:c r="E192" s="142" t="str">
        <x:v>text</x:v>
      </x:c>
      <x:c r="F192" s="142" t="str">
        <x:v>Packet completion: record, court, case, filing, or form detail</x:v>
      </x:c>
      <x:c r="G192" s="56" t="str">
        <x:v>https://github.com/Roger-LegalEase/legalease-partner-dashboard-clean/blob/2f0ef0403f16e57544ad0bc86b2d1b1cd08861b3/src/lib/rcap-engine/compiled/profiles/MD-maryland.json</x:v>
      </x:c>
    </x:row>
    <x:row r="193">
      <x:c r="A193" s="55" t="str">
        <x:v>Maryland</x:v>
      </x:c>
      <x:c r="B193" s="142" t="str">
        <x:v>MD</x:v>
      </x:c>
      <x:c r="C193" s="142" t="str">
        <x:v>What charge, statute, or record description appears on the record?</x:v>
      </x:c>
      <x:c r="D193" s="142" t="str">
        <x:v>case_details</x:v>
      </x:c>
      <x:c r="E193" s="142" t="str">
        <x:v>text_or_unknown</x:v>
      </x:c>
      <x:c r="F193" s="142" t="str">
        <x:v>Packet completion: record, court, case, filing, or form detail</x:v>
      </x:c>
      <x:c r="G193" s="56" t="str">
        <x:v>https://github.com/Roger-LegalEase/legalease-partner-dashboard-clean/blob/2f0ef0403f16e57544ad0bc86b2d1b1cd08861b3/src/lib/rcap-engine/compiled/profiles/MD-maryland.json</x:v>
      </x:c>
    </x:row>
    <x:row r="194">
      <x:c r="A194" s="55" t="str">
        <x:v>Maryland</x:v>
      </x:c>
      <x:c r="B194" s="142" t="str">
        <x:v>MD</x:v>
      </x:c>
      <x:c r="C194" s="142" t="str">
        <x:v>Do you have court paperwork or a criminal-history record showing the exact charge and outcome?</x:v>
      </x:c>
      <x:c r="D194" s="142" t="str">
        <x:v>record_readiness</x:v>
      </x:c>
      <x:c r="E194" s="142" t="str">
        <x:v>yes_no_unsure</x:v>
      </x:c>
      <x:c r="F194" s="142" t="str">
        <x:v>Packet completion: record, court, case, filing, or form detail</x:v>
      </x:c>
      <x:c r="G194" s="56" t="str">
        <x:v>https://github.com/Roger-LegalEase/legalease-partner-dashboard-clean/blob/2f0ef0403f16e57544ad0bc86b2d1b1cd08861b3/src/lib/rcap-engine/compiled/profiles/MD-maryland.json</x:v>
      </x:c>
    </x:row>
    <x:row r="195">
      <x:c r="A195" s="55" t="str">
        <x:v>Maryland</x:v>
      </x:c>
      <x:c r="B195" s="142" t="str">
        <x:v>MD</x:v>
      </x:c>
      <x:c r="C195" s="142" t="str">
        <x:v>Where in Maryland was the case handled?</x:v>
      </x:c>
      <x:c r="D195" s="142" t="str">
        <x:v>case_details</x:v>
      </x:c>
      <x:c r="E195" s="142" t="str">
        <x:v>text_or_unknown</x:v>
      </x:c>
      <x:c r="F195" s="142" t="str">
        <x:v>Packet completion: record, court, case, filing, or form detail</x:v>
      </x:c>
      <x:c r="G195" s="56" t="str">
        <x:v>https://github.com/Roger-LegalEase/legalease-partner-dashboard-clean/blob/2f0ef0403f16e57544ad0bc86b2d1b1cd08861b3/src/lib/rcap-engine/compiled/profiles/MD-maryland.json</x:v>
      </x:c>
    </x:row>
    <x:row r="196">
      <x:c r="A196" s="55" t="str">
        <x:v>Maryland</x:v>
      </x:c>
      <x:c r="B196" s="142" t="str">
        <x:v>MD</x:v>
      </x:c>
      <x:c r="C196" s="142" t="str">
        <x:v>What case, docket, cause, or arrest number appears on the record?</x:v>
      </x:c>
      <x:c r="D196" s="142" t="str">
        <x:v>case_details</x:v>
      </x:c>
      <x:c r="E196" s="142" t="str">
        <x:v>text_or_unknown</x:v>
      </x:c>
      <x:c r="F196" s="142" t="str">
        <x:v>Packet completion: record, court, case, filing, or form detail</x:v>
      </x:c>
      <x:c r="G196" s="56" t="str">
        <x:v>https://github.com/Roger-LegalEase/legalease-partner-dashboard-clean/blob/2f0ef0403f16e57544ad0bc86b2d1b1cd08861b3/src/lib/rcap-engine/compiled/profiles/MD-maryland.json</x:v>
      </x:c>
    </x:row>
    <x:row r="197">
      <x:c r="A197" s="55" t="str">
        <x:v>Maine</x:v>
      </x:c>
      <x:c r="B197" s="142" t="str">
        <x:v>ME</x:v>
      </x:c>
      <x:c r="C197" s="142" t="str">
        <x:v>Was this an adult case or juvenile case?</x:v>
      </x:c>
      <x:c r="D197" s="142" t="str">
        <x:v>state_specific_eligibility</x:v>
      </x:c>
      <x:c r="E197" s="142" t="str">
        <x:v>yes_no_unsure</x:v>
      </x:c>
      <x:c r="F197" s="142" t="str">
        <x:v>Packet completion or final verification: source questionnaire detail is not part of the short free check</x:v>
      </x:c>
      <x:c r="G197" s="56" t="str">
        <x:v>https://github.com/Roger-LegalEase/legalease-partner-dashboard-clean/blob/2f0ef0403f16e57544ad0bc86b2d1b1cd08861b3/src/lib/rcap-engine/compiled/profiles/ME-maine.json</x:v>
      </x:c>
    </x:row>
    <x:row r="198">
      <x:c r="A198" s="55" t="str">
        <x:v>Maine</x:v>
      </x:c>
      <x:c r="B198" s="142" t="str">
        <x:v>ME</x:v>
      </x:c>
      <x:c r="C198" s="142" t="str">
        <x:v>Was there a conviction, or was the case dismissed, declined, no-billed, acquitted, or never charged?</x:v>
      </x:c>
      <x:c r="D198" s="142" t="str">
        <x:v>state_specific_eligibility</x:v>
      </x:c>
      <x:c r="E198" s="142" t="str">
        <x:v>yes_no_unsure</x:v>
      </x:c>
      <x:c r="F198" s="142" t="str">
        <x:v>Packet completion or final verification: source questionnaire detail is not part of the short free check</x:v>
      </x:c>
      <x:c r="G198" s="56" t="str">
        <x:v>https://github.com/Roger-LegalEase/legalease-partner-dashboard-clean/blob/2f0ef0403f16e57544ad0bc86b2d1b1cd08861b3/src/lib/rcap-engine/compiled/profiles/ME-maine.json</x:v>
      </x:c>
    </x:row>
    <x:row r="199">
      <x:c r="A199" s="55" t="str">
        <x:v>Maine</x:v>
      </x:c>
      <x:c r="B199" s="142" t="str">
        <x:v>ME</x:v>
      </x:c>
      <x:c r="C199" s="142" t="str">
        <x:v>What was the exact offense name and class?</x:v>
      </x:c>
      <x:c r="D199" s="142" t="str">
        <x:v>state_specific_eligibility</x:v>
      </x:c>
      <x:c r="E199" s="142" t="str">
        <x:v>text_or_choice</x:v>
      </x:c>
      <x:c r="F199" s="142" t="str">
        <x:v>Packet completion or final verification: source questionnaire detail is not part of the short free check</x:v>
      </x:c>
      <x:c r="G199" s="56" t="str">
        <x:v>https://github.com/Roger-LegalEase/legalease-partner-dashboard-clean/blob/2f0ef0403f16e57544ad0bc86b2d1b1cd08861b3/src/lib/rcap-engine/compiled/profiles/ME-maine.json</x:v>
      </x:c>
    </x:row>
    <x:row r="200">
      <x:c r="A200" s="55" t="str">
        <x:v>Maine</x:v>
      </x:c>
      <x:c r="B200" s="142" t="str">
        <x:v>ME</x:v>
      </x:c>
      <x:c r="C200" s="142" t="str">
        <x:v>What court and county handled the case?</x:v>
      </x:c>
      <x:c r="D200" s="142" t="str">
        <x:v>state_specific_eligibility</x:v>
      </x:c>
      <x:c r="E200" s="142" t="str">
        <x:v>text_or_choice</x:v>
      </x:c>
      <x:c r="F200" s="142" t="str">
        <x:v>Packet completion or final verification: source questionnaire detail is not part of the short free check</x:v>
      </x:c>
      <x:c r="G200" s="56" t="str">
        <x:v>https://github.com/Roger-LegalEase/legalease-partner-dashboard-clean/blob/2f0ef0403f16e57544ad0bc86b2d1b1cd08861b3/src/lib/rcap-engine/compiled/profiles/ME-maine.json</x:v>
      </x:c>
    </x:row>
    <x:row r="201">
      <x:c r="A201" s="55" t="str">
        <x:v>Maine</x:v>
      </x:c>
      <x:c r="B201" s="142" t="str">
        <x:v>ME</x:v>
      </x:c>
      <x:c r="C201" s="142" t="str">
        <x:v>What is the docket number, if you have it?</x:v>
      </x:c>
      <x:c r="D201" s="142" t="str">
        <x:v>state_specific_eligibility</x:v>
      </x:c>
      <x:c r="E201" s="142" t="str">
        <x:v>text_or_choice</x:v>
      </x:c>
      <x:c r="F201" s="142" t="str">
        <x:v>Packet completion or final verification: source questionnaire detail is not part of the short free check</x:v>
      </x:c>
      <x:c r="G201" s="56" t="str">
        <x:v>https://github.com/Roger-LegalEase/legalease-partner-dashboard-clean/blob/2f0ef0403f16e57544ad0bc86b2d1b1cd08861b3/src/lib/rcap-engine/compiled/profiles/ME-maine.json</x:v>
      </x:c>
    </x:row>
    <x:row r="202">
      <x:c r="A202" s="55" t="str">
        <x:v>Maine</x:v>
      </x:c>
      <x:c r="B202" s="142" t="str">
        <x:v>ME</x:v>
      </x:c>
      <x:c r="C202" s="142" t="str">
        <x:v>When were you convicted?</x:v>
      </x:c>
      <x:c r="D202" s="142" t="str">
        <x:v>state_specific_eligibility</x:v>
      </x:c>
      <x:c r="E202" s="142" t="str">
        <x:v>text_or_choice</x:v>
      </x:c>
      <x:c r="F202" s="142" t="str">
        <x:v>Packet completion or final verification: source questionnaire detail is not part of the short free check</x:v>
      </x:c>
      <x:c r="G202" s="56" t="str">
        <x:v>https://github.com/Roger-LegalEase/legalease-partner-dashboard-clean/blob/2f0ef0403f16e57544ad0bc86b2d1b1cd08861b3/src/lib/rcap-engine/compiled/profiles/ME-maine.json</x:v>
      </x:c>
    </x:row>
    <x:row r="203">
      <x:c r="A203" s="55" t="str">
        <x:v>Maine</x:v>
      </x:c>
      <x:c r="B203" s="142" t="str">
        <x:v>ME</x:v>
      </x:c>
      <x:c r="C203" s="142" t="str">
        <x:v>When did you finish every part of the sentence: jail, probation, administrative release, license suspension, fines, restitution, and community service?</x:v>
      </x:c>
      <x:c r="D203" s="142" t="str">
        <x:v>state_specific_eligibility</x:v>
      </x:c>
      <x:c r="E203" s="142" t="str">
        <x:v>text_or_choice</x:v>
      </x:c>
      <x:c r="F203" s="142" t="str">
        <x:v>Packet completion or final verification: source questionnaire detail is not part of the short free check</x:v>
      </x:c>
      <x:c r="G203" s="56" t="str">
        <x:v>https://github.com/Roger-LegalEase/legalease-partner-dashboard-clean/blob/2f0ef0403f16e57544ad0bc86b2d1b1cd08861b3/src/lib/rcap-engine/compiled/profiles/ME-maine.json</x:v>
      </x:c>
    </x:row>
    <x:row r="204">
      <x:c r="A204" s="55" t="str">
        <x:v>Maine</x:v>
      </x:c>
      <x:c r="B204" s="142" t="str">
        <x:v>ME</x:v>
      </x:c>
      <x:c r="C204" s="142" t="str">
        <x:v>Have you had any Maine convictions since then?</x:v>
      </x:c>
      <x:c r="D204" s="142" t="str">
        <x:v>state_specific_eligibility</x:v>
      </x:c>
      <x:c r="E204" s="142" t="str">
        <x:v>yes_no_unsure</x:v>
      </x:c>
      <x:c r="F204" s="142" t="str">
        <x:v>Packet completion or final verification: source questionnaire detail is not part of the short free check</x:v>
      </x:c>
      <x:c r="G204" s="56" t="str">
        <x:v>https://github.com/Roger-LegalEase/legalease-partner-dashboard-clean/blob/2f0ef0403f16e57544ad0bc86b2d1b1cd08861b3/src/lib/rcap-engine/compiled/profiles/ME-maine.json</x:v>
      </x:c>
    </x:row>
    <x:row r="205">
      <x:c r="A205" s="55" t="str">
        <x:v>Maine</x:v>
      </x:c>
      <x:c r="B205" s="142" t="str">
        <x:v>ME</x:v>
      </x:c>
      <x:c r="C205" s="142" t="str">
        <x:v>Have you had any deferred-disposition dismissal since then?</x:v>
      </x:c>
      <x:c r="D205" s="142" t="str">
        <x:v>state_specific_eligibility</x:v>
      </x:c>
      <x:c r="E205" s="142" t="str">
        <x:v>yes_no_unsure</x:v>
      </x:c>
      <x:c r="F205" s="142" t="str">
        <x:v>Packet completion or final verification: source questionnaire detail is not part of the short free check</x:v>
      </x:c>
      <x:c r="G205" s="56" t="str">
        <x:v>https://github.com/Roger-LegalEase/legalease-partner-dashboard-clean/blob/2f0ef0403f16e57544ad0bc86b2d1b1cd08861b3/src/lib/rcap-engine/compiled/profiles/ME-maine.json</x:v>
      </x:c>
    </x:row>
    <x:row r="206">
      <x:c r="A206" s="55" t="str">
        <x:v>Maine</x:v>
      </x:c>
      <x:c r="B206" s="142" t="str">
        <x:v>ME</x:v>
      </x:c>
      <x:c r="C206" s="142" t="str">
        <x:v>Have you had any convictions in another state, federal court, tribal court, or another jurisdiction since then?</x:v>
      </x:c>
      <x:c r="D206" s="142" t="str">
        <x:v>state_specific_eligibility</x:v>
      </x:c>
      <x:c r="E206" s="142" t="str">
        <x:v>yes_no_unsure</x:v>
      </x:c>
      <x:c r="F206" s="142" t="str">
        <x:v>Packet completion or final verification: source questionnaire detail is not part of the short free check</x:v>
      </x:c>
      <x:c r="G206" s="56" t="str">
        <x:v>https://github.com/Roger-LegalEase/legalease-partner-dashboard-clean/blob/2f0ef0403f16e57544ad0bc86b2d1b1cd08861b3/src/lib/rcap-engine/compiled/profiles/ME-maine.json</x:v>
      </x:c>
    </x:row>
    <x:row r="207">
      <x:c r="A207" s="55" t="str">
        <x:v>Maine</x:v>
      </x:c>
      <x:c r="B207" s="142" t="str">
        <x:v>ME</x:v>
      </x:c>
      <x:c r="C207" s="142" t="str">
        <x:v>Do you have any pending criminal charges anywhere?</x:v>
      </x:c>
      <x:c r="D207" s="142" t="str">
        <x:v>state_specific_eligibility</x:v>
      </x:c>
      <x:c r="E207" s="142" t="str">
        <x:v>yes_no_unsure</x:v>
      </x:c>
      <x:c r="F207" s="142" t="str">
        <x:v>Packet completion or final verification: source questionnaire detail is not part of the short free check</x:v>
      </x:c>
      <x:c r="G207" s="56" t="str">
        <x:v>https://github.com/Roger-LegalEase/legalease-partner-dashboard-clean/blob/2f0ef0403f16e57544ad0bc86b2d1b1cd08861b3/src/lib/rcap-engine/compiled/profiles/ME-maine.json</x:v>
      </x:c>
    </x:row>
    <x:row r="208">
      <x:c r="A208" s="55" t="str">
        <x:v>Maine</x:v>
      </x:c>
      <x:c r="B208" s="142" t="str">
        <x:v>ME</x:v>
      </x:c>
      <x:c r="C208" s="142" t="str">
        <x:v>Was this a marijuana offense committed before January 30, 2017?</x:v>
      </x:c>
      <x:c r="D208" s="142" t="str">
        <x:v>state_specific_eligibility</x:v>
      </x:c>
      <x:c r="E208" s="142" t="str">
        <x:v>yes_no_unsure</x:v>
      </x:c>
      <x:c r="F208" s="142" t="str">
        <x:v>Packet completion or final verification: source questionnaire detail is not part of the short free check</x:v>
      </x:c>
      <x:c r="G208" s="56" t="str">
        <x:v>https://github.com/Roger-LegalEase/legalease-partner-dashboard-clean/blob/2f0ef0403f16e57544ad0bc86b2d1b1cd08861b3/src/lib/rcap-engine/compiled/profiles/ME-maine.json</x:v>
      </x:c>
    </x:row>
    <x:row r="209">
      <x:c r="A209" s="55" t="str">
        <x:v>Maine</x:v>
      </x:c>
      <x:c r="B209" s="142" t="str">
        <x:v>ME</x:v>
      </x:c>
      <x:c r="C209" s="142" t="str">
        <x:v>Was this the former Class E engaging-in-prostitution offense?</x:v>
      </x:c>
      <x:c r="D209" s="142" t="str">
        <x:v>state_specific_eligibility</x:v>
      </x:c>
      <x:c r="E209" s="142" t="str">
        <x:v>yes_no_unsure</x:v>
      </x:c>
      <x:c r="F209" s="142" t="str">
        <x:v>Packet completion or final verification: source questionnaire detail is not part of the short free check</x:v>
      </x:c>
      <x:c r="G209" s="56" t="str">
        <x:v>https://github.com/Roger-LegalEase/legalease-partner-dashboard-clean/blob/2f0ef0403f16e57544ad0bc86b2d1b1cd08861b3/src/lib/rcap-engine/compiled/profiles/ME-maine.json</x:v>
      </x:c>
    </x:row>
    <x:row r="210">
      <x:c r="A210" s="55" t="str">
        <x:v>Maine</x:v>
      </x:c>
      <x:c r="B210" s="142" t="str">
        <x:v>ME</x:v>
      </x:c>
      <x:c r="C210" s="142" t="str">
        <x:v>Was the conviction connected to sex trafficking, sexual exploitation, coercion, or survival circumstances?</x:v>
      </x:c>
      <x:c r="D210" s="142" t="str">
        <x:v>state_specific_eligibility</x:v>
      </x:c>
      <x:c r="E210" s="142" t="str">
        <x:v>yes_no_unsure</x:v>
      </x:c>
      <x:c r="F210" s="142" t="str">
        <x:v>Packet completion or final verification: source questionnaire detail is not part of the short free check</x:v>
      </x:c>
      <x:c r="G210" s="56" t="str">
        <x:v>https://github.com/Roger-LegalEase/legalease-partner-dashboard-clean/blob/2f0ef0403f16e57544ad0bc86b2d1b1cd08861b3/src/lib/rcap-engine/compiled/profiles/ME-maine.json</x:v>
      </x:c>
    </x:row>
    <x:row r="211">
      <x:c r="A211" s="55" t="str">
        <x:v>Maine</x:v>
      </x:c>
      <x:c r="B211" s="142" t="str">
        <x:v>ME</x:v>
      </x:c>
      <x:c r="C211" s="142" t="str">
        <x:v>Do you need help getting your Maine SBI record first?</x:v>
      </x:c>
      <x:c r="D211" s="142" t="str">
        <x:v>state_specific_eligibility</x:v>
      </x:c>
      <x:c r="E211" s="142" t="str">
        <x:v>yes_no_unsure</x:v>
      </x:c>
      <x:c r="F211" s="142" t="str">
        <x:v>Packet completion or final verification: source questionnaire detail is not part of the short free check</x:v>
      </x:c>
      <x:c r="G211" s="56" t="str">
        <x:v>https://github.com/Roger-LegalEase/legalease-partner-dashboard-clean/blob/2f0ef0403f16e57544ad0bc86b2d1b1cd08861b3/src/lib/rcap-engine/compiled/profiles/ME-maine.json</x:v>
      </x:c>
    </x:row>
    <x:row r="212">
      <x:c r="A212" s="55" t="str">
        <x:v>Maine</x:v>
      </x:c>
      <x:c r="B212" s="142" t="str">
        <x:v>ME</x:v>
      </x:c>
      <x:c r="C212" s="142" t="str">
        <x:v>Do you have the Maine criminal-history report, court docket, or certified disposition needed to verify the record?</x:v>
      </x:c>
      <x:c r="D212" s="142" t="str">
        <x:v>record_readiness</x:v>
      </x:c>
      <x:c r="E212" s="142" t="str">
        <x:v>yes_no_unsure</x:v>
      </x:c>
      <x:c r="F212" s="142" t="str">
        <x:v>Packet completion: record, court, case, filing, or form detail</x:v>
      </x:c>
      <x:c r="G212" s="56" t="str">
        <x:v>https://github.com/Roger-LegalEase/legalease-partner-dashboard-clean/blob/2f0ef0403f16e57544ad0bc86b2d1b1cd08861b3/src/lib/rcap-engine/compiled/profiles/ME-maine.json</x:v>
      </x:c>
    </x:row>
    <x:row r="213">
      <x:c r="A213" s="55" t="str">
        <x:v>Maine</x:v>
      </x:c>
      <x:c r="B213" s="142" t="str">
        <x:v>ME</x:v>
      </x:c>
      <x:c r="C213" s="142" t="str">
        <x:v>When was the case disposed of, dismissed, completed, or discharged?</x:v>
      </x:c>
      <x:c r="D213" s="142" t="str">
        <x:v>timing_and_completion</x:v>
      </x:c>
      <x:c r="E213" s="142" t="str">
        <x:v>date_or_unknown</x:v>
      </x:c>
      <x:c r="F213" s="142" t="str">
        <x:v>Packet completion/final verification: exact date; free check uses approximate timing where appropriate</x:v>
      </x:c>
      <x:c r="G213" s="56" t="str">
        <x:v>https://github.com/Roger-LegalEase/legalease-partner-dashboard-clean/blob/2f0ef0403f16e57544ad0bc86b2d1b1cd08861b3/src/lib/rcap-engine/compiled/profiles/ME-maine.json</x:v>
      </x:c>
    </x:row>
    <x:row r="214">
      <x:c r="A214" s="55" t="str">
        <x:v>Maine</x:v>
      </x:c>
      <x:c r="B214" s="142" t="str">
        <x:v>ME</x:v>
      </x:c>
      <x:c r="C214" s="142" t="str">
        <x:v>Which court or agency handled the case?</x:v>
      </x:c>
      <x:c r="D214" s="142" t="str">
        <x:v>case_details</x:v>
      </x:c>
      <x:c r="E214" s="142" t="str">
        <x:v>text</x:v>
      </x:c>
      <x:c r="F214" s="142" t="str">
        <x:v>Packet completion: record, court, case, filing, or form detail</x:v>
      </x:c>
      <x:c r="G214" s="56" t="str">
        <x:v>https://github.com/Roger-LegalEase/legalease-partner-dashboard-clean/blob/2f0ef0403f16e57544ad0bc86b2d1b1cd08861b3/src/lib/rcap-engine/compiled/profiles/ME-maine.json</x:v>
      </x:c>
    </x:row>
    <x:row r="215">
      <x:c r="A215" s="55" t="str">
        <x:v>Maine</x:v>
      </x:c>
      <x:c r="B215" s="142" t="str">
        <x:v>ME</x:v>
      </x:c>
      <x:c r="C215" s="142" t="str">
        <x:v>What charge, statute, or record description appears on the record?</x:v>
      </x:c>
      <x:c r="D215" s="142" t="str">
        <x:v>case_details</x:v>
      </x:c>
      <x:c r="E215" s="142" t="str">
        <x:v>text_or_unknown</x:v>
      </x:c>
      <x:c r="F215" s="142" t="str">
        <x:v>Packet completion: record, court, case, filing, or form detail</x:v>
      </x:c>
      <x:c r="G215" s="56" t="str">
        <x:v>https://github.com/Roger-LegalEase/legalease-partner-dashboard-clean/blob/2f0ef0403f16e57544ad0bc86b2d1b1cd08861b3/src/lib/rcap-engine/compiled/profiles/ME-maine.json</x:v>
      </x:c>
    </x:row>
    <x:row r="216">
      <x:c r="A216" s="55" t="str">
        <x:v>Maine</x:v>
      </x:c>
      <x:c r="B216" s="142" t="str">
        <x:v>ME</x:v>
      </x:c>
      <x:c r="C216" s="142" t="str">
        <x:v>Do you have court paperwork or a criminal-history record showing the exact charge and outcome?</x:v>
      </x:c>
      <x:c r="D216" s="142" t="str">
        <x:v>record_readiness</x:v>
      </x:c>
      <x:c r="E216" s="142" t="str">
        <x:v>yes_no_unsure</x:v>
      </x:c>
      <x:c r="F216" s="142" t="str">
        <x:v>Packet completion: record, court, case, filing, or form detail</x:v>
      </x:c>
      <x:c r="G216" s="56" t="str">
        <x:v>https://github.com/Roger-LegalEase/legalease-partner-dashboard-clean/blob/2f0ef0403f16e57544ad0bc86b2d1b1cd08861b3/src/lib/rcap-engine/compiled/profiles/ME-maine.json</x:v>
      </x:c>
    </x:row>
    <x:row r="217">
      <x:c r="A217" s="55" t="str">
        <x:v>Maine</x:v>
      </x:c>
      <x:c r="B217" s="142" t="str">
        <x:v>ME</x:v>
      </x:c>
      <x:c r="C217" s="142" t="str">
        <x:v>Where in Maine was the case handled?</x:v>
      </x:c>
      <x:c r="D217" s="142" t="str">
        <x:v>case_details</x:v>
      </x:c>
      <x:c r="E217" s="142" t="str">
        <x:v>text_or_unknown</x:v>
      </x:c>
      <x:c r="F217" s="142" t="str">
        <x:v>Packet completion: record, court, case, filing, or form detail</x:v>
      </x:c>
      <x:c r="G217" s="56" t="str">
        <x:v>https://github.com/Roger-LegalEase/legalease-partner-dashboard-clean/blob/2f0ef0403f16e57544ad0bc86b2d1b1cd08861b3/src/lib/rcap-engine/compiled/profiles/ME-maine.json</x:v>
      </x:c>
    </x:row>
    <x:row r="218">
      <x:c r="A218" s="55" t="str">
        <x:v>Maine</x:v>
      </x:c>
      <x:c r="B218" s="142" t="str">
        <x:v>ME</x:v>
      </x:c>
      <x:c r="C218" s="142" t="str">
        <x:v>What case, docket, cause, or arrest number appears on the record?</x:v>
      </x:c>
      <x:c r="D218" s="142" t="str">
        <x:v>case_details</x:v>
      </x:c>
      <x:c r="E218" s="142" t="str">
        <x:v>text_or_unknown</x:v>
      </x:c>
      <x:c r="F218" s="142" t="str">
        <x:v>Packet completion: record, court, case, filing, or form detail</x:v>
      </x:c>
      <x:c r="G218" s="56" t="str">
        <x:v>https://github.com/Roger-LegalEase/legalease-partner-dashboard-clean/blob/2f0ef0403f16e57544ad0bc86b2d1b1cd08861b3/src/lib/rcap-engine/compiled/profiles/ME-maine.json</x:v>
      </x:c>
    </x:row>
    <x:row r="219">
      <x:c r="A219" s="55" t="str">
        <x:v>Michigan</x:v>
      </x:c>
      <x:c r="B219" s="142" t="str">
        <x:v>MI</x:v>
      </x:c>
      <x:c r="C219" s="142" t="str">
        <x:v>Which court or agency handled the case?</x:v>
      </x:c>
      <x:c r="D219" s="142" t="str">
        <x:v>case_details</x:v>
      </x:c>
      <x:c r="E219" s="142" t="str">
        <x:v>text</x:v>
      </x:c>
      <x:c r="F219" s="142" t="str">
        <x:v>Packet completion: record, court, case, filing, or form detail</x:v>
      </x:c>
      <x:c r="G219" s="56" t="str">
        <x:v>https://github.com/Roger-LegalEase/legalease-partner-dashboard-clean/blob/2f0ef0403f16e57544ad0bc86b2d1b1cd08861b3/src/lib/rcap-engine/compiled/profiles/MI-michigan.json</x:v>
      </x:c>
    </x:row>
    <x:row r="220">
      <x:c r="A220" s="55" t="str">
        <x:v>Michigan</x:v>
      </x:c>
      <x:c r="B220" s="142" t="str">
        <x:v>MI</x:v>
      </x:c>
      <x:c r="C220" s="142" t="str">
        <x:v>What charge, statute, or record description appears on the record?</x:v>
      </x:c>
      <x:c r="D220" s="142" t="str">
        <x:v>case_details</x:v>
      </x:c>
      <x:c r="E220" s="142" t="str">
        <x:v>text_or_unknown</x:v>
      </x:c>
      <x:c r="F220" s="142" t="str">
        <x:v>Packet completion: record, court, case, filing, or form detail</x:v>
      </x:c>
      <x:c r="G220" s="56" t="str">
        <x:v>https://github.com/Roger-LegalEase/legalease-partner-dashboard-clean/blob/2f0ef0403f16e57544ad0bc86b2d1b1cd08861b3/src/lib/rcap-engine/compiled/profiles/MI-michigan.json</x:v>
      </x:c>
    </x:row>
    <x:row r="221">
      <x:c r="A221" s="55" t="str">
        <x:v>Michigan</x:v>
      </x:c>
      <x:c r="B221" s="142" t="str">
        <x:v>MI</x:v>
      </x:c>
      <x:c r="C221" s="142" t="str">
        <x:v>Do you have court paperwork or a criminal-history record showing the exact charge and outcome?</x:v>
      </x:c>
      <x:c r="D221" s="142" t="str">
        <x:v>record_readiness</x:v>
      </x:c>
      <x:c r="E221" s="142" t="str">
        <x:v>yes_no_unsure</x:v>
      </x:c>
      <x:c r="F221" s="142" t="str">
        <x:v>Packet completion: record, court, case, filing, or form detail</x:v>
      </x:c>
      <x:c r="G221" s="56" t="str">
        <x:v>https://github.com/Roger-LegalEase/legalease-partner-dashboard-clean/blob/2f0ef0403f16e57544ad0bc86b2d1b1cd08861b3/src/lib/rcap-engine/compiled/profiles/MI-michigan.json</x:v>
      </x:c>
    </x:row>
    <x:row r="222">
      <x:c r="A222" s="55" t="str">
        <x:v>Michigan</x:v>
      </x:c>
      <x:c r="B222" s="142" t="str">
        <x:v>MI</x:v>
      </x:c>
      <x:c r="C222" s="142" t="str">
        <x:v>Where in Michigan was the case handled?</x:v>
      </x:c>
      <x:c r="D222" s="142" t="str">
        <x:v>case_details</x:v>
      </x:c>
      <x:c r="E222" s="142" t="str">
        <x:v>text_or_unknown</x:v>
      </x:c>
      <x:c r="F222" s="142" t="str">
        <x:v>Packet completion: record, court, case, filing, or form detail</x:v>
      </x:c>
      <x:c r="G222" s="56" t="str">
        <x:v>https://github.com/Roger-LegalEase/legalease-partner-dashboard-clean/blob/2f0ef0403f16e57544ad0bc86b2d1b1cd08861b3/src/lib/rcap-engine/compiled/profiles/MI-michigan.json</x:v>
      </x:c>
    </x:row>
    <x:row r="223">
      <x:c r="A223" s="55" t="str">
        <x:v>Michigan</x:v>
      </x:c>
      <x:c r="B223" s="142" t="str">
        <x:v>MI</x:v>
      </x:c>
      <x:c r="C223" s="142" t="str">
        <x:v>What case, docket, cause, or arrest number appears on the record?</x:v>
      </x:c>
      <x:c r="D223" s="142" t="str">
        <x:v>case_details</x:v>
      </x:c>
      <x:c r="E223" s="142" t="str">
        <x:v>text_or_unknown</x:v>
      </x:c>
      <x:c r="F223" s="142" t="str">
        <x:v>Packet completion: record, court, case, filing, or form detail</x:v>
      </x:c>
      <x:c r="G223" s="56" t="str">
        <x:v>https://github.com/Roger-LegalEase/legalease-partner-dashboard-clean/blob/2f0ef0403f16e57544ad0bc86b2d1b1cd08861b3/src/lib/rcap-engine/compiled/profiles/MI-michigan.json</x:v>
      </x:c>
    </x:row>
    <x:row r="224">
      <x:c r="A224" s="55" t="str">
        <x:v>Minnesota</x:v>
      </x:c>
      <x:c r="B224" s="142" t="str">
        <x:v>MN</x:v>
      </x:c>
      <x:c r="C224" s="142" t="str">
        <x:v>1 What county was the case in?</x:v>
      </x:c>
      <x:c r="D224" s="142" t="str">
        <x:v>state_specific_eligibility</x:v>
      </x:c>
      <x:c r="E224" s="142" t="str">
        <x:v>text_or_choice</x:v>
      </x:c>
      <x:c r="F224" s="142" t="str">
        <x:v>Packet completion or final verification: source questionnaire detail is not part of the short free check</x:v>
      </x:c>
      <x:c r="G224" s="56" t="str">
        <x:v>https://github.com/Roger-LegalEase/legalease-partner-dashboard-clean/blob/2f0ef0403f16e57544ad0bc86b2d1b1cd08861b3/src/lib/rcap-engine/compiled/profiles/MN-minnesota.json</x:v>
      </x:c>
    </x:row>
    <x:row r="225">
      <x:c r="A225" s="55" t="str">
        <x:v>Minnesota</x:v>
      </x:c>
      <x:c r="B225" s="142" t="str">
        <x:v>MN</x:v>
      </x:c>
      <x:c r="C225" s="142" t="str">
        <x:v>2 Was this only an arrest, or were charges filed in court?</x:v>
      </x:c>
      <x:c r="D225" s="142" t="str">
        <x:v>state_specific_eligibility</x:v>
      </x:c>
      <x:c r="E225" s="142" t="str">
        <x:v>text_or_choice</x:v>
      </x:c>
      <x:c r="F225" s="142" t="str">
        <x:v>Packet completion or final verification: source questionnaire detail is not part of the short free check</x:v>
      </x:c>
      <x:c r="G225" s="56" t="str">
        <x:v>https://github.com/Roger-LegalEase/legalease-partner-dashboard-clean/blob/2f0ef0403f16e57544ad0bc86b2d1b1cd08861b3/src/lib/rcap-engine/compiled/profiles/MN-minnesota.json</x:v>
      </x:c>
    </x:row>
    <x:row r="226">
      <x:c r="A226" s="55" t="str">
        <x:v>Minnesota</x:v>
      </x:c>
      <x:c r="B226" s="142" t="str">
        <x:v>MN</x:v>
      </x:c>
      <x:c r="C226" s="142" t="str">
        <x:v>3 Do you have a court file number?</x:v>
      </x:c>
      <x:c r="D226" s="142" t="str">
        <x:v>state_specific_eligibility</x:v>
      </x:c>
      <x:c r="E226" s="142" t="str">
        <x:v>text_or_choice</x:v>
      </x:c>
      <x:c r="F226" s="142" t="str">
        <x:v>Packet completion or final verification: source questionnaire detail is not part of the short free check</x:v>
      </x:c>
      <x:c r="G226" s="56" t="str">
        <x:v>https://github.com/Roger-LegalEase/legalease-partner-dashboard-clean/blob/2f0ef0403f16e57544ad0bc86b2d1b1cd08861b3/src/lib/rcap-engine/compiled/profiles/MN-minnesota.json</x:v>
      </x:c>
    </x:row>
    <x:row r="227">
      <x:c r="A227" s="55" t="str">
        <x:v>Minnesota</x:v>
      </x:c>
      <x:c r="B227" s="142" t="str">
        <x:v>MN</x:v>
      </x:c>
      <x:c r="C227" s="142" t="str">
        <x:v>4 What were the charges and statute numbers?</x:v>
      </x:c>
      <x:c r="D227" s="142" t="str">
        <x:v>state_specific_eligibility</x:v>
      </x:c>
      <x:c r="E227" s="142" t="str">
        <x:v>text_or_choice</x:v>
      </x:c>
      <x:c r="F227" s="142" t="str">
        <x:v>Packet completion or final verification: source questionnaire detail is not part of the short free check</x:v>
      </x:c>
      <x:c r="G227" s="56" t="str">
        <x:v>https://github.com/Roger-LegalEase/legalease-partner-dashboard-clean/blob/2f0ef0403f16e57544ad0bc86b2d1b1cd08861b3/src/lib/rcap-engine/compiled/profiles/MN-minnesota.json</x:v>
      </x:c>
    </x:row>
    <x:row r="228">
      <x:c r="A228" s="55" t="str">
        <x:v>Minnesota</x:v>
      </x:c>
      <x:c r="B228" s="142" t="str">
        <x:v>MN</x:v>
      </x:c>
      <x:c r="C228" s="142" t="str">
        <x:v>5 Was the offense a petty misdemeanor, misdemeanor, gross misdemeanor, or felony?</x:v>
      </x:c>
      <x:c r="D228" s="142" t="str">
        <x:v>state_specific_eligibility</x:v>
      </x:c>
      <x:c r="E228" s="142" t="str">
        <x:v>text_or_choice</x:v>
      </x:c>
      <x:c r="F228" s="142" t="str">
        <x:v>Packet completion or final verification: source questionnaire detail is not part of the short free check</x:v>
      </x:c>
      <x:c r="G228" s="56" t="str">
        <x:v>https://github.com/Roger-LegalEase/legalease-partner-dashboard-clean/blob/2f0ef0403f16e57544ad0bc86b2d1b1cd08861b3/src/lib/rcap-engine/compiled/profiles/MN-minnesota.json</x:v>
      </x:c>
    </x:row>
    <x:row r="229">
      <x:c r="A229" s="55" t="str">
        <x:v>Minnesota</x:v>
      </x:c>
      <x:c r="B229" s="142" t="str">
        <x:v>MN</x:v>
      </x:c>
      <x:c r="C229" s="142" t="str">
        <x:v>6 What was the final outcome?</x:v>
      </x:c>
      <x:c r="D229" s="142" t="str">
        <x:v>state_specific_eligibility</x:v>
      </x:c>
      <x:c r="E229" s="142" t="str">
        <x:v>text_or_choice</x:v>
      </x:c>
      <x:c r="F229" s="142" t="str">
        <x:v>Packet completion or final verification: source questionnaire detail is not part of the short free check</x:v>
      </x:c>
      <x:c r="G229" s="56" t="str">
        <x:v>https://github.com/Roger-LegalEase/legalease-partner-dashboard-clean/blob/2f0ef0403f16e57544ad0bc86b2d1b1cd08861b3/src/lib/rcap-engine/compiled/profiles/MN-minnesota.json</x:v>
      </x:c>
    </x:row>
    <x:row r="230">
      <x:c r="A230" s="55" t="str">
        <x:v>Minnesota</x:v>
      </x:c>
      <x:c r="B230" s="142" t="str">
        <x:v>MN</x:v>
      </x:c>
      <x:c r="C230" s="142" t="str">
        <x:v>Dismissed?</x:v>
      </x:c>
      <x:c r="D230" s="142" t="str">
        <x:v>state_specific_eligibility</x:v>
      </x:c>
      <x:c r="E230" s="142" t="str">
        <x:v>text_or_choice</x:v>
      </x:c>
      <x:c r="F230" s="142" t="str">
        <x:v>Packet completion or final verification: source questionnaire detail is not part of the short free check</x:v>
      </x:c>
      <x:c r="G230" s="56" t="str">
        <x:v>https://github.com/Roger-LegalEase/legalease-partner-dashboard-clean/blob/2f0ef0403f16e57544ad0bc86b2d1b1cd08861b3/src/lib/rcap-engine/compiled/profiles/MN-minnesota.json</x:v>
      </x:c>
    </x:row>
    <x:row r="231">
      <x:c r="A231" s="55" t="str">
        <x:v>Minnesota</x:v>
      </x:c>
      <x:c r="B231" s="142" t="str">
        <x:v>MN</x:v>
      </x:c>
      <x:c r="C231" s="142" t="str">
        <x:v>Acquitted?</x:v>
      </x:c>
      <x:c r="D231" s="142" t="str">
        <x:v>state_specific_eligibility</x:v>
      </x:c>
      <x:c r="E231" s="142" t="str">
        <x:v>text_or_choice</x:v>
      </x:c>
      <x:c r="F231" s="142" t="str">
        <x:v>Packet completion or final verification: source questionnaire detail is not part of the short free check</x:v>
      </x:c>
      <x:c r="G231" s="56" t="str">
        <x:v>https://github.com/Roger-LegalEase/legalease-partner-dashboard-clean/blob/2f0ef0403f16e57544ad0bc86b2d1b1cd08861b3/src/lib/rcap-engine/compiled/profiles/MN-minnesota.json</x:v>
      </x:c>
    </x:row>
    <x:row r="232">
      <x:c r="A232" s="55" t="str">
        <x:v>Minnesota</x:v>
      </x:c>
      <x:c r="B232" s="142" t="str">
        <x:v>MN</x:v>
      </x:c>
      <x:c r="C232" s="142" t="str">
        <x:v>Diversion?</x:v>
      </x:c>
      <x:c r="D232" s="142" t="str">
        <x:v>state_specific_eligibility</x:v>
      </x:c>
      <x:c r="E232" s="142" t="str">
        <x:v>text_or_choice</x:v>
      </x:c>
      <x:c r="F232" s="142" t="str">
        <x:v>Packet completion or final verification: source questionnaire detail is not part of the short free check</x:v>
      </x:c>
      <x:c r="G232" s="56" t="str">
        <x:v>https://github.com/Roger-LegalEase/legalease-partner-dashboard-clean/blob/2f0ef0403f16e57544ad0bc86b2d1b1cd08861b3/src/lib/rcap-engine/compiled/profiles/MN-minnesota.json</x:v>
      </x:c>
    </x:row>
    <x:row r="233">
      <x:c r="A233" s="55" t="str">
        <x:v>Minnesota</x:v>
      </x:c>
      <x:c r="B233" s="142" t="str">
        <x:v>MN</x:v>
      </x:c>
      <x:c r="C233" s="142" t="str">
        <x:v>Stay of adjudication?</x:v>
      </x:c>
      <x:c r="D233" s="142" t="str">
        <x:v>state_specific_eligibility</x:v>
      </x:c>
      <x:c r="E233" s="142" t="str">
        <x:v>text_or_choice</x:v>
      </x:c>
      <x:c r="F233" s="142" t="str">
        <x:v>Packet completion or final verification: source questionnaire detail is not part of the short free check</x:v>
      </x:c>
      <x:c r="G233" s="56" t="str">
        <x:v>https://github.com/Roger-LegalEase/legalease-partner-dashboard-clean/blob/2f0ef0403f16e57544ad0bc86b2d1b1cd08861b3/src/lib/rcap-engine/compiled/profiles/MN-minnesota.json</x:v>
      </x:c>
    </x:row>
    <x:row r="234">
      <x:c r="A234" s="55" t="str">
        <x:v>Minnesota</x:v>
      </x:c>
      <x:c r="B234" s="142" t="str">
        <x:v>MN</x:v>
      </x:c>
      <x:c r="C234" s="142" t="str">
        <x:v>Conviction?</x:v>
      </x:c>
      <x:c r="D234" s="142" t="str">
        <x:v>state_specific_eligibility</x:v>
      </x:c>
      <x:c r="E234" s="142" t="str">
        <x:v>text_or_choice</x:v>
      </x:c>
      <x:c r="F234" s="142" t="str">
        <x:v>Packet completion or final verification: source questionnaire detail is not part of the short free check</x:v>
      </x:c>
      <x:c r="G234" s="56" t="str">
        <x:v>https://github.com/Roger-LegalEase/legalease-partner-dashboard-clean/blob/2f0ef0403f16e57544ad0bc86b2d1b1cd08861b3/src/lib/rcap-engine/compiled/profiles/MN-minnesota.json</x:v>
      </x:c>
    </x:row>
    <x:row r="235">
      <x:c r="A235" s="55" t="str">
        <x:v>Minnesota</x:v>
      </x:c>
      <x:c r="B235" s="142" t="str">
        <x:v>MN</x:v>
      </x:c>
      <x:c r="C235" s="142" t="str">
        <x:v>Cannabis-related?</x:v>
      </x:c>
      <x:c r="D235" s="142" t="str">
        <x:v>state_specific_eligibility</x:v>
      </x:c>
      <x:c r="E235" s="142" t="str">
        <x:v>text_or_choice</x:v>
      </x:c>
      <x:c r="F235" s="142" t="str">
        <x:v>Packet completion or final verification: source questionnaire detail is not part of the short free check</x:v>
      </x:c>
      <x:c r="G235" s="56" t="str">
        <x:v>https://github.com/Roger-LegalEase/legalease-partner-dashboard-clean/blob/2f0ef0403f16e57544ad0bc86b2d1b1cd08861b3/src/lib/rcap-engine/compiled/profiles/MN-minnesota.json</x:v>
      </x:c>
    </x:row>
    <x:row r="236">
      <x:c r="A236" s="55" t="str">
        <x:v>Minnesota</x:v>
      </x:c>
      <x:c r="B236" s="142" t="str">
        <x:v>MN</x:v>
      </x:c>
      <x:c r="C236" s="142" t="str">
        <x:v>7 When was the sentence fully discharged?</x:v>
      </x:c>
      <x:c r="D236" s="142" t="str">
        <x:v>state_specific_eligibility</x:v>
      </x:c>
      <x:c r="E236" s="142" t="str">
        <x:v>text_or_choice</x:v>
      </x:c>
      <x:c r="F236" s="142" t="str">
        <x:v>Packet completion or final verification: source questionnaire detail is not part of the short free check</x:v>
      </x:c>
      <x:c r="G236" s="56" t="str">
        <x:v>https://github.com/Roger-LegalEase/legalease-partner-dashboard-clean/blob/2f0ef0403f16e57544ad0bc86b2d1b1cd08861b3/src/lib/rcap-engine/compiled/profiles/MN-minnesota.json</x:v>
      </x:c>
    </x:row>
    <x:row r="237">
      <x:c r="A237" s="55" t="str">
        <x:v>Minnesota</x:v>
      </x:c>
      <x:c r="B237" s="142" t="str">
        <x:v>MN</x:v>
      </x:c>
      <x:c r="C237" s="142" t="str">
        <x:v>8 Have you had any new convictions since discharge?</x:v>
      </x:c>
      <x:c r="D237" s="142" t="str">
        <x:v>state_specific_eligibility</x:v>
      </x:c>
      <x:c r="E237" s="142" t="str">
        <x:v>text_or_choice</x:v>
      </x:c>
      <x:c r="F237" s="142" t="str">
        <x:v>Packet completion or final verification: source questionnaire detail is not part of the short free check</x:v>
      </x:c>
      <x:c r="G237" s="56" t="str">
        <x:v>https://github.com/Roger-LegalEase/legalease-partner-dashboard-clean/blob/2f0ef0403f16e57544ad0bc86b2d1b1cd08861b3/src/lib/rcap-engine/compiled/profiles/MN-minnesota.json</x:v>
      </x:c>
    </x:row>
    <x:row r="238">
      <x:c r="A238" s="55" t="str">
        <x:v>Minnesota</x:v>
      </x:c>
      <x:c r="B238" s="142" t="str">
        <x:v>MN</x:v>
      </x:c>
      <x:c r="C238" s="142" t="str">
        <x:v>9 Do you have any pending charges now?</x:v>
      </x:c>
      <x:c r="D238" s="142" t="str">
        <x:v>state_specific_eligibility</x:v>
      </x:c>
      <x:c r="E238" s="142" t="str">
        <x:v>text_or_choice</x:v>
      </x:c>
      <x:c r="F238" s="142" t="str">
        <x:v>Packet completion or final verification: source questionnaire detail is not part of the short free check</x:v>
      </x:c>
      <x:c r="G238" s="56" t="str">
        <x:v>https://github.com/Roger-LegalEase/legalease-partner-dashboard-clean/blob/2f0ef0403f16e57544ad0bc86b2d1b1cd08861b3/src/lib/rcap-engine/compiled/profiles/MN-minnesota.json</x:v>
      </x:c>
    </x:row>
    <x:row r="239">
      <x:c r="A239" s="55" t="str">
        <x:v>Minnesota</x:v>
      </x:c>
      <x:c r="B239" s="142" t="str">
        <x:v>MN</x:v>
      </x:c>
      <x:c r="C239" s="142" t="str">
        <x:v>10 Was the case related to cannabis, marijuana, THC, or controlled substances?</x:v>
      </x:c>
      <x:c r="D239" s="142" t="str">
        <x:v>state_specific_eligibility</x:v>
      </x:c>
      <x:c r="E239" s="142" t="str">
        <x:v>text_or_choice</x:v>
      </x:c>
      <x:c r="F239" s="142" t="str">
        <x:v>Packet completion or final verification: source questionnaire detail is not part of the short free check</x:v>
      </x:c>
      <x:c r="G239" s="56" t="str">
        <x:v>https://github.com/Roger-LegalEase/legalease-partner-dashboard-clean/blob/2f0ef0403f16e57544ad0bc86b2d1b1cd08861b3/src/lib/rcap-engine/compiled/profiles/MN-minnesota.json</x:v>
      </x:c>
    </x:row>
    <x:row r="240">
      <x:c r="A240" s="55" t="str">
        <x:v>Minnesota</x:v>
      </x:c>
      <x:c r="B240" s="142" t="str">
        <x:v>MN</x:v>
      </x:c>
      <x:c r="C240" s="142" t="str">
        <x:v>11 Was there domestic violence, assault, harassment, DWI, no-contact order, OFP, HRO, sex-offense registration, or a victim?</x:v>
      </x:c>
      <x:c r="D240" s="142" t="str">
        <x:v>state_specific_eligibility</x:v>
      </x:c>
      <x:c r="E240" s="142" t="str">
        <x:v>text_or_choice</x:v>
      </x:c>
      <x:c r="F240" s="142" t="str">
        <x:v>Packet completion or final verification: source questionnaire detail is not part of the short free check</x:v>
      </x:c>
      <x:c r="G240" s="56" t="str">
        <x:v>https://github.com/Roger-LegalEase/legalease-partner-dashboard-clean/blob/2f0ef0403f16e57544ad0bc86b2d1b1cd08861b3/src/lib/rcap-engine/compiled/profiles/MN-minnesota.json</x:v>
      </x:c>
    </x:row>
    <x:row r="241">
      <x:c r="A241" s="55" t="str">
        <x:v>Minnesota</x:v>
      </x:c>
      <x:c r="B241" s="142" t="str">
        <x:v>MN</x:v>
      </x:c>
      <x:c r="C241" s="142" t="str">
        <x:v>12 Do you need the record sealed for employment, housing, school, licensing, DHS/DCYF/Health background study, teacher licensing, immigration, or firearms rights?</x:v>
      </x:c>
      <x:c r="D241" s="142" t="str">
        <x:v>state_specific_eligibility</x:v>
      </x:c>
      <x:c r="E241" s="142" t="str">
        <x:v>text_or_choice</x:v>
      </x:c>
      <x:c r="F241" s="142" t="str">
        <x:v>Packet completion or final verification: source questionnaire detail is not part of the short free check</x:v>
      </x:c>
      <x:c r="G241" s="56" t="str">
        <x:v>https://github.com/Roger-LegalEase/legalease-partner-dashboard-clean/blob/2f0ef0403f16e57544ad0bc86b2d1b1cd08861b3/src/lib/rcap-engine/compiled/profiles/MN-minnesota.json</x:v>
      </x:c>
    </x:row>
    <x:row r="242">
      <x:c r="A242" s="55" t="str">
        <x:v>Minnesota</x:v>
      </x:c>
      <x:c r="B242" s="142" t="str">
        <x:v>MN</x:v>
      </x:c>
      <x:c r="C242" s="142" t="str">
        <x:v>Check automatic nonfelony cannabis expungement under 609A.055 and Cannabis Expungement Board review under 609A.06.</x:v>
      </x:c>
      <x:c r="D242" s="142" t="str">
        <x:v>state_specific_eligibility</x:v>
      </x:c>
      <x:c r="E242" s="142" t="str">
        <x:v>text_or_choice</x:v>
      </x:c>
      <x:c r="F242" s="142" t="str">
        <x:v>Packet completion or final verification: source questionnaire detail is not part of the short free check</x:v>
      </x:c>
      <x:c r="G242" s="56" t="str">
        <x:v>https://github.com/Roger-LegalEase/legalease-partner-dashboard-clean/blob/2f0ef0403f16e57544ad0bc86b2d1b1cd08861b3/src/lib/rcap-engine/compiled/profiles/MN-minnesota.json</x:v>
      </x:c>
    </x:row>
    <x:row r="243">
      <x:c r="A243" s="55" t="str">
        <x:v>Minnesota</x:v>
      </x:c>
      <x:c r="B243" s="142" t="str">
        <x:v>MN</x:v>
      </x:c>
      <x:c r="C243" s="142" t="str">
        <x:v>Check whether 1 year has passed after successful completion without a new charge or conviction. Consider automatic Clean Slate or petition.</x:v>
      </x:c>
      <x:c r="D243" s="142" t="str">
        <x:v>state_specific_eligibility</x:v>
      </x:c>
      <x:c r="E243" s="142" t="str">
        <x:v>text_or_choice</x:v>
      </x:c>
      <x:c r="F243" s="142" t="str">
        <x:v>Packet completion or final verification: source questionnaire detail is not part of the short free check</x:v>
      </x:c>
      <x:c r="G243" s="56" t="str">
        <x:v>https://github.com/Roger-LegalEase/legalease-partner-dashboard-clean/blob/2f0ef0403f16e57544ad0bc86b2d1b1cd08861b3/src/lib/rcap-engine/compiled/profiles/MN-minnesota.json</x:v>
      </x:c>
    </x:row>
    <x:row r="244">
      <x:c r="A244" s="55" t="str">
        <x:v>Minnesota</x:v>
      </x:c>
      <x:c r="B244" s="142" t="str">
        <x:v>MN</x:v>
      </x:c>
      <x:c r="C244" s="142" t="str">
        <x:v>Check whether 2 years have passed since discharge, no new conviction, no pending charges, and whether the offense is excluded from automatic relief.</x:v>
      </x:c>
      <x:c r="D244" s="142" t="str">
        <x:v>state_specific_eligibility</x:v>
      </x:c>
      <x:c r="E244" s="142" t="str">
        <x:v>text_or_choice</x:v>
      </x:c>
      <x:c r="F244" s="142" t="str">
        <x:v>Packet completion or final verification: source questionnaire detail is not part of the short free check</x:v>
      </x:c>
      <x:c r="G244" s="56" t="str">
        <x:v>https://github.com/Roger-LegalEase/legalease-partner-dashboard-clean/blob/2f0ef0403f16e57544ad0bc86b2d1b1cd08861b3/src/lib/rcap-engine/compiled/profiles/MN-minnesota.json</x:v>
      </x:c>
    </x:row>
    <x:row r="245">
      <x:c r="A245" s="55" t="str">
        <x:v>Minnesota</x:v>
      </x:c>
      <x:c r="B245" s="142" t="str">
        <x:v>MN</x:v>
      </x:c>
      <x:c r="C245" s="142" t="str">
        <x:v>Check whether 3 years have passed since discharge, no new conviction, no pending charges, and whether the offense is excluded.</x:v>
      </x:c>
      <x:c r="D245" s="142" t="str">
        <x:v>state_specific_eligibility</x:v>
      </x:c>
      <x:c r="E245" s="142" t="str">
        <x:v>text_or_choice</x:v>
      </x:c>
      <x:c r="F245" s="142" t="str">
        <x:v>Packet completion or final verification: source questionnaire detail is not part of the short free check</x:v>
      </x:c>
      <x:c r="G245" s="56" t="str">
        <x:v>https://github.com/Roger-LegalEase/legalease-partner-dashboard-clean/blob/2f0ef0403f16e57544ad0bc86b2d1b1cd08861b3/src/lib/rcap-engine/compiled/profiles/MN-minnesota.json</x:v>
      </x:c>
    </x:row>
    <x:row r="246">
      <x:c r="A246" s="55" t="str">
        <x:v>Minnesota</x:v>
      </x:c>
      <x:c r="B246" s="142" t="str">
        <x:v>MN</x:v>
      </x:c>
      <x:c r="C246" s="142" t="str">
        <x:v>Do you have the Minnesota criminal-history report, court docket, or certified disposition needed to verify the record?</x:v>
      </x:c>
      <x:c r="D246" s="142" t="str">
        <x:v>record_readiness</x:v>
      </x:c>
      <x:c r="E246" s="142" t="str">
        <x:v>yes_no_unsure</x:v>
      </x:c>
      <x:c r="F246" s="142" t="str">
        <x:v>Packet completion: record, court, case, filing, or form detail</x:v>
      </x:c>
      <x:c r="G246" s="56" t="str">
        <x:v>https://github.com/Roger-LegalEase/legalease-partner-dashboard-clean/blob/2f0ef0403f16e57544ad0bc86b2d1b1cd08861b3/src/lib/rcap-engine/compiled/profiles/MN-minnesota.json</x:v>
      </x:c>
    </x:row>
    <x:row r="247">
      <x:c r="A247" s="55" t="str">
        <x:v>Minnesota</x:v>
      </x:c>
      <x:c r="B247" s="142" t="str">
        <x:v>MN</x:v>
      </x:c>
      <x:c r="C247" s="142" t="str">
        <x:v>When was the case disposed of, dismissed, completed, or discharged?</x:v>
      </x:c>
      <x:c r="D247" s="142" t="str">
        <x:v>timing_and_completion</x:v>
      </x:c>
      <x:c r="E247" s="142" t="str">
        <x:v>date_or_unknown</x:v>
      </x:c>
      <x:c r="F247" s="142" t="str">
        <x:v>Packet completion/final verification: exact date; free check uses approximate timing where appropriate</x:v>
      </x:c>
      <x:c r="G247" s="56" t="str">
        <x:v>https://github.com/Roger-LegalEase/legalease-partner-dashboard-clean/blob/2f0ef0403f16e57544ad0bc86b2d1b1cd08861b3/src/lib/rcap-engine/compiled/profiles/MN-minnesota.json</x:v>
      </x:c>
    </x:row>
    <x:row r="248">
      <x:c r="A248" s="55" t="str">
        <x:v>Minnesota</x:v>
      </x:c>
      <x:c r="B248" s="142" t="str">
        <x:v>MN</x:v>
      </x:c>
      <x:c r="C248" s="142" t="str">
        <x:v>Which court or agency handled the case?</x:v>
      </x:c>
      <x:c r="D248" s="142" t="str">
        <x:v>case_details</x:v>
      </x:c>
      <x:c r="E248" s="142" t="str">
        <x:v>text</x:v>
      </x:c>
      <x:c r="F248" s="142" t="str">
        <x:v>Packet completion: record, court, case, filing, or form detail</x:v>
      </x:c>
      <x:c r="G248" s="56" t="str">
        <x:v>https://github.com/Roger-LegalEase/legalease-partner-dashboard-clean/blob/2f0ef0403f16e57544ad0bc86b2d1b1cd08861b3/src/lib/rcap-engine/compiled/profiles/MN-minnesota.json</x:v>
      </x:c>
    </x:row>
    <x:row r="249">
      <x:c r="A249" s="55" t="str">
        <x:v>Minnesota</x:v>
      </x:c>
      <x:c r="B249" s="142" t="str">
        <x:v>MN</x:v>
      </x:c>
      <x:c r="C249" s="142" t="str">
        <x:v>What charge, statute, or record description appears on the record?</x:v>
      </x:c>
      <x:c r="D249" s="142" t="str">
        <x:v>case_details</x:v>
      </x:c>
      <x:c r="E249" s="142" t="str">
        <x:v>text_or_unknown</x:v>
      </x:c>
      <x:c r="F249" s="142" t="str">
        <x:v>Packet completion: record, court, case, filing, or form detail</x:v>
      </x:c>
      <x:c r="G249" s="56" t="str">
        <x:v>https://github.com/Roger-LegalEase/legalease-partner-dashboard-clean/blob/2f0ef0403f16e57544ad0bc86b2d1b1cd08861b3/src/lib/rcap-engine/compiled/profiles/MN-minnesota.json</x:v>
      </x:c>
    </x:row>
    <x:row r="250">
      <x:c r="A250" s="55" t="str">
        <x:v>Minnesota</x:v>
      </x:c>
      <x:c r="B250" s="142" t="str">
        <x:v>MN</x:v>
      </x:c>
      <x:c r="C250" s="142" t="str">
        <x:v>Do you have court paperwork or a criminal-history record showing the exact charge and outcome?</x:v>
      </x:c>
      <x:c r="D250" s="142" t="str">
        <x:v>record_readiness</x:v>
      </x:c>
      <x:c r="E250" s="142" t="str">
        <x:v>yes_no_unsure</x:v>
      </x:c>
      <x:c r="F250" s="142" t="str">
        <x:v>Packet completion: record, court, case, filing, or form detail</x:v>
      </x:c>
      <x:c r="G250" s="56" t="str">
        <x:v>https://github.com/Roger-LegalEase/legalease-partner-dashboard-clean/blob/2f0ef0403f16e57544ad0bc86b2d1b1cd08861b3/src/lib/rcap-engine/compiled/profiles/MN-minnesota.json</x:v>
      </x:c>
    </x:row>
    <x:row r="251">
      <x:c r="A251" s="55" t="str">
        <x:v>Minnesota</x:v>
      </x:c>
      <x:c r="B251" s="142" t="str">
        <x:v>MN</x:v>
      </x:c>
      <x:c r="C251" s="142" t="str">
        <x:v>Where in Minnesota was the case handled?</x:v>
      </x:c>
      <x:c r="D251" s="142" t="str">
        <x:v>case_details</x:v>
      </x:c>
      <x:c r="E251" s="142" t="str">
        <x:v>text_or_unknown</x:v>
      </x:c>
      <x:c r="F251" s="142" t="str">
        <x:v>Packet completion: record, court, case, filing, or form detail</x:v>
      </x:c>
      <x:c r="G251" s="56" t="str">
        <x:v>https://github.com/Roger-LegalEase/legalease-partner-dashboard-clean/blob/2f0ef0403f16e57544ad0bc86b2d1b1cd08861b3/src/lib/rcap-engine/compiled/profiles/MN-minnesota.json</x:v>
      </x:c>
    </x:row>
    <x:row r="252">
      <x:c r="A252" s="55" t="str">
        <x:v>Minnesota</x:v>
      </x:c>
      <x:c r="B252" s="142" t="str">
        <x:v>MN</x:v>
      </x:c>
      <x:c r="C252" s="142" t="str">
        <x:v>What case, docket, cause, or arrest number appears on the record?</x:v>
      </x:c>
      <x:c r="D252" s="142" t="str">
        <x:v>case_details</x:v>
      </x:c>
      <x:c r="E252" s="142" t="str">
        <x:v>text_or_unknown</x:v>
      </x:c>
      <x:c r="F252" s="142" t="str">
        <x:v>Packet completion: record, court, case, filing, or form detail</x:v>
      </x:c>
      <x:c r="G252" s="56" t="str">
        <x:v>https://github.com/Roger-LegalEase/legalease-partner-dashboard-clean/blob/2f0ef0403f16e57544ad0bc86b2d1b1cd08861b3/src/lib/rcap-engine/compiled/profiles/MN-minnesota.json</x:v>
      </x:c>
    </x:row>
    <x:row r="253">
      <x:c r="A253" s="55" t="str">
        <x:v>Missouri</x:v>
      </x:c>
      <x:c r="B253" s="142" t="str">
        <x:v>MO</x:v>
      </x:c>
      <x:c r="C253" s="142" t="str">
        <x:v>Was the person operating a commercial motor vehicle? yes/no</x:v>
      </x:c>
      <x:c r="D253" s="142" t="str">
        <x:v>state_specific_eligibility</x:v>
      </x:c>
      <x:c r="E253" s="142" t="str">
        <x:v>yes_no_unsure</x:v>
      </x:c>
      <x:c r="F253" s="142" t="str">
        <x:v>Packet completion or final verification: source questionnaire detail is not part of the short free check</x:v>
      </x:c>
      <x:c r="G253" s="56" t="str">
        <x:v>https://github.com/Roger-LegalEase/legalease-partner-dashboard-clean/blob/2f0ef0403f16e57544ad0bc86b2d1b1cd08861b3/src/lib/rcap-engine/compiled/profiles/MO-missouri.json</x:v>
      </x:c>
    </x:row>
    <x:row r="254">
      <x:c r="A254" s="55" t="str">
        <x:v>Missouri</x:v>
      </x:c>
      <x:c r="B254" s="142" t="str">
        <x:v>MO</x:v>
      </x:c>
      <x:c r="C254" s="142" t="str">
        <x:v>When was the case disposed of, dismissed, completed, or discharged?</x:v>
      </x:c>
      <x:c r="D254" s="142" t="str">
        <x:v>timing_and_completion</x:v>
      </x:c>
      <x:c r="E254" s="142" t="str">
        <x:v>date_or_unknown</x:v>
      </x:c>
      <x:c r="F254" s="142" t="str">
        <x:v>Packet completion/final verification: exact date; free check uses approximate timing where appropriate</x:v>
      </x:c>
      <x:c r="G254" s="56" t="str">
        <x:v>https://github.com/Roger-LegalEase/legalease-partner-dashboard-clean/blob/2f0ef0403f16e57544ad0bc86b2d1b1cd08861b3/src/lib/rcap-engine/compiled/profiles/MO-missouri.json</x:v>
      </x:c>
    </x:row>
    <x:row r="255">
      <x:c r="A255" s="55" t="str">
        <x:v>Missouri</x:v>
      </x:c>
      <x:c r="B255" s="142" t="str">
        <x:v>MO</x:v>
      </x:c>
      <x:c r="C255" s="142" t="str">
        <x:v>When did the arrest or citation occur?</x:v>
      </x:c>
      <x:c r="D255" s="142" t="str">
        <x:v>case_details</x:v>
      </x:c>
      <x:c r="E255" s="142" t="str">
        <x:v>date_or_unknown</x:v>
      </x:c>
      <x:c r="F255" s="142" t="str">
        <x:v>Packet completion: record, court, case, filing, or form detail</x:v>
      </x:c>
      <x:c r="G255" s="56" t="str">
        <x:v>https://github.com/Roger-LegalEase/legalease-partner-dashboard-clean/blob/2f0ef0403f16e57544ad0bc86b2d1b1cd08861b3/src/lib/rcap-engine/compiled/profiles/MO-missouri.json</x:v>
      </x:c>
    </x:row>
    <x:row r="256">
      <x:c r="A256" s="55" t="str">
        <x:v>Missouri</x:v>
      </x:c>
      <x:c r="B256" s="142" t="str">
        <x:v>MO</x:v>
      </x:c>
      <x:c r="C256" s="142" t="str">
        <x:v>Which court or agency handled the case?</x:v>
      </x:c>
      <x:c r="D256" s="142" t="str">
        <x:v>case_details</x:v>
      </x:c>
      <x:c r="E256" s="142" t="str">
        <x:v>text</x:v>
      </x:c>
      <x:c r="F256" s="142" t="str">
        <x:v>Packet completion: record, court, case, filing, or form detail</x:v>
      </x:c>
      <x:c r="G256" s="56" t="str">
        <x:v>https://github.com/Roger-LegalEase/legalease-partner-dashboard-clean/blob/2f0ef0403f16e57544ad0bc86b2d1b1cd08861b3/src/lib/rcap-engine/compiled/profiles/MO-missouri.json</x:v>
      </x:c>
    </x:row>
    <x:row r="257">
      <x:c r="A257" s="55" t="str">
        <x:v>Missouri</x:v>
      </x:c>
      <x:c r="B257" s="142" t="str">
        <x:v>MO</x:v>
      </x:c>
      <x:c r="C257" s="142" t="str">
        <x:v>What charge, statute, or record description appears on the record?</x:v>
      </x:c>
      <x:c r="D257" s="142" t="str">
        <x:v>case_details</x:v>
      </x:c>
      <x:c r="E257" s="142" t="str">
        <x:v>text_or_unknown</x:v>
      </x:c>
      <x:c r="F257" s="142" t="str">
        <x:v>Packet completion: record, court, case, filing, or form detail</x:v>
      </x:c>
      <x:c r="G257" s="56" t="str">
        <x:v>https://github.com/Roger-LegalEase/legalease-partner-dashboard-clean/blob/2f0ef0403f16e57544ad0bc86b2d1b1cd08861b3/src/lib/rcap-engine/compiled/profiles/MO-missouri.json</x:v>
      </x:c>
    </x:row>
    <x:row r="258">
      <x:c r="A258" s="55" t="str">
        <x:v>Missouri</x:v>
      </x:c>
      <x:c r="B258" s="142" t="str">
        <x:v>MO</x:v>
      </x:c>
      <x:c r="C258" s="142" t="str">
        <x:v>Do you have court paperwork or a criminal-history record showing the exact charge and outcome?</x:v>
      </x:c>
      <x:c r="D258" s="142" t="str">
        <x:v>record_readiness</x:v>
      </x:c>
      <x:c r="E258" s="142" t="str">
        <x:v>yes_no_unsure</x:v>
      </x:c>
      <x:c r="F258" s="142" t="str">
        <x:v>Packet completion: record, court, case, filing, or form detail</x:v>
      </x:c>
      <x:c r="G258" s="56" t="str">
        <x:v>https://github.com/Roger-LegalEase/legalease-partner-dashboard-clean/blob/2f0ef0403f16e57544ad0bc86b2d1b1cd08861b3/src/lib/rcap-engine/compiled/profiles/MO-missouri.json</x:v>
      </x:c>
    </x:row>
    <x:row r="259">
      <x:c r="A259" s="55" t="str">
        <x:v>Missouri</x:v>
      </x:c>
      <x:c r="B259" s="142" t="str">
        <x:v>MO</x:v>
      </x:c>
      <x:c r="C259" s="142" t="str">
        <x:v>Where in Missouri was the case handled?</x:v>
      </x:c>
      <x:c r="D259" s="142" t="str">
        <x:v>case_details</x:v>
      </x:c>
      <x:c r="E259" s="142" t="str">
        <x:v>text_or_unknown</x:v>
      </x:c>
      <x:c r="F259" s="142" t="str">
        <x:v>Packet completion: record, court, case, filing, or form detail</x:v>
      </x:c>
      <x:c r="G259" s="56" t="str">
        <x:v>https://github.com/Roger-LegalEase/legalease-partner-dashboard-clean/blob/2f0ef0403f16e57544ad0bc86b2d1b1cd08861b3/src/lib/rcap-engine/compiled/profiles/MO-missouri.json</x:v>
      </x:c>
    </x:row>
    <x:row r="260">
      <x:c r="A260" s="55" t="str">
        <x:v>Missouri</x:v>
      </x:c>
      <x:c r="B260" s="142" t="str">
        <x:v>MO</x:v>
      </x:c>
      <x:c r="C260" s="142" t="str">
        <x:v>What case, docket, cause, or arrest number appears on the record?</x:v>
      </x:c>
      <x:c r="D260" s="142" t="str">
        <x:v>case_details</x:v>
      </x:c>
      <x:c r="E260" s="142" t="str">
        <x:v>text_or_unknown</x:v>
      </x:c>
      <x:c r="F260" s="142" t="str">
        <x:v>Packet completion: record, court, case, filing, or form detail</x:v>
      </x:c>
      <x:c r="G260" s="56" t="str">
        <x:v>https://github.com/Roger-LegalEase/legalease-partner-dashboard-clean/blob/2f0ef0403f16e57544ad0bc86b2d1b1cd08861b3/src/lib/rcap-engine/compiled/profiles/MO-missouri.json</x:v>
      </x:c>
    </x:row>
    <x:row r="261">
      <x:c r="A261" s="55" t="str">
        <x:v>Mississippi</x:v>
      </x:c>
      <x:c r="B261" s="142" t="str">
        <x:v>MS</x:v>
      </x:c>
      <x:c r="C261" s="142" t="str">
        <x:v>1 Was the case in Mississippi?</x:v>
      </x:c>
      <x:c r="D261" s="142" t="str">
        <x:v>state_specific_eligibility</x:v>
      </x:c>
      <x:c r="E261" s="142" t="str">
        <x:v>text_or_choice</x:v>
      </x:c>
      <x:c r="F261" s="142" t="str">
        <x:v>Packet completion or final verification: source questionnaire detail is not part of the short free check</x:v>
      </x:c>
      <x:c r="G261" s="56" t="str">
        <x:v>https://github.com/Roger-LegalEase/legalease-partner-dashboard-clean/blob/2f0ef0403f16e57544ad0bc86b2d1b1cd08861b3/src/lib/rcap-engine/compiled/profiles/MS-mississippi.json</x:v>
      </x:c>
    </x:row>
    <x:row r="262">
      <x:c r="A262" s="55" t="str">
        <x:v>Mississippi</x:v>
      </x:c>
      <x:c r="B262" s="142" t="str">
        <x:v>MS</x:v>
      </x:c>
      <x:c r="C262" s="142" t="str">
        <x:v>2 Which county and court handled it?</x:v>
      </x:c>
      <x:c r="D262" s="142" t="str">
        <x:v>state_specific_eligibility</x:v>
      </x:c>
      <x:c r="E262" s="142" t="str">
        <x:v>text_or_choice</x:v>
      </x:c>
      <x:c r="F262" s="142" t="str">
        <x:v>Packet completion or final verification: source questionnaire detail is not part of the short free check</x:v>
      </x:c>
      <x:c r="G262" s="56" t="str">
        <x:v>https://github.com/Roger-LegalEase/legalease-partner-dashboard-clean/blob/2f0ef0403f16e57544ad0bc86b2d1b1cd08861b3/src/lib/rcap-engine/compiled/profiles/MS-mississippi.json</x:v>
      </x:c>
    </x:row>
    <x:row r="263">
      <x:c r="A263" s="55" t="str">
        <x:v>Mississippi</x:v>
      </x:c>
      <x:c r="B263" s="142" t="str">
        <x:v>MS</x:v>
      </x:c>
      <x:c r="C263" s="142" t="str">
        <x:v>Justice Court?</x:v>
      </x:c>
      <x:c r="D263" s="142" t="str">
        <x:v>state_specific_eligibility</x:v>
      </x:c>
      <x:c r="E263" s="142" t="str">
        <x:v>text_or_choice</x:v>
      </x:c>
      <x:c r="F263" s="142" t="str">
        <x:v>Packet completion or final verification: source questionnaire detail is not part of the short free check</x:v>
      </x:c>
      <x:c r="G263" s="56" t="str">
        <x:v>https://github.com/Roger-LegalEase/legalease-partner-dashboard-clean/blob/2f0ef0403f16e57544ad0bc86b2d1b1cd08861b3/src/lib/rcap-engine/compiled/profiles/MS-mississippi.json</x:v>
      </x:c>
    </x:row>
    <x:row r="264">
      <x:c r="A264" s="55" t="str">
        <x:v>Mississippi</x:v>
      </x:c>
      <x:c r="B264" s="142" t="str">
        <x:v>MS</x:v>
      </x:c>
      <x:c r="C264" s="142" t="str">
        <x:v>Municipal Court?</x:v>
      </x:c>
      <x:c r="D264" s="142" t="str">
        <x:v>state_specific_eligibility</x:v>
      </x:c>
      <x:c r="E264" s="142" t="str">
        <x:v>text_or_choice</x:v>
      </x:c>
      <x:c r="F264" s="142" t="str">
        <x:v>Packet completion or final verification: source questionnaire detail is not part of the short free check</x:v>
      </x:c>
      <x:c r="G264" s="56" t="str">
        <x:v>https://github.com/Roger-LegalEase/legalease-partner-dashboard-clean/blob/2f0ef0403f16e57544ad0bc86b2d1b1cd08861b3/src/lib/rcap-engine/compiled/profiles/MS-mississippi.json</x:v>
      </x:c>
    </x:row>
    <x:row r="265">
      <x:c r="A265" s="55" t="str">
        <x:v>Mississippi</x:v>
      </x:c>
      <x:c r="B265" s="142" t="str">
        <x:v>MS</x:v>
      </x:c>
      <x:c r="C265" s="142" t="str">
        <x:v>County Court?</x:v>
      </x:c>
      <x:c r="D265" s="142" t="str">
        <x:v>state_specific_eligibility</x:v>
      </x:c>
      <x:c r="E265" s="142" t="str">
        <x:v>text_or_choice</x:v>
      </x:c>
      <x:c r="F265" s="142" t="str">
        <x:v>Packet completion or final verification: source questionnaire detail is not part of the short free check</x:v>
      </x:c>
      <x:c r="G265" s="56" t="str">
        <x:v>https://github.com/Roger-LegalEase/legalease-partner-dashboard-clean/blob/2f0ef0403f16e57544ad0bc86b2d1b1cd08861b3/src/lib/rcap-engine/compiled/profiles/MS-mississippi.json</x:v>
      </x:c>
    </x:row>
    <x:row r="266">
      <x:c r="A266" s="55" t="str">
        <x:v>Mississippi</x:v>
      </x:c>
      <x:c r="B266" s="142" t="str">
        <x:v>MS</x:v>
      </x:c>
      <x:c r="C266" s="142" t="str">
        <x:v>Circuit Court?</x:v>
      </x:c>
      <x:c r="D266" s="142" t="str">
        <x:v>state_specific_eligibility</x:v>
      </x:c>
      <x:c r="E266" s="142" t="str">
        <x:v>text_or_choice</x:v>
      </x:c>
      <x:c r="F266" s="142" t="str">
        <x:v>Packet completion or final verification: source questionnaire detail is not part of the short free check</x:v>
      </x:c>
      <x:c r="G266" s="56" t="str">
        <x:v>https://github.com/Roger-LegalEase/legalease-partner-dashboard-clean/blob/2f0ef0403f16e57544ad0bc86b2d1b1cd08861b3/src/lib/rcap-engine/compiled/profiles/MS-mississippi.json</x:v>
      </x:c>
    </x:row>
    <x:row r="267">
      <x:c r="A267" s="55" t="str">
        <x:v>Mississippi</x:v>
      </x:c>
      <x:c r="B267" s="142" t="str">
        <x:v>MS</x:v>
      </x:c>
      <x:c r="C267" s="142" t="str">
        <x:v>Youth Court?</x:v>
      </x:c>
      <x:c r="D267" s="142" t="str">
        <x:v>state_specific_eligibility</x:v>
      </x:c>
      <x:c r="E267" s="142" t="str">
        <x:v>text_or_choice</x:v>
      </x:c>
      <x:c r="F267" s="142" t="str">
        <x:v>Packet completion or final verification: source questionnaire detail is not part of the short free check</x:v>
      </x:c>
      <x:c r="G267" s="56" t="str">
        <x:v>https://github.com/Roger-LegalEase/legalease-partner-dashboard-clean/blob/2f0ef0403f16e57544ad0bc86b2d1b1cd08861b3/src/lib/rcap-engine/compiled/profiles/MS-mississippi.json</x:v>
      </x:c>
    </x:row>
    <x:row r="268">
      <x:c r="A268" s="55" t="str">
        <x:v>Mississippi</x:v>
      </x:c>
      <x:c r="B268" s="142" t="str">
        <x:v>MS</x:v>
      </x:c>
      <x:c r="C268" s="142" t="str">
        <x:v>3 What is the case number?</x:v>
      </x:c>
      <x:c r="D268" s="142" t="str">
        <x:v>state_specific_eligibility</x:v>
      </x:c>
      <x:c r="E268" s="142" t="str">
        <x:v>text_or_choice</x:v>
      </x:c>
      <x:c r="F268" s="142" t="str">
        <x:v>Packet completion or final verification: source questionnaire detail is not part of the short free check</x:v>
      </x:c>
      <x:c r="G268" s="56" t="str">
        <x:v>https://github.com/Roger-LegalEase/legalease-partner-dashboard-clean/blob/2f0ef0403f16e57544ad0bc86b2d1b1cd08861b3/src/lib/rcap-engine/compiled/profiles/MS-mississippi.json</x:v>
      </x:c>
    </x:row>
    <x:row r="269">
      <x:c r="A269" s="55" t="str">
        <x:v>Mississippi</x:v>
      </x:c>
      <x:c r="B269" s="142" t="str">
        <x:v>MS</x:v>
      </x:c>
      <x:c r="C269" s="142" t="str">
        <x:v>4 What was the charge and statute?</x:v>
      </x:c>
      <x:c r="D269" s="142" t="str">
        <x:v>state_specific_eligibility</x:v>
      </x:c>
      <x:c r="E269" s="142" t="str">
        <x:v>text_or_choice</x:v>
      </x:c>
      <x:c r="F269" s="142" t="str">
        <x:v>Packet completion or final verification: source questionnaire detail is not part of the short free check</x:v>
      </x:c>
      <x:c r="G269" s="56" t="str">
        <x:v>https://github.com/Roger-LegalEase/legalease-partner-dashboard-clean/blob/2f0ef0403f16e57544ad0bc86b2d1b1cd08861b3/src/lib/rcap-engine/compiled/profiles/MS-mississippi.json</x:v>
      </x:c>
    </x:row>
    <x:row r="270">
      <x:c r="A270" s="55" t="str">
        <x:v>Mississippi</x:v>
      </x:c>
      <x:c r="B270" s="142" t="str">
        <x:v>MS</x:v>
      </x:c>
      <x:c r="C270" s="142" t="str">
        <x:v>5 Was it a misdemeanor, felony, DUI, drug possession, alcohol/MIP, or something else?</x:v>
      </x:c>
      <x:c r="D270" s="142" t="str">
        <x:v>state_specific_eligibility</x:v>
      </x:c>
      <x:c r="E270" s="142" t="str">
        <x:v>text_or_choice</x:v>
      </x:c>
      <x:c r="F270" s="142" t="str">
        <x:v>Packet completion or final verification: source questionnaire detail is not part of the short free check</x:v>
      </x:c>
      <x:c r="G270" s="56" t="str">
        <x:v>https://github.com/Roger-LegalEase/legalease-partner-dashboard-clean/blob/2f0ef0403f16e57544ad0bc86b2d1b1cd08861b3/src/lib/rcap-engine/compiled/profiles/MS-mississippi.json</x:v>
      </x:c>
    </x:row>
    <x:row r="271">
      <x:c r="A271" s="55" t="str">
        <x:v>Mississippi</x:v>
      </x:c>
      <x:c r="B271" s="142" t="str">
        <x:v>MS</x:v>
      </x:c>
      <x:c r="C271" s="142" t="str">
        <x:v>6 What was the final outcome?</x:v>
      </x:c>
      <x:c r="D271" s="142" t="str">
        <x:v>state_specific_eligibility</x:v>
      </x:c>
      <x:c r="E271" s="142" t="str">
        <x:v>text_or_choice</x:v>
      </x:c>
      <x:c r="F271" s="142" t="str">
        <x:v>Packet completion or final verification: source questionnaire detail is not part of the short free check</x:v>
      </x:c>
      <x:c r="G271" s="56" t="str">
        <x:v>https://github.com/Roger-LegalEase/legalease-partner-dashboard-clean/blob/2f0ef0403f16e57544ad0bc86b2d1b1cd08861b3/src/lib/rcap-engine/compiled/profiles/MS-mississippi.json</x:v>
      </x:c>
    </x:row>
    <x:row r="272">
      <x:c r="A272" s="55" t="str">
        <x:v>Mississippi</x:v>
      </x:c>
      <x:c r="B272" s="142" t="str">
        <x:v>MS</x:v>
      </x:c>
      <x:c r="C272" s="142" t="str">
        <x:v>Dismissed?</x:v>
      </x:c>
      <x:c r="D272" s="142" t="str">
        <x:v>state_specific_eligibility</x:v>
      </x:c>
      <x:c r="E272" s="142" t="str">
        <x:v>text_or_choice</x:v>
      </x:c>
      <x:c r="F272" s="142" t="str">
        <x:v>Packet completion or final verification: source questionnaire detail is not part of the short free check</x:v>
      </x:c>
      <x:c r="G272" s="56" t="str">
        <x:v>https://github.com/Roger-LegalEase/legalease-partner-dashboard-clean/blob/2f0ef0403f16e57544ad0bc86b2d1b1cd08861b3/src/lib/rcap-engine/compiled/profiles/MS-mississippi.json</x:v>
      </x:c>
    </x:row>
    <x:row r="273">
      <x:c r="A273" s="55" t="str">
        <x:v>Mississippi</x:v>
      </x:c>
      <x:c r="B273" s="142" t="str">
        <x:v>MS</x:v>
      </x:c>
      <x:c r="C273" s="142" t="str">
        <x:v>No disposition?</x:v>
      </x:c>
      <x:c r="D273" s="142" t="str">
        <x:v>state_specific_eligibility</x:v>
      </x:c>
      <x:c r="E273" s="142" t="str">
        <x:v>text_or_choice</x:v>
      </x:c>
      <x:c r="F273" s="142" t="str">
        <x:v>Packet completion or final verification: source questionnaire detail is not part of the short free check</x:v>
      </x:c>
      <x:c r="G273" s="56" t="str">
        <x:v>https://github.com/Roger-LegalEase/legalease-partner-dashboard-clean/blob/2f0ef0403f16e57544ad0bc86b2d1b1cd08861b3/src/lib/rcap-engine/compiled/profiles/MS-mississippi.json</x:v>
      </x:c>
    </x:row>
    <x:row r="274">
      <x:c r="A274" s="55" t="str">
        <x:v>Mississippi</x:v>
      </x:c>
      <x:c r="B274" s="142" t="str">
        <x:v>MS</x:v>
      </x:c>
      <x:c r="C274" s="142" t="str">
        <x:v>Not guilty?</x:v>
      </x:c>
      <x:c r="D274" s="142" t="str">
        <x:v>state_specific_eligibility</x:v>
      </x:c>
      <x:c r="E274" s="142" t="str">
        <x:v>text_or_choice</x:v>
      </x:c>
      <x:c r="F274" s="142" t="str">
        <x:v>Packet completion or final verification: source questionnaire detail is not part of the short free check</x:v>
      </x:c>
      <x:c r="G274" s="56" t="str">
        <x:v>https://github.com/Roger-LegalEase/legalease-partner-dashboard-clean/blob/2f0ef0403f16e57544ad0bc86b2d1b1cd08861b3/src/lib/rcap-engine/compiled/profiles/MS-mississippi.json</x:v>
      </x:c>
    </x:row>
    <x:row r="275">
      <x:c r="A275" s="55" t="str">
        <x:v>Mississippi</x:v>
      </x:c>
      <x:c r="B275" s="142" t="str">
        <x:v>MS</x:v>
      </x:c>
      <x:c r="C275" s="142" t="str">
        <x:v>Nonadjudication?</x:v>
      </x:c>
      <x:c r="D275" s="142" t="str">
        <x:v>state_specific_eligibility</x:v>
      </x:c>
      <x:c r="E275" s="142" t="str">
        <x:v>text_or_choice</x:v>
      </x:c>
      <x:c r="F275" s="142" t="str">
        <x:v>Packet completion or final verification: source questionnaire detail is not part of the short free check</x:v>
      </x:c>
      <x:c r="G275" s="56" t="str">
        <x:v>https://github.com/Roger-LegalEase/legalease-partner-dashboard-clean/blob/2f0ef0403f16e57544ad0bc86b2d1b1cd08861b3/src/lib/rcap-engine/compiled/profiles/MS-mississippi.json</x:v>
      </x:c>
    </x:row>
    <x:row r="276">
      <x:c r="A276" s="55" t="str">
        <x:v>Mississippi</x:v>
      </x:c>
      <x:c r="B276" s="142" t="str">
        <x:v>MS</x:v>
      </x:c>
      <x:c r="C276" s="142" t="str">
        <x:v>Pretrial intervention?</x:v>
      </x:c>
      <x:c r="D276" s="142" t="str">
        <x:v>state_specific_eligibility</x:v>
      </x:c>
      <x:c r="E276" s="142" t="str">
        <x:v>text_or_choice</x:v>
      </x:c>
      <x:c r="F276" s="142" t="str">
        <x:v>Packet completion or final verification: source questionnaire detail is not part of the short free check</x:v>
      </x:c>
      <x:c r="G276" s="56" t="str">
        <x:v>https://github.com/Roger-LegalEase/legalease-partner-dashboard-clean/blob/2f0ef0403f16e57544ad0bc86b2d1b1cd08861b3/src/lib/rcap-engine/compiled/profiles/MS-mississippi.json</x:v>
      </x:c>
    </x:row>
    <x:row r="277">
      <x:c r="A277" s="55" t="str">
        <x:v>Mississippi</x:v>
      </x:c>
      <x:c r="B277" s="142" t="str">
        <x:v>MS</x:v>
      </x:c>
      <x:c r="C277" s="142" t="str">
        <x:v>Intervention court?</x:v>
      </x:c>
      <x:c r="D277" s="142" t="str">
        <x:v>state_specific_eligibility</x:v>
      </x:c>
      <x:c r="E277" s="142" t="str">
        <x:v>text_or_choice</x:v>
      </x:c>
      <x:c r="F277" s="142" t="str">
        <x:v>Packet completion or final verification: source questionnaire detail is not part of the short free check</x:v>
      </x:c>
      <x:c r="G277" s="56" t="str">
        <x:v>https://github.com/Roger-LegalEase/legalease-partner-dashboard-clean/blob/2f0ef0403f16e57544ad0bc86b2d1b1cd08861b3/src/lib/rcap-engine/compiled/profiles/MS-mississippi.json</x:v>
      </x:c>
    </x:row>
    <x:row r="278">
      <x:c r="A278" s="55" t="str">
        <x:v>Mississippi</x:v>
      </x:c>
      <x:c r="B278" s="142" t="str">
        <x:v>MS</x:v>
      </x:c>
      <x:c r="C278" s="142" t="str">
        <x:v>Conviction?</x:v>
      </x:c>
      <x:c r="D278" s="142" t="str">
        <x:v>state_specific_eligibility</x:v>
      </x:c>
      <x:c r="E278" s="142" t="str">
        <x:v>text_or_choice</x:v>
      </x:c>
      <x:c r="F278" s="142" t="str">
        <x:v>Packet completion or final verification: source questionnaire detail is not part of the short free check</x:v>
      </x:c>
      <x:c r="G278" s="56" t="str">
        <x:v>https://github.com/Roger-LegalEase/legalease-partner-dashboard-clean/blob/2f0ef0403f16e57544ad0bc86b2d1b1cd08861b3/src/lib/rcap-engine/compiled/profiles/MS-mississippi.json</x:v>
      </x:c>
    </x:row>
    <x:row r="279">
      <x:c r="A279" s="55" t="str">
        <x:v>Mississippi</x:v>
      </x:c>
      <x:c r="B279" s="142" t="str">
        <x:v>MS</x:v>
      </x:c>
      <x:c r="C279" s="142" t="str">
        <x:v>7 If convicted, when were all sentence terms completed?</x:v>
      </x:c>
      <x:c r="D279" s="142" t="str">
        <x:v>state_specific_eligibility</x:v>
      </x:c>
      <x:c r="E279" s="142" t="str">
        <x:v>text_or_choice</x:v>
      </x:c>
      <x:c r="F279" s="142" t="str">
        <x:v>Packet completion or final verification: source questionnaire detail is not part of the short free check</x:v>
      </x:c>
      <x:c r="G279" s="56" t="str">
        <x:v>https://github.com/Roger-LegalEase/legalease-partner-dashboard-clean/blob/2f0ef0403f16e57544ad0bc86b2d1b1cd08861b3/src/lib/rcap-engine/compiled/profiles/MS-mississippi.json</x:v>
      </x:c>
    </x:row>
    <x:row r="280">
      <x:c r="A280" s="55" t="str">
        <x:v>Mississippi</x:v>
      </x:c>
      <x:c r="B280" s="142" t="str">
        <x:v>MS</x:v>
      </x:c>
      <x:c r="C280" s="142" t="str">
        <x:v>8 Are all fines, costs, restitution, and fees paid or waived?</x:v>
      </x:c>
      <x:c r="D280" s="142" t="str">
        <x:v>state_specific_eligibility</x:v>
      </x:c>
      <x:c r="E280" s="142" t="str">
        <x:v>text_or_choice</x:v>
      </x:c>
      <x:c r="F280" s="142" t="str">
        <x:v>Packet completion or final verification: source questionnaire detail is not part of the short free check</x:v>
      </x:c>
      <x:c r="G280" s="56" t="str">
        <x:v>https://github.com/Roger-LegalEase/legalease-partner-dashboard-clean/blob/2f0ef0403f16e57544ad0bc86b2d1b1cd08861b3/src/lib/rcap-engine/compiled/profiles/MS-mississippi.json</x:v>
      </x:c>
    </x:row>
    <x:row r="281">
      <x:c r="A281" s="55" t="str">
        <x:v>Mississippi</x:v>
      </x:c>
      <x:c r="B281" s="142" t="str">
        <x:v>MS</x:v>
      </x:c>
      <x:c r="C281" s="142" t="str">
        <x:v>9 Are there any pending charges?</x:v>
      </x:c>
      <x:c r="D281" s="142" t="str">
        <x:v>state_specific_eligibility</x:v>
      </x:c>
      <x:c r="E281" s="142" t="str">
        <x:v>text_or_choice</x:v>
      </x:c>
      <x:c r="F281" s="142" t="str">
        <x:v>Packet completion or final verification: source questionnaire detail is not part of the short free check</x:v>
      </x:c>
      <x:c r="G281" s="56" t="str">
        <x:v>https://github.com/Roger-LegalEase/legalease-partner-dashboard-clean/blob/2f0ef0403f16e57544ad0bc86b2d1b1cd08861b3/src/lib/rcap-engine/compiled/profiles/MS-mississippi.json</x:v>
      </x:c>
    </x:row>
    <x:row r="282">
      <x:c r="A282" s="55" t="str">
        <x:v>Mississippi</x:v>
      </x:c>
      <x:c r="B282" s="142" t="str">
        <x:v>MS</x:v>
      </x:c>
      <x:c r="C282" s="142" t="str">
        <x:v>10 Was this your first offense?</x:v>
      </x:c>
      <x:c r="D282" s="142" t="str">
        <x:v>state_specific_eligibility</x:v>
      </x:c>
      <x:c r="E282" s="142" t="str">
        <x:v>text_or_choice</x:v>
      </x:c>
      <x:c r="F282" s="142" t="str">
        <x:v>Packet completion or final verification: source questionnaire detail is not part of the short free check</x:v>
      </x:c>
      <x:c r="G282" s="56" t="str">
        <x:v>https://github.com/Roger-LegalEase/legalease-partner-dashboard-clean/blob/2f0ef0403f16e57544ad0bc86b2d1b1cd08861b3/src/lib/rcap-engine/compiled/profiles/MS-mississippi.json</x:v>
      </x:c>
    </x:row>
    <x:row r="283">
      <x:c r="A283" s="55" t="str">
        <x:v>Mississippi</x:v>
      </x:c>
      <x:c r="B283" s="142" t="str">
        <x:v>MS</x:v>
      </x:c>
      <x:c r="C283" s="142" t="str">
        <x:v>11 Have you ever had a felony expunged before?</x:v>
      </x:c>
      <x:c r="D283" s="142" t="str">
        <x:v>state_specific_eligibility</x:v>
      </x:c>
      <x:c r="E283" s="142" t="str">
        <x:v>text_or_choice</x:v>
      </x:c>
      <x:c r="F283" s="142" t="str">
        <x:v>Packet completion or final verification: source questionnaire detail is not part of the short free check</x:v>
      </x:c>
      <x:c r="G283" s="56" t="str">
        <x:v>https://github.com/Roger-LegalEase/legalease-partner-dashboard-clean/blob/2f0ef0403f16e57544ad0bc86b2d1b1cd08861b3/src/lib/rcap-engine/compiled/profiles/MS-mississippi.json</x:v>
      </x:c>
    </x:row>
    <x:row r="284">
      <x:c r="A284" s="55" t="str">
        <x:v>Mississippi</x:v>
      </x:c>
      <x:c r="B284" s="142" t="str">
        <x:v>MS</x:v>
      </x:c>
      <x:c r="C284" s="142" t="str">
        <x:v>12 Was this a traffic violation?</x:v>
      </x:c>
      <x:c r="D284" s="142" t="str">
        <x:v>state_specific_eligibility</x:v>
      </x:c>
      <x:c r="E284" s="142" t="str">
        <x:v>text_or_choice</x:v>
      </x:c>
      <x:c r="F284" s="142" t="str">
        <x:v>Packet completion or final verification: source questionnaire detail is not part of the short free check</x:v>
      </x:c>
      <x:c r="G284" s="56" t="str">
        <x:v>https://github.com/Roger-LegalEase/legalease-partner-dashboard-clean/blob/2f0ef0403f16e57544ad0bc86b2d1b1cd08861b3/src/lib/rcap-engine/compiled/profiles/MS-mississippi.json</x:v>
      </x:c>
    </x:row>
    <x:row r="285">
      <x:c r="A285" s="55" t="str">
        <x:v>Mississippi</x:v>
      </x:c>
      <x:c r="B285" s="142" t="str">
        <x:v>MS</x:v>
      </x:c>
      <x:c r="C285" s="142" t="str">
        <x:v>13 Was it a DUI?</x:v>
      </x:c>
      <x:c r="D285" s="142" t="str">
        <x:v>state_specific_eligibility</x:v>
      </x:c>
      <x:c r="E285" s="142" t="str">
        <x:v>text_or_choice</x:v>
      </x:c>
      <x:c r="F285" s="142" t="str">
        <x:v>Packet completion or final verification: source questionnaire detail is not part of the short free check</x:v>
      </x:c>
      <x:c r="G285" s="56" t="str">
        <x:v>https://github.com/Roger-LegalEase/legalease-partner-dashboard-clean/blob/2f0ef0403f16e57544ad0bc86b2d1b1cd08861b3/src/lib/rcap-engine/compiled/profiles/MS-mississippi.json</x:v>
      </x:c>
    </x:row>
    <x:row r="286">
      <x:c r="A286" s="55" t="str">
        <x:v>Mississippi</x:v>
      </x:c>
      <x:c r="B286" s="142" t="str">
        <x:v>MS</x:v>
      </x:c>
      <x:c r="C286" s="142" t="str">
        <x:v>14 If DUI, was it first offense, did you refuse testing, was BAC under .16, did you have a CDL or commercial learner's permit, and do you have any other DUI pending/conviction?</x:v>
      </x:c>
      <x:c r="D286" s="142" t="str">
        <x:v>state_specific_eligibility</x:v>
      </x:c>
      <x:c r="E286" s="142" t="str">
        <x:v>text_or_choice</x:v>
      </x:c>
      <x:c r="F286" s="142" t="str">
        <x:v>Packet completion or final verification: source questionnaire detail is not part of the short free check</x:v>
      </x:c>
      <x:c r="G286" s="56" t="str">
        <x:v>https://github.com/Roger-LegalEase/legalease-partner-dashboard-clean/blob/2f0ef0403f16e57544ad0bc86b2d1b1cd08861b3/src/lib/rcap-engine/compiled/profiles/MS-mississippi.json</x:v>
      </x:c>
    </x:row>
    <x:row r="287">
      <x:c r="A287" s="55" t="str">
        <x:v>Mississippi</x:v>
      </x:c>
      <x:c r="B287" s="142" t="str">
        <x:v>MS</x:v>
      </x:c>
      <x:c r="C287" s="142" t="str">
        <x:v>15 Was it a crime of violence, sex-offense registration, arson, drug trafficking, firearm offense, witness intimidation, vulnerable-person abuse, embezzlement, voyeurism, or prostitution-related felony?</x:v>
      </x:c>
      <x:c r="D287" s="142" t="str">
        <x:v>state_specific_eligibility</x:v>
      </x:c>
      <x:c r="E287" s="142" t="str">
        <x:v>text_or_choice</x:v>
      </x:c>
      <x:c r="F287" s="142" t="str">
        <x:v>Packet completion or final verification: source questionnaire detail is not part of the short free check</x:v>
      </x:c>
      <x:c r="G287" s="56" t="str">
        <x:v>https://github.com/Roger-LegalEase/legalease-partner-dashboard-clean/blob/2f0ef0403f16e57544ad0bc86b2d1b1cd08861b3/src/lib/rcap-engine/compiled/profiles/MS-mississippi.json</x:v>
      </x:c>
    </x:row>
    <x:row r="288">
      <x:c r="A288" s="55" t="str">
        <x:v>Mississippi</x:v>
      </x:c>
      <x:c r="B288" s="142" t="str">
        <x:v>MS</x:v>
      </x:c>
      <x:c r="C288" s="142" t="str">
        <x:v>16 Were you a public official and was the conviction related to official duties?</x:v>
      </x:c>
      <x:c r="D288" s="142" t="str">
        <x:v>state_specific_eligibility</x:v>
      </x:c>
      <x:c r="E288" s="142" t="str">
        <x:v>text_or_choice</x:v>
      </x:c>
      <x:c r="F288" s="142" t="str">
        <x:v>Packet completion or final verification: source questionnaire detail is not part of the short free check</x:v>
      </x:c>
      <x:c r="G288" s="56" t="str">
        <x:v>https://github.com/Roger-LegalEase/legalease-partner-dashboard-clean/blob/2f0ef0403f16e57544ad0bc86b2d1b1cd08861b3/src/lib/rcap-engine/compiled/profiles/MS-mississippi.json</x:v>
      </x:c>
    </x:row>
    <x:row r="289">
      <x:c r="A289" s="55" t="str">
        <x:v>Mississippi</x:v>
      </x:c>
      <x:c r="B289" s="142" t="str">
        <x:v>MS</x:v>
      </x:c>
      <x:c r="C289" s="142" t="str">
        <x:v>17 Did the case occur while you were being trafficked, coerced, or controlled by someone else?</x:v>
      </x:c>
      <x:c r="D289" s="142" t="str">
        <x:v>state_specific_eligibility</x:v>
      </x:c>
      <x:c r="E289" s="142" t="str">
        <x:v>text_or_choice</x:v>
      </x:c>
      <x:c r="F289" s="142" t="str">
        <x:v>Packet completion or final verification: source questionnaire detail is not part of the short free check</x:v>
      </x:c>
      <x:c r="G289" s="56" t="str">
        <x:v>https://github.com/Roger-LegalEase/legalease-partner-dashboard-clean/blob/2f0ef0403f16e57544ad0bc86b2d1b1cd08861b3/src/lib/rcap-engine/compiled/profiles/MS-mississippi.json</x:v>
      </x:c>
    </x:row>
    <x:row r="290">
      <x:c r="A290" s="55" t="str">
        <x:v>Mississippi</x:v>
      </x:c>
      <x:c r="B290" s="142" t="str">
        <x:v>MS</x:v>
      </x:c>
      <x:c r="C290" s="142" t="str">
        <x:v>18 Do you need this for employment, housing, licensing, immigration, school, childcare, healthcare, firearms, public office, or military purposes?</x:v>
      </x:c>
      <x:c r="D290" s="142" t="str">
        <x:v>state_specific_eligibility</x:v>
      </x:c>
      <x:c r="E290" s="142" t="str">
        <x:v>text_or_choice</x:v>
      </x:c>
      <x:c r="F290" s="142" t="str">
        <x:v>Packet completion or final verification: source questionnaire detail is not part of the short free check</x:v>
      </x:c>
      <x:c r="G290" s="56" t="str">
        <x:v>https://github.com/Roger-LegalEase/legalease-partner-dashboard-clean/blob/2f0ef0403f16e57544ad0bc86b2d1b1cd08861b3/src/lib/rcap-engine/compiled/profiles/MS-mississippi.json</x:v>
      </x:c>
    </x:row>
    <x:row r="291">
      <x:c r="A291" s="55" t="str">
        <x:v>Mississippi</x:v>
      </x:c>
      <x:c r="B291" s="142" t="str">
        <x:v>MS</x:v>
      </x:c>
      <x:c r="C291" s="142" t="str">
        <x:v>Check one-felony lifetime rule, sentence completion, fines/costs paid, waiting period, rehabilitation, DA notice, and exclusion list. Use 5-year rule before July 1, 2026; use 3-year rule on or after July 1, 2026.</x:v>
      </x:c>
      <x:c r="D291" s="142" t="str">
        <x:v>state_specific_eligibility</x:v>
      </x:c>
      <x:c r="E291" s="142" t="str">
        <x:v>text_or_choice</x:v>
      </x:c>
      <x:c r="F291" s="142" t="str">
        <x:v>Packet completion or final verification: source questionnaire detail is not part of the short free check</x:v>
      </x:c>
      <x:c r="G291" s="56" t="str">
        <x:v>https://github.com/Roger-LegalEase/legalease-partner-dashboard-clean/blob/2f0ef0403f16e57544ad0bc86b2d1b1cd08861b3/src/lib/rcap-engine/compiled/profiles/MS-mississippi.json</x:v>
      </x:c>
    </x:row>
    <x:row r="292">
      <x:c r="A292" s="55" t="str">
        <x:v>Montana</x:v>
      </x:c>
      <x:c r="B292" s="142" t="str">
        <x:v>MT</x:v>
      </x:c>
      <x:c r="C292" s="142" t="str">
        <x:v>1 Was this case in Montana state court, Tribal court, federal court, or another state?</x:v>
      </x:c>
      <x:c r="D292" s="142" t="str">
        <x:v>state_specific_eligibility</x:v>
      </x:c>
      <x:c r="E292" s="142" t="str">
        <x:v>text_or_choice</x:v>
      </x:c>
      <x:c r="F292" s="142" t="str">
        <x:v>Packet completion or final verification: source questionnaire detail is not part of the short free check</x:v>
      </x:c>
      <x:c r="G292" s="56" t="str">
        <x:v>https://github.com/Roger-LegalEase/legalease-partner-dashboard-clean/blob/2f0ef0403f16e57544ad0bc86b2d1b1cd08861b3/src/lib/rcap-engine/compiled/profiles/MT-montana.json</x:v>
      </x:c>
    </x:row>
    <x:row r="293">
      <x:c r="A293" s="55" t="str">
        <x:v>Montana</x:v>
      </x:c>
      <x:c r="B293" s="142" t="str">
        <x:v>MT</x:v>
      </x:c>
      <x:c r="C293" s="142" t="str">
        <x:v>2 Was the case a conviction, dismissal, acquittal, dropped charge, not-filed arrest, deferred prosecution, or deferred sentence?</x:v>
      </x:c>
      <x:c r="D293" s="142" t="str">
        <x:v>state_specific_eligibility</x:v>
      </x:c>
      <x:c r="E293" s="142" t="str">
        <x:v>text_or_choice</x:v>
      </x:c>
      <x:c r="F293" s="142" t="str">
        <x:v>Packet completion or final verification: source questionnaire detail is not part of the short free check</x:v>
      </x:c>
      <x:c r="G293" s="56" t="str">
        <x:v>https://github.com/Roger-LegalEase/legalease-partner-dashboard-clean/blob/2f0ef0403f16e57544ad0bc86b2d1b1cd08861b3/src/lib/rcap-engine/compiled/profiles/MT-montana.json</x:v>
      </x:c>
    </x:row>
    <x:row r="294">
      <x:c r="A294" s="55" t="str">
        <x:v>Montana</x:v>
      </x:c>
      <x:c r="B294" s="142" t="str">
        <x:v>MT</x:v>
      </x:c>
      <x:c r="C294" s="142" t="str">
        <x:v>3 Was the offense a misdemeanor, felony, or marijuana-related offense?</x:v>
      </x:c>
      <x:c r="D294" s="142" t="str">
        <x:v>state_specific_eligibility</x:v>
      </x:c>
      <x:c r="E294" s="142" t="str">
        <x:v>text_or_choice</x:v>
      </x:c>
      <x:c r="F294" s="142" t="str">
        <x:v>Packet completion or final verification: source questionnaire detail is not part of the short free check</x:v>
      </x:c>
      <x:c r="G294" s="56" t="str">
        <x:v>https://github.com/Roger-LegalEase/legalease-partner-dashboard-clean/blob/2f0ef0403f16e57544ad0bc86b2d1b1cd08861b3/src/lib/rcap-engine/compiled/profiles/MT-montana.json</x:v>
      </x:c>
    </x:row>
    <x:row r="295">
      <x:c r="A295" s="55" t="str">
        <x:v>Montana</x:v>
      </x:c>
      <x:c r="B295" s="142" t="str">
        <x:v>MT</x:v>
      </x:c>
      <x:c r="C295" s="142" t="str">
        <x:v>4 Which court handled it: District Court, Justice Court, City Court, Municipal Court, or another court?</x:v>
      </x:c>
      <x:c r="D295" s="142" t="str">
        <x:v>state_specific_eligibility</x:v>
      </x:c>
      <x:c r="E295" s="142" t="str">
        <x:v>text_or_choice</x:v>
      </x:c>
      <x:c r="F295" s="142" t="str">
        <x:v>Packet completion or final verification: source questionnaire detail is not part of the short free check</x:v>
      </x:c>
      <x:c r="G295" s="56" t="str">
        <x:v>https://github.com/Roger-LegalEase/legalease-partner-dashboard-clean/blob/2f0ef0403f16e57544ad0bc86b2d1b1cd08861b3/src/lib/rcap-engine/compiled/profiles/MT-montana.json</x:v>
      </x:c>
    </x:row>
    <x:row r="296">
      <x:c r="A296" s="55" t="str">
        <x:v>Montana</x:v>
      </x:c>
      <x:c r="B296" s="142" t="str">
        <x:v>MT</x:v>
      </x:c>
      <x:c r="C296" s="142" t="str">
        <x:v>5 What county?</x:v>
      </x:c>
      <x:c r="D296" s="142" t="str">
        <x:v>state_specific_eligibility</x:v>
      </x:c>
      <x:c r="E296" s="142" t="str">
        <x:v>text_or_choice</x:v>
      </x:c>
      <x:c r="F296" s="142" t="str">
        <x:v>Packet completion or final verification: source questionnaire detail is not part of the short free check</x:v>
      </x:c>
      <x:c r="G296" s="56" t="str">
        <x:v>https://github.com/Roger-LegalEase/legalease-partner-dashboard-clean/blob/2f0ef0403f16e57544ad0bc86b2d1b1cd08861b3/src/lib/rcap-engine/compiled/profiles/MT-montana.json</x:v>
      </x:c>
    </x:row>
    <x:row r="297">
      <x:c r="A297" s="55" t="str">
        <x:v>Montana</x:v>
      </x:c>
      <x:c r="B297" s="142" t="str">
        <x:v>MT</x:v>
      </x:c>
      <x:c r="C297" s="142" t="str">
        <x:v>6 What was the charge and statute number?</x:v>
      </x:c>
      <x:c r="D297" s="142" t="str">
        <x:v>state_specific_eligibility</x:v>
      </x:c>
      <x:c r="E297" s="142" t="str">
        <x:v>text_or_choice</x:v>
      </x:c>
      <x:c r="F297" s="142" t="str">
        <x:v>Packet completion or final verification: source questionnaire detail is not part of the short free check</x:v>
      </x:c>
      <x:c r="G297" s="56" t="str">
        <x:v>https://github.com/Roger-LegalEase/legalease-partner-dashboard-clean/blob/2f0ef0403f16e57544ad0bc86b2d1b1cd08861b3/src/lib/rcap-engine/compiled/profiles/MT-montana.json</x:v>
      </x:c>
    </x:row>
    <x:row r="298">
      <x:c r="A298" s="55" t="str">
        <x:v>Montana</x:v>
      </x:c>
      <x:c r="B298" s="142" t="str">
        <x:v>MT</x:v>
      </x:c>
      <x:c r="C298" s="142" t="str">
        <x:v>7 What was the conviction date?</x:v>
      </x:c>
      <x:c r="D298" s="142" t="str">
        <x:v>state_specific_eligibility</x:v>
      </x:c>
      <x:c r="E298" s="142" t="str">
        <x:v>text_or_choice</x:v>
      </x:c>
      <x:c r="F298" s="142" t="str">
        <x:v>Packet completion or final verification: source questionnaire detail is not part of the short free check</x:v>
      </x:c>
      <x:c r="G298" s="56" t="str">
        <x:v>https://github.com/Roger-LegalEase/legalease-partner-dashboard-clean/blob/2f0ef0403f16e57544ad0bc86b2d1b1cd08861b3/src/lib/rcap-engine/compiled/profiles/MT-montana.json</x:v>
      </x:c>
    </x:row>
    <x:row r="299">
      <x:c r="A299" s="55" t="str">
        <x:v>Montana</x:v>
      </x:c>
      <x:c r="B299" s="142" t="str">
        <x:v>MT</x:v>
      </x:c>
      <x:c r="C299" s="142" t="str">
        <x:v>8 When were all sentence terms completed?</x:v>
      </x:c>
      <x:c r="D299" s="142" t="str">
        <x:v>state_specific_eligibility</x:v>
      </x:c>
      <x:c r="E299" s="142" t="str">
        <x:v>text_or_choice</x:v>
      </x:c>
      <x:c r="F299" s="142" t="str">
        <x:v>Packet completion or final verification: source questionnaire detail is not part of the short free check</x:v>
      </x:c>
      <x:c r="G299" s="56" t="str">
        <x:v>https://github.com/Roger-LegalEase/legalease-partner-dashboard-clean/blob/2f0ef0403f16e57544ad0bc86b2d1b1cd08861b3/src/lib/rcap-engine/compiled/profiles/MT-montana.json</x:v>
      </x:c>
    </x:row>
    <x:row r="300">
      <x:c r="A300" s="55" t="str">
        <x:v>Montana</x:v>
      </x:c>
      <x:c r="B300" s="142" t="str">
        <x:v>MT</x:v>
      </x:c>
      <x:c r="C300" s="142" t="str">
        <x:v>9 Were all fines, fees, restitution, jail time, treatment, and probation completed?</x:v>
      </x:c>
      <x:c r="D300" s="142" t="str">
        <x:v>state_specific_eligibility</x:v>
      </x:c>
      <x:c r="E300" s="142" t="str">
        <x:v>text_or_choice</x:v>
      </x:c>
      <x:c r="F300" s="142" t="str">
        <x:v>Packet completion or final verification: source questionnaire detail is not part of the short free check</x:v>
      </x:c>
      <x:c r="G300" s="56" t="str">
        <x:v>https://github.com/Roger-LegalEase/legalease-partner-dashboard-clean/blob/2f0ef0403f16e57544ad0bc86b2d1b1cd08861b3/src/lib/rcap-engine/compiled/profiles/MT-montana.json</x:v>
      </x:c>
    </x:row>
    <x:row r="301">
      <x:c r="A301" s="55" t="str">
        <x:v>Montana</x:v>
      </x:c>
      <x:c r="B301" s="142" t="str">
        <x:v>MT</x:v>
      </x:c>
      <x:c r="C301" s="142" t="str">
        <x:v>10 Has the user had any new convictions in Montana, another state, or federal court in the five years after completing the sentence?</x:v>
      </x:c>
      <x:c r="D301" s="142" t="str">
        <x:v>state_specific_eligibility</x:v>
      </x:c>
      <x:c r="E301" s="142" t="str">
        <x:v>text_or_choice</x:v>
      </x:c>
      <x:c r="F301" s="142" t="str">
        <x:v>Packet completion or final verification: source questionnaire detail is not part of the short free check</x:v>
      </x:c>
      <x:c r="G301" s="56" t="str">
        <x:v>https://github.com/Roger-LegalEase/legalease-partner-dashboard-clean/blob/2f0ef0403f16e57544ad0bc86b2d1b1cd08861b3/src/lib/rcap-engine/compiled/profiles/MT-montana.json</x:v>
      </x:c>
    </x:row>
    <x:row r="302">
      <x:c r="A302" s="55" t="str">
        <x:v>Montana</x:v>
      </x:c>
      <x:c r="B302" s="142" t="str">
        <x:v>MT</x:v>
      </x:c>
      <x:c r="C302" s="142" t="str">
        <x:v>11 Does the user have any pending charges, open cases, or current detention?</x:v>
      </x:c>
      <x:c r="D302" s="142" t="str">
        <x:v>state_specific_eligibility</x:v>
      </x:c>
      <x:c r="E302" s="142" t="str">
        <x:v>text_or_choice</x:v>
      </x:c>
      <x:c r="F302" s="142" t="str">
        <x:v>Packet completion or final verification: source questionnaire detail is not part of the short free check</x:v>
      </x:c>
      <x:c r="G302" s="56" t="str">
        <x:v>https://github.com/Roger-LegalEase/legalease-partner-dashboard-clean/blob/2f0ef0403f16e57544ad0bc86b2d1b1cd08861b3/src/lib/rcap-engine/compiled/profiles/MT-montana.json</x:v>
      </x:c>
    </x:row>
    <x:row r="303">
      <x:c r="A303" s="55" t="str">
        <x:v>Montana</x:v>
      </x:c>
      <x:c r="B303" s="142" t="str">
        <x:v>MT</x:v>
      </x:c>
      <x:c r="C303" s="142" t="str">
        <x:v>12 Has the user ever successfully petitioned for Montana misdemeanor expungement before?</x:v>
      </x:c>
      <x:c r="D303" s="142" t="str">
        <x:v>state_specific_eligibility</x:v>
      </x:c>
      <x:c r="E303" s="142" t="str">
        <x:v>text_or_choice</x:v>
      </x:c>
      <x:c r="F303" s="142" t="str">
        <x:v>Packet completion or final verification: source questionnaire detail is not part of the short free check</x:v>
      </x:c>
      <x:c r="G303" s="56" t="str">
        <x:v>https://github.com/Roger-LegalEase/legalease-partner-dashboard-clean/blob/2f0ef0403f16e57544ad0bc86b2d1b1cd08861b3/src/lib/rcap-engine/compiled/profiles/MT-montana.json</x:v>
      </x:c>
    </x:row>
    <x:row r="304">
      <x:c r="A304" s="55" t="str">
        <x:v>Montana</x:v>
      </x:c>
      <x:c r="B304" s="142" t="str">
        <x:v>MT</x:v>
      </x:c>
      <x:c r="C304" s="142" t="str">
        <x:v>13 Was the offense assault, partner/family member assault, stalking, sexual assault, protective-order violation, DUI, or DUI-enhanced?</x:v>
      </x:c>
      <x:c r="D304" s="142" t="str">
        <x:v>state_specific_eligibility</x:v>
      </x:c>
      <x:c r="E304" s="142" t="str">
        <x:v>text_or_choice</x:v>
      </x:c>
      <x:c r="F304" s="142" t="str">
        <x:v>Packet completion or final verification: source questionnaire detail is not part of the short free check</x:v>
      </x:c>
      <x:c r="G304" s="56" t="str">
        <x:v>https://github.com/Roger-LegalEase/legalease-partner-dashboard-clean/blob/2f0ef0403f16e57544ad0bc86b2d1b1cd08861b3/src/lib/rcap-engine/compiled/profiles/MT-montana.json</x:v>
      </x:c>
    </x:row>
    <x:row r="305">
      <x:c r="A305" s="55" t="str">
        <x:v>Montana</x:v>
      </x:c>
      <x:c r="B305" s="142" t="str">
        <x:v>MT</x:v>
      </x:c>
      <x:c r="C305" s="142" t="str">
        <x:v>14 Was there a victim?</x:v>
      </x:c>
      <x:c r="D305" s="142" t="str">
        <x:v>state_specific_eligibility</x:v>
      </x:c>
      <x:c r="E305" s="142" t="str">
        <x:v>text_or_choice</x:v>
      </x:c>
      <x:c r="F305" s="142" t="str">
        <x:v>Packet completion or final verification: source questionnaire detail is not part of the short free check</x:v>
      </x:c>
      <x:c r="G305" s="56" t="str">
        <x:v>https://github.com/Roger-LegalEase/legalease-partner-dashboard-clean/blob/2f0ef0403f16e57544ad0bc86b2d1b1cd08861b3/src/lib/rcap-engine/compiled/profiles/MT-montana.json</x:v>
      </x:c>
    </x:row>
    <x:row r="306">
      <x:c r="A306" s="55" t="str">
        <x:v>Montana</x:v>
      </x:c>
      <x:c r="B306" s="142" t="str">
        <x:v>MT</x:v>
      </x:c>
      <x:c r="C306" s="142" t="str">
        <x:v>15 Was the case marijuana-related?</x:v>
      </x:c>
      <x:c r="D306" s="142" t="str">
        <x:v>state_specific_eligibility</x:v>
      </x:c>
      <x:c r="E306" s="142" t="str">
        <x:v>text_or_choice</x:v>
      </x:c>
      <x:c r="F306" s="142" t="str">
        <x:v>Packet completion or final verification: source questionnaire detail is not part of the short free check</x:v>
      </x:c>
      <x:c r="G306" s="56" t="str">
        <x:v>https://github.com/Roger-LegalEase/legalease-partner-dashboard-clean/blob/2f0ef0403f16e57544ad0bc86b2d1b1cd08861b3/src/lib/rcap-engine/compiled/profiles/MT-montana.json</x:v>
      </x:c>
    </x:row>
    <x:row r="307">
      <x:c r="A307" s="55" t="str">
        <x:v>Montana</x:v>
      </x:c>
      <x:c r="B307" s="142" t="str">
        <x:v>MT</x:v>
      </x:c>
      <x:c r="C307" s="142" t="str">
        <x:v>16 Was the person currently serving the sentence or has it been completed?</x:v>
      </x:c>
      <x:c r="D307" s="142" t="str">
        <x:v>state_specific_eligibility</x:v>
      </x:c>
      <x:c r="E307" s="142" t="str">
        <x:v>text_or_choice</x:v>
      </x:c>
      <x:c r="F307" s="142" t="str">
        <x:v>Packet completion or final verification: source questionnaire detail is not part of the short free check</x:v>
      </x:c>
      <x:c r="G307" s="56" t="str">
        <x:v>https://github.com/Roger-LegalEase/legalease-partner-dashboard-clean/blob/2f0ef0403f16e57544ad0bc86b2d1b1cd08861b3/src/lib/rcap-engine/compiled/profiles/MT-montana.json</x:v>
      </x:c>
    </x:row>
    <x:row r="308">
      <x:c r="A308" s="55" t="str">
        <x:v>Montana</x:v>
      </x:c>
      <x:c r="B308" s="142" t="str">
        <x:v>MT</x:v>
      </x:c>
      <x:c r="C308" s="142" t="str">
        <x:v>17 Was the sentence deferred and, if so, has dismissal already been entered?</x:v>
      </x:c>
      <x:c r="D308" s="142" t="str">
        <x:v>state_specific_eligibility</x:v>
      </x:c>
      <x:c r="E308" s="142" t="str">
        <x:v>text_or_choice</x:v>
      </x:c>
      <x:c r="F308" s="142" t="str">
        <x:v>Packet completion or final verification: source questionnaire detail is not part of the short free check</x:v>
      </x:c>
      <x:c r="G308" s="56" t="str">
        <x:v>https://github.com/Roger-LegalEase/legalease-partner-dashboard-clean/blob/2f0ef0403f16e57544ad0bc86b2d1b1cd08861b3/src/lib/rcap-engine/compiled/profiles/MT-montana.json</x:v>
      </x:c>
    </x:row>
    <x:row r="309">
      <x:c r="A309" s="55" t="str">
        <x:v>Montana</x:v>
      </x:c>
      <x:c r="B309" s="142" t="str">
        <x:v>MT</x:v>
      </x:c>
      <x:c r="C309" s="142" t="str">
        <x:v>18 Does the user need expungement for employment, housing, licensing, school, immigration, military enlistment, or firearms?</x:v>
      </x:c>
      <x:c r="D309" s="142" t="str">
        <x:v>state_specific_eligibility</x:v>
      </x:c>
      <x:c r="E309" s="142" t="str">
        <x:v>text_or_choice</x:v>
      </x:c>
      <x:c r="F309" s="142" t="str">
        <x:v>Packet completion or final verification: source questionnaire detail is not part of the short free check</x:v>
      </x:c>
      <x:c r="G309" s="56" t="str">
        <x:v>https://github.com/Roger-LegalEase/legalease-partner-dashboard-clean/blob/2f0ef0403f16e57544ad0bc86b2d1b1cd08861b3/src/lib/rcap-engine/compiled/profiles/MT-montana.json</x:v>
      </x:c>
    </x:row>
    <x:row r="310">
      <x:c r="A310" s="55" t="str">
        <x:v>Montana</x:v>
      </x:c>
      <x:c r="B310" s="142" t="str">
        <x:v>MT</x:v>
      </x:c>
      <x:c r="C310" s="142" t="str">
        <x:v>Check five-year completion rule, no pending charges, no new conviction, sentence completion, and prior expungement history.</x:v>
      </x:c>
      <x:c r="D310" s="142" t="str">
        <x:v>state_specific_eligibility</x:v>
      </x:c>
      <x:c r="E310" s="142" t="str">
        <x:v>text_or_choice</x:v>
      </x:c>
      <x:c r="F310" s="142" t="str">
        <x:v>Packet completion or final verification: source questionnaire detail is not part of the short free check</x:v>
      </x:c>
      <x:c r="G310" s="56" t="str">
        <x:v>https://github.com/Roger-LegalEase/legalease-partner-dashboard-clean/blob/2f0ef0403f16e57544ad0bc86b2d1b1cd08861b3/src/lib/rcap-engine/compiled/profiles/MT-montana.json</x:v>
      </x:c>
    </x:row>
    <x:row r="311">
      <x:c r="A311" s="55" t="str">
        <x:v>Montana</x:v>
      </x:c>
      <x:c r="B311" s="142" t="str">
        <x:v>MT</x:v>
      </x:c>
      <x:c r="C311" s="142" t="str">
        <x:v>Do you have the Montana criminal-history report, court docket, or certified disposition needed to verify the record?</x:v>
      </x:c>
      <x:c r="D311" s="142" t="str">
        <x:v>record_readiness</x:v>
      </x:c>
      <x:c r="E311" s="142" t="str">
        <x:v>yes_no_unsure</x:v>
      </x:c>
      <x:c r="F311" s="142" t="str">
        <x:v>Packet completion: record, court, case, filing, or form detail</x:v>
      </x:c>
      <x:c r="G311" s="56" t="str">
        <x:v>https://github.com/Roger-LegalEase/legalease-partner-dashboard-clean/blob/2f0ef0403f16e57544ad0bc86b2d1b1cd08861b3/src/lib/rcap-engine/compiled/profiles/MT-montana.json</x:v>
      </x:c>
    </x:row>
    <x:row r="312">
      <x:c r="A312" s="55" t="str">
        <x:v>Montana</x:v>
      </x:c>
      <x:c r="B312" s="142" t="str">
        <x:v>MT</x:v>
      </x:c>
      <x:c r="C312" s="142" t="str">
        <x:v>When was the case disposed of, dismissed, completed, or discharged?</x:v>
      </x:c>
      <x:c r="D312" s="142" t="str">
        <x:v>timing_and_completion</x:v>
      </x:c>
      <x:c r="E312" s="142" t="str">
        <x:v>date_or_unknown</x:v>
      </x:c>
      <x:c r="F312" s="142" t="str">
        <x:v>Packet completion/final verification: exact date; free check uses approximate timing where appropriate</x:v>
      </x:c>
      <x:c r="G312" s="56" t="str">
        <x:v>https://github.com/Roger-LegalEase/legalease-partner-dashboard-clean/blob/2f0ef0403f16e57544ad0bc86b2d1b1cd08861b3/src/lib/rcap-engine/compiled/profiles/MT-montana.json</x:v>
      </x:c>
    </x:row>
    <x:row r="313">
      <x:c r="A313" s="55" t="str">
        <x:v>Montana</x:v>
      </x:c>
      <x:c r="B313" s="142" t="str">
        <x:v>MT</x:v>
      </x:c>
      <x:c r="C313" s="142" t="str">
        <x:v>What Montana county, parish, borough, district, or local filing area handled the case?</x:v>
      </x:c>
      <x:c r="D313" s="142" t="str">
        <x:v>case_details</x:v>
      </x:c>
      <x:c r="E313" s="142" t="str">
        <x:v>text</x:v>
      </x:c>
      <x:c r="F313" s="142" t="str">
        <x:v>Packet completion: record, court, case, filing, or form detail</x:v>
      </x:c>
      <x:c r="G313" s="56" t="str">
        <x:v>https://github.com/Roger-LegalEase/legalease-partner-dashboard-clean/blob/2f0ef0403f16e57544ad0bc86b2d1b1cd08861b3/src/lib/rcap-engine/compiled/profiles/MT-montana.json</x:v>
      </x:c>
    </x:row>
    <x:row r="314">
      <x:c r="A314" s="55" t="str">
        <x:v>Montana</x:v>
      </x:c>
      <x:c r="B314" s="142" t="str">
        <x:v>MT</x:v>
      </x:c>
      <x:c r="C314" s="142" t="str">
        <x:v>Which court or agency handled the case?</x:v>
      </x:c>
      <x:c r="D314" s="142" t="str">
        <x:v>case_details</x:v>
      </x:c>
      <x:c r="E314" s="142" t="str">
        <x:v>text</x:v>
      </x:c>
      <x:c r="F314" s="142" t="str">
        <x:v>Packet completion: record, court, case, filing, or form detail</x:v>
      </x:c>
      <x:c r="G314" s="56" t="str">
        <x:v>https://github.com/Roger-LegalEase/legalease-partner-dashboard-clean/blob/2f0ef0403f16e57544ad0bc86b2d1b1cd08861b3/src/lib/rcap-engine/compiled/profiles/MT-montana.json</x:v>
      </x:c>
    </x:row>
    <x:row r="315">
      <x:c r="A315" s="55" t="str">
        <x:v>Montana</x:v>
      </x:c>
      <x:c r="B315" s="142" t="str">
        <x:v>MT</x:v>
      </x:c>
      <x:c r="C315" s="142" t="str">
        <x:v>What charge, statute, or record description appears on the record?</x:v>
      </x:c>
      <x:c r="D315" s="142" t="str">
        <x:v>case_details</x:v>
      </x:c>
      <x:c r="E315" s="142" t="str">
        <x:v>text_or_unknown</x:v>
      </x:c>
      <x:c r="F315" s="142" t="str">
        <x:v>Packet completion: record, court, case, filing, or form detail</x:v>
      </x:c>
      <x:c r="G315" s="56" t="str">
        <x:v>https://github.com/Roger-LegalEase/legalease-partner-dashboard-clean/blob/2f0ef0403f16e57544ad0bc86b2d1b1cd08861b3/src/lib/rcap-engine/compiled/profiles/MT-montana.json</x:v>
      </x:c>
    </x:row>
    <x:row r="316">
      <x:c r="A316" s="55" t="str">
        <x:v>Montana</x:v>
      </x:c>
      <x:c r="B316" s="142" t="str">
        <x:v>MT</x:v>
      </x:c>
      <x:c r="C316" s="142" t="str">
        <x:v>Do you have court paperwork or a criminal-history record showing the exact charge and outcome?</x:v>
      </x:c>
      <x:c r="D316" s="142" t="str">
        <x:v>record_readiness</x:v>
      </x:c>
      <x:c r="E316" s="142" t="str">
        <x:v>yes_no_unsure</x:v>
      </x:c>
      <x:c r="F316" s="142" t="str">
        <x:v>Packet completion: record, court, case, filing, or form detail</x:v>
      </x:c>
      <x:c r="G316" s="56" t="str">
        <x:v>https://github.com/Roger-LegalEase/legalease-partner-dashboard-clean/blob/2f0ef0403f16e57544ad0bc86b2d1b1cd08861b3/src/lib/rcap-engine/compiled/profiles/MT-montana.json</x:v>
      </x:c>
    </x:row>
    <x:row r="317">
      <x:c r="A317" s="55" t="str">
        <x:v>North Carolina</x:v>
      </x:c>
      <x:c r="B317" s="142" t="str">
        <x:v>NC</x:v>
      </x:c>
      <x:c r="C317" s="142" t="str">
        <x:v>When was the case disposed of, dismissed, completed, or discharged?</x:v>
      </x:c>
      <x:c r="D317" s="142" t="str">
        <x:v>timing_and_completion</x:v>
      </x:c>
      <x:c r="E317" s="142" t="str">
        <x:v>date_or_unknown</x:v>
      </x:c>
      <x:c r="F317" s="142" t="str">
        <x:v>Packet completion/final verification: exact date; free check uses approximate timing where appropriate</x:v>
      </x:c>
      <x:c r="G317" s="56" t="str">
        <x:v>https://github.com/Roger-LegalEase/legalease-partner-dashboard-clean/blob/2f0ef0403f16e57544ad0bc86b2d1b1cd08861b3/src/lib/rcap-engine/compiled/profiles/NC-north-carolina.json</x:v>
      </x:c>
    </x:row>
    <x:row r="318">
      <x:c r="A318" s="55" t="str">
        <x:v>North Carolina</x:v>
      </x:c>
      <x:c r="B318" s="142" t="str">
        <x:v>NC</x:v>
      </x:c>
      <x:c r="C318" s="142" t="str">
        <x:v>Which court or agency handled the case?</x:v>
      </x:c>
      <x:c r="D318" s="142" t="str">
        <x:v>case_details</x:v>
      </x:c>
      <x:c r="E318" s="142" t="str">
        <x:v>text</x:v>
      </x:c>
      <x:c r="F318" s="142" t="str">
        <x:v>Packet completion: record, court, case, filing, or form detail</x:v>
      </x:c>
      <x:c r="G318" s="56" t="str">
        <x:v>https://github.com/Roger-LegalEase/legalease-partner-dashboard-clean/blob/2f0ef0403f16e57544ad0bc86b2d1b1cd08861b3/src/lib/rcap-engine/compiled/profiles/NC-north-carolina.json</x:v>
      </x:c>
    </x:row>
    <x:row r="319">
      <x:c r="A319" s="55" t="str">
        <x:v>North Carolina</x:v>
      </x:c>
      <x:c r="B319" s="142" t="str">
        <x:v>NC</x:v>
      </x:c>
      <x:c r="C319" s="142" t="str">
        <x:v>What charge, statute, or record description appears on the record?</x:v>
      </x:c>
      <x:c r="D319" s="142" t="str">
        <x:v>case_details</x:v>
      </x:c>
      <x:c r="E319" s="142" t="str">
        <x:v>text_or_unknown</x:v>
      </x:c>
      <x:c r="F319" s="142" t="str">
        <x:v>Packet completion: record, court, case, filing, or form detail</x:v>
      </x:c>
      <x:c r="G319" s="56" t="str">
        <x:v>https://github.com/Roger-LegalEase/legalease-partner-dashboard-clean/blob/2f0ef0403f16e57544ad0bc86b2d1b1cd08861b3/src/lib/rcap-engine/compiled/profiles/NC-north-carolina.json</x:v>
      </x:c>
    </x:row>
    <x:row r="320">
      <x:c r="A320" s="55" t="str">
        <x:v>North Carolina</x:v>
      </x:c>
      <x:c r="B320" s="142" t="str">
        <x:v>NC</x:v>
      </x:c>
      <x:c r="C320" s="142" t="str">
        <x:v>Do you have court paperwork or a criminal-history record showing the exact charge and outcome?</x:v>
      </x:c>
      <x:c r="D320" s="142" t="str">
        <x:v>record_readiness</x:v>
      </x:c>
      <x:c r="E320" s="142" t="str">
        <x:v>yes_no_unsure</x:v>
      </x:c>
      <x:c r="F320" s="142" t="str">
        <x:v>Packet completion: record, court, case, filing, or form detail</x:v>
      </x:c>
      <x:c r="G320" s="56" t="str">
        <x:v>https://github.com/Roger-LegalEase/legalease-partner-dashboard-clean/blob/2f0ef0403f16e57544ad0bc86b2d1b1cd08861b3/src/lib/rcap-engine/compiled/profiles/NC-north-carolina.json</x:v>
      </x:c>
    </x:row>
    <x:row r="321">
      <x:c r="A321" s="55" t="str">
        <x:v>North Carolina</x:v>
      </x:c>
      <x:c r="B321" s="142" t="str">
        <x:v>NC</x:v>
      </x:c>
      <x:c r="C321" s="142" t="str">
        <x:v>Where in North Carolina was the case handled?</x:v>
      </x:c>
      <x:c r="D321" s="142" t="str">
        <x:v>case_details</x:v>
      </x:c>
      <x:c r="E321" s="142" t="str">
        <x:v>text_or_unknown</x:v>
      </x:c>
      <x:c r="F321" s="142" t="str">
        <x:v>Packet completion: record, court, case, filing, or form detail</x:v>
      </x:c>
      <x:c r="G321" s="56" t="str">
        <x:v>https://github.com/Roger-LegalEase/legalease-partner-dashboard-clean/blob/2f0ef0403f16e57544ad0bc86b2d1b1cd08861b3/src/lib/rcap-engine/compiled/profiles/NC-north-carolina.json</x:v>
      </x:c>
    </x:row>
    <x:row r="322">
      <x:c r="A322" s="55" t="str">
        <x:v>North Carolina</x:v>
      </x:c>
      <x:c r="B322" s="142" t="str">
        <x:v>NC</x:v>
      </x:c>
      <x:c r="C322" s="142" t="str">
        <x:v>What case, docket, cause, or arrest number appears on the record?</x:v>
      </x:c>
      <x:c r="D322" s="142" t="str">
        <x:v>case_details</x:v>
      </x:c>
      <x:c r="E322" s="142" t="str">
        <x:v>text_or_unknown</x:v>
      </x:c>
      <x:c r="F322" s="142" t="str">
        <x:v>Packet completion: record, court, case, filing, or form detail</x:v>
      </x:c>
      <x:c r="G322" s="56" t="str">
        <x:v>https://github.com/Roger-LegalEase/legalease-partner-dashboard-clean/blob/2f0ef0403f16e57544ad0bc86b2d1b1cd08861b3/src/lib/rcap-engine/compiled/profiles/NC-north-carolina.json</x:v>
      </x:c>
    </x:row>
    <x:row r="323">
      <x:c r="A323" s="55" t="str">
        <x:v>North Dakota</x:v>
      </x:c>
      <x:c r="B323" s="142" t="str">
        <x:v>ND</x:v>
      </x:c>
      <x:c r="C323" s="142" t="str">
        <x:v>1 Was this case in North Dakota municipal court or North Dakota state district court?</x:v>
      </x:c>
      <x:c r="D323" s="142" t="str">
        <x:v>state_specific_eligibility</x:v>
      </x:c>
      <x:c r="E323" s="142" t="str">
        <x:v>text_or_choice</x:v>
      </x:c>
      <x:c r="F323" s="142" t="str">
        <x:v>Packet completion or final verification: source questionnaire detail is not part of the short free check</x:v>
      </x:c>
      <x:c r="G323" s="56" t="str">
        <x:v>https://github.com/Roger-LegalEase/legalease-partner-dashboard-clean/blob/2f0ef0403f16e57544ad0bc86b2d1b1cd08861b3/src/lib/rcap-engine/compiled/profiles/ND-north-dakota.json</x:v>
      </x:c>
    </x:row>
    <x:row r="324">
      <x:c r="A324" s="55" t="str">
        <x:v>North Dakota</x:v>
      </x:c>
      <x:c r="B324" s="142" t="str">
        <x:v>ND</x:v>
      </x:c>
      <x:c r="C324" s="142" t="str">
        <x:v>2 Was it federal, tribal, military, or from another state?</x:v>
      </x:c>
      <x:c r="D324" s="142" t="str">
        <x:v>state_specific_eligibility</x:v>
      </x:c>
      <x:c r="E324" s="142" t="str">
        <x:v>text_or_choice</x:v>
      </x:c>
      <x:c r="F324" s="142" t="str">
        <x:v>Packet completion or final verification: source questionnaire detail is not part of the short free check</x:v>
      </x:c>
      <x:c r="G324" s="56" t="str">
        <x:v>https://github.com/Roger-LegalEase/legalease-partner-dashboard-clean/blob/2f0ef0403f16e57544ad0bc86b2d1b1cd08861b3/src/lib/rcap-engine/compiled/profiles/ND-north-dakota.json</x:v>
      </x:c>
    </x:row>
    <x:row r="325">
      <x:c r="A325" s="55" t="str">
        <x:v>North Dakota</x:v>
      </x:c>
      <x:c r="B325" s="142" t="str">
        <x:v>ND</x:v>
      </x:c>
      <x:c r="C325" s="142" t="str">
        <x:v>3 What county and court handled the case?</x:v>
      </x:c>
      <x:c r="D325" s="142" t="str">
        <x:v>state_specific_eligibility</x:v>
      </x:c>
      <x:c r="E325" s="142" t="str">
        <x:v>text_or_choice</x:v>
      </x:c>
      <x:c r="F325" s="142" t="str">
        <x:v>Packet completion or final verification: source questionnaire detail is not part of the short free check</x:v>
      </x:c>
      <x:c r="G325" s="56" t="str">
        <x:v>https://github.com/Roger-LegalEase/legalease-partner-dashboard-clean/blob/2f0ef0403f16e57544ad0bc86b2d1b1cd08861b3/src/lib/rcap-engine/compiled/profiles/ND-north-dakota.json</x:v>
      </x:c>
    </x:row>
    <x:row r="326">
      <x:c r="A326" s="55" t="str">
        <x:v>North Dakota</x:v>
      </x:c>
      <x:c r="B326" s="142" t="str">
        <x:v>ND</x:v>
      </x:c>
      <x:c r="C326" s="142" t="str">
        <x:v>4 What is the case number?</x:v>
      </x:c>
      <x:c r="D326" s="142" t="str">
        <x:v>state_specific_eligibility</x:v>
      </x:c>
      <x:c r="E326" s="142" t="str">
        <x:v>text_or_choice</x:v>
      </x:c>
      <x:c r="F326" s="142" t="str">
        <x:v>Packet completion or final verification: source questionnaire detail is not part of the short free check</x:v>
      </x:c>
      <x:c r="G326" s="56" t="str">
        <x:v>https://github.com/Roger-LegalEase/legalease-partner-dashboard-clean/blob/2f0ef0403f16e57544ad0bc86b2d1b1cd08861b3/src/lib/rcap-engine/compiled/profiles/ND-north-dakota.json</x:v>
      </x:c>
    </x:row>
    <x:row r="327">
      <x:c r="A327" s="55" t="str">
        <x:v>North Dakota</x:v>
      </x:c>
      <x:c r="B327" s="142" t="str">
        <x:v>ND</x:v>
      </x:c>
      <x:c r="C327" s="142" t="str">
        <x:v>Conviction?</x:v>
      </x:c>
      <x:c r="D327" s="142" t="str">
        <x:v>state_specific_eligibility</x:v>
      </x:c>
      <x:c r="E327" s="142" t="str">
        <x:v>text_or_choice</x:v>
      </x:c>
      <x:c r="F327" s="142" t="str">
        <x:v>Packet completion or final verification: source questionnaire detail is not part of the short free check</x:v>
      </x:c>
      <x:c r="G327" s="56" t="str">
        <x:v>https://github.com/Roger-LegalEase/legalease-partner-dashboard-clean/blob/2f0ef0403f16e57544ad0bc86b2d1b1cd08861b3/src/lib/rcap-engine/compiled/profiles/ND-north-dakota.json</x:v>
      </x:c>
    </x:row>
    <x:row r="328">
      <x:c r="A328" s="55" t="str">
        <x:v>North Dakota</x:v>
      </x:c>
      <x:c r="B328" s="142" t="str">
        <x:v>ND</x:v>
      </x:c>
      <x:c r="C328" s="142" t="str">
        <x:v>Dismissal?</x:v>
      </x:c>
      <x:c r="D328" s="142" t="str">
        <x:v>state_specific_eligibility</x:v>
      </x:c>
      <x:c r="E328" s="142" t="str">
        <x:v>text_or_choice</x:v>
      </x:c>
      <x:c r="F328" s="142" t="str">
        <x:v>Packet completion or final verification: source questionnaire detail is not part of the short free check</x:v>
      </x:c>
      <x:c r="G328" s="56" t="str">
        <x:v>https://github.com/Roger-LegalEase/legalease-partner-dashboard-clean/blob/2f0ef0403f16e57544ad0bc86b2d1b1cd08861b3/src/lib/rcap-engine/compiled/profiles/ND-north-dakota.json</x:v>
      </x:c>
    </x:row>
    <x:row r="329">
      <x:c r="A329" s="55" t="str">
        <x:v>North Dakota</x:v>
      </x:c>
      <x:c r="B329" s="142" t="str">
        <x:v>ND</x:v>
      </x:c>
      <x:c r="C329" s="142" t="str">
        <x:v>Acquittal?</x:v>
      </x:c>
      <x:c r="D329" s="142" t="str">
        <x:v>state_specific_eligibility</x:v>
      </x:c>
      <x:c r="E329" s="142" t="str">
        <x:v>text_or_choice</x:v>
      </x:c>
      <x:c r="F329" s="142" t="str">
        <x:v>Packet completion or final verification: source questionnaire detail is not part of the short free check</x:v>
      </x:c>
      <x:c r="G329" s="56" t="str">
        <x:v>https://github.com/Roger-LegalEase/legalease-partner-dashboard-clean/blob/2f0ef0403f16e57544ad0bc86b2d1b1cd08861b3/src/lib/rcap-engine/compiled/profiles/ND-north-dakota.json</x:v>
      </x:c>
    </x:row>
    <x:row r="330">
      <x:c r="A330" s="55" t="str">
        <x:v>North Dakota</x:v>
      </x:c>
      <x:c r="B330" s="142" t="str">
        <x:v>ND</x:v>
      </x:c>
      <x:c r="C330" s="142" t="str">
        <x:v>Deferred imposition?</x:v>
      </x:c>
      <x:c r="D330" s="142" t="str">
        <x:v>state_specific_eligibility</x:v>
      </x:c>
      <x:c r="E330" s="142" t="str">
        <x:v>text_or_choice</x:v>
      </x:c>
      <x:c r="F330" s="142" t="str">
        <x:v>Packet completion or final verification: source questionnaire detail is not part of the short free check</x:v>
      </x:c>
      <x:c r="G330" s="56" t="str">
        <x:v>https://github.com/Roger-LegalEase/legalease-partner-dashboard-clean/blob/2f0ef0403f16e57544ad0bc86b2d1b1cd08861b3/src/lib/rcap-engine/compiled/profiles/ND-north-dakota.json</x:v>
      </x:c>
    </x:row>
    <x:row r="331">
      <x:c r="A331" s="55" t="str">
        <x:v>North Dakota</x:v>
      </x:c>
      <x:c r="B331" s="142" t="str">
        <x:v>ND</x:v>
      </x:c>
      <x:c r="C331" s="142" t="str">
        <x:v>Marijuana possession?</x:v>
      </x:c>
      <x:c r="D331" s="142" t="str">
        <x:v>state_specific_eligibility</x:v>
      </x:c>
      <x:c r="E331" s="142" t="str">
        <x:v>text_or_choice</x:v>
      </x:c>
      <x:c r="F331" s="142" t="str">
        <x:v>Packet completion or final verification: source questionnaire detail is not part of the short free check</x:v>
      </x:c>
      <x:c r="G331" s="56" t="str">
        <x:v>https://github.com/Roger-LegalEase/legalease-partner-dashboard-clean/blob/2f0ef0403f16e57544ad0bc86b2d1b1cd08861b3/src/lib/rcap-engine/compiled/profiles/ND-north-dakota.json</x:v>
      </x:c>
    </x:row>
    <x:row r="332">
      <x:c r="A332" s="55" t="str">
        <x:v>North Dakota</x:v>
      </x:c>
      <x:c r="B332" s="142" t="str">
        <x:v>ND</x:v>
      </x:c>
      <x:c r="C332" s="142" t="str">
        <x:v>Human-trafficking-related?</x:v>
      </x:c>
      <x:c r="D332" s="142" t="str">
        <x:v>state_specific_eligibility</x:v>
      </x:c>
      <x:c r="E332" s="142" t="str">
        <x:v>text_or_choice</x:v>
      </x:c>
      <x:c r="F332" s="142" t="str">
        <x:v>Packet completion or final verification: source questionnaire detail is not part of the short free check</x:v>
      </x:c>
      <x:c r="G332" s="56" t="str">
        <x:v>https://github.com/Roger-LegalEase/legalease-partner-dashboard-clean/blob/2f0ef0403f16e57544ad0bc86b2d1b1cd08861b3/src/lib/rcap-engine/compiled/profiles/ND-north-dakota.json</x:v>
      </x:c>
    </x:row>
    <x:row r="333">
      <x:c r="A333" s="55" t="str">
        <x:v>North Dakota</x:v>
      </x:c>
      <x:c r="B333" s="142" t="str">
        <x:v>ND</x:v>
      </x:c>
      <x:c r="C333" s="142" t="str">
        <x:v>Juvenile?</x:v>
      </x:c>
      <x:c r="D333" s="142" t="str">
        <x:v>state_specific_eligibility</x:v>
      </x:c>
      <x:c r="E333" s="142" t="str">
        <x:v>text_or_choice</x:v>
      </x:c>
      <x:c r="F333" s="142" t="str">
        <x:v>Packet completion or final verification: source questionnaire detail is not part of the short free check</x:v>
      </x:c>
      <x:c r="G333" s="56" t="str">
        <x:v>https://github.com/Roger-LegalEase/legalease-partner-dashboard-clean/blob/2f0ef0403f16e57544ad0bc86b2d1b1cd08861b3/src/lib/rcap-engine/compiled/profiles/ND-north-dakota.json</x:v>
      </x:c>
    </x:row>
    <x:row r="334">
      <x:c r="A334" s="55" t="str">
        <x:v>North Dakota</x:v>
      </x:c>
      <x:c r="B334" s="142" t="str">
        <x:v>ND</x:v>
      </x:c>
      <x:c r="C334" s="142" t="str">
        <x:v>DNA profile issue?</x:v>
      </x:c>
      <x:c r="D334" s="142" t="str">
        <x:v>state_specific_eligibility</x:v>
      </x:c>
      <x:c r="E334" s="142" t="str">
        <x:v>text_or_choice</x:v>
      </x:c>
      <x:c r="F334" s="142" t="str">
        <x:v>Packet completion or final verification: source questionnaire detail is not part of the short free check</x:v>
      </x:c>
      <x:c r="G334" s="56" t="str">
        <x:v>https://github.com/Roger-LegalEase/legalease-partner-dashboard-clean/blob/2f0ef0403f16e57544ad0bc86b2d1b1cd08861b3/src/lib/rcap-engine/compiled/profiles/ND-north-dakota.json</x:v>
      </x:c>
    </x:row>
    <x:row r="335">
      <x:c r="A335" s="55" t="str">
        <x:v>North Dakota</x:v>
      </x:c>
      <x:c r="B335" s="142" t="str">
        <x:v>ND</x:v>
      </x:c>
      <x:c r="C335" s="142" t="str">
        <x:v>Unconstitutional arrest?</x:v>
      </x:c>
      <x:c r="D335" s="142" t="str">
        <x:v>state_specific_eligibility</x:v>
      </x:c>
      <x:c r="E335" s="142" t="str">
        <x:v>text_or_choice</x:v>
      </x:c>
      <x:c r="F335" s="142" t="str">
        <x:v>Packet completion or final verification: source questionnaire detail is not part of the short free check</x:v>
      </x:c>
      <x:c r="G335" s="56" t="str">
        <x:v>https://github.com/Roger-LegalEase/legalease-partner-dashboard-clean/blob/2f0ef0403f16e57544ad0bc86b2d1b1cd08861b3/src/lib/rcap-engine/compiled/profiles/ND-north-dakota.json</x:v>
      </x:c>
    </x:row>
    <x:row r="336">
      <x:c r="A336" s="55" t="str">
        <x:v>North Dakota</x:v>
      </x:c>
      <x:c r="B336" s="142" t="str">
        <x:v>ND</x:v>
      </x:c>
      <x:c r="C336" s="142" t="str">
        <x:v>6 What was the exact charge and statute?</x:v>
      </x:c>
      <x:c r="D336" s="142" t="str">
        <x:v>state_specific_eligibility</x:v>
      </x:c>
      <x:c r="E336" s="142" t="str">
        <x:v>text_or_choice</x:v>
      </x:c>
      <x:c r="F336" s="142" t="str">
        <x:v>Packet completion or final verification: source questionnaire detail is not part of the short free check</x:v>
      </x:c>
      <x:c r="G336" s="56" t="str">
        <x:v>https://github.com/Roger-LegalEase/legalease-partner-dashboard-clean/blob/2f0ef0403f16e57544ad0bc86b2d1b1cd08861b3/src/lib/rcap-engine/compiled/profiles/ND-north-dakota.json</x:v>
      </x:c>
    </x:row>
    <x:row r="337">
      <x:c r="A337" s="55" t="str">
        <x:v>North Dakota</x:v>
      </x:c>
      <x:c r="B337" s="142" t="str">
        <x:v>ND</x:v>
      </x:c>
      <x:c r="C337" s="142" t="str">
        <x:v>7 Was it a misdemeanor, felony, infraction, or DUI?</x:v>
      </x:c>
      <x:c r="D337" s="142" t="str">
        <x:v>state_specific_eligibility</x:v>
      </x:c>
      <x:c r="E337" s="142" t="str">
        <x:v>text_or_choice</x:v>
      </x:c>
      <x:c r="F337" s="142" t="str">
        <x:v>Packet completion or final verification: source questionnaire detail is not part of the short free check</x:v>
      </x:c>
      <x:c r="G337" s="56" t="str">
        <x:v>https://github.com/Roger-LegalEase/legalease-partner-dashboard-clean/blob/2f0ef0403f16e57544ad0bc86b2d1b1cd08861b3/src/lib/rcap-engine/compiled/profiles/ND-north-dakota.json</x:v>
      </x:c>
    </x:row>
    <x:row r="338">
      <x:c r="A338" s="55" t="str">
        <x:v>North Dakota</x:v>
      </x:c>
      <x:c r="B338" s="142" t="str">
        <x:v>ND</x:v>
      </x:c>
      <x:c r="C338" s="142" t="str">
        <x:v>8 Was the person ordered to register as a sex offender or offender against children?</x:v>
      </x:c>
      <x:c r="D338" s="142" t="str">
        <x:v>state_specific_eligibility</x:v>
      </x:c>
      <x:c r="E338" s="142" t="str">
        <x:v>text_or_choice</x:v>
      </x:c>
      <x:c r="F338" s="142" t="str">
        <x:v>Packet completion or final verification: source questionnaire detail is not part of the short free check</x:v>
      </x:c>
      <x:c r="G338" s="56" t="str">
        <x:v>https://github.com/Roger-LegalEase/legalease-partner-dashboard-clean/blob/2f0ef0403f16e57544ad0bc86b2d1b1cd08861b3/src/lib/rcap-engine/compiled/profiles/ND-north-dakota.json</x:v>
      </x:c>
    </x:row>
    <x:row r="339">
      <x:c r="A339" s="55" t="str">
        <x:v>North Dakota</x:v>
      </x:c>
      <x:c r="B339" s="142" t="str">
        <x:v>ND</x:v>
      </x:c>
      <x:c r="C339" s="142" t="str">
        <x:v>9 Was the felony violent or intimidating?</x:v>
      </x:c>
      <x:c r="D339" s="142" t="str">
        <x:v>state_specific_eligibility</x:v>
      </x:c>
      <x:c r="E339" s="142" t="str">
        <x:v>text_or_choice</x:v>
      </x:c>
      <x:c r="F339" s="142" t="str">
        <x:v>Packet completion or final verification: source questionnaire detail is not part of the short free check</x:v>
      </x:c>
      <x:c r="G339" s="56" t="str">
        <x:v>https://github.com/Roger-LegalEase/legalease-partner-dashboard-clean/blob/2f0ef0403f16e57544ad0bc86b2d1b1cd08861b3/src/lib/rcap-engine/compiled/profiles/ND-north-dakota.json</x:v>
      </x:c>
    </x:row>
    <x:row r="340">
      <x:c r="A340" s="55" t="str">
        <x:v>North Dakota</x:v>
      </x:c>
      <x:c r="B340" s="142" t="str">
        <x:v>ND</x:v>
      </x:c>
      <x:c r="C340" s="142" t="str">
        <x:v>10 Was there a firearm-disability issue?</x:v>
      </x:c>
      <x:c r="D340" s="142" t="str">
        <x:v>state_specific_eligibility</x:v>
      </x:c>
      <x:c r="E340" s="142" t="str">
        <x:v>text_or_choice</x:v>
      </x:c>
      <x:c r="F340" s="142" t="str">
        <x:v>Packet completion or final verification: source questionnaire detail is not part of the short free check</x:v>
      </x:c>
      <x:c r="G340" s="56" t="str">
        <x:v>https://github.com/Roger-LegalEase/legalease-partner-dashboard-clean/blob/2f0ef0403f16e57544ad0bc86b2d1b1cd08861b3/src/lib/rcap-engine/compiled/profiles/ND-north-dakota.json</x:v>
      </x:c>
    </x:row>
    <x:row r="341">
      <x:c r="A341" s="55" t="str">
        <x:v>North Dakota</x:v>
      </x:c>
      <x:c r="B341" s="142" t="str">
        <x:v>ND</x:v>
      </x:c>
      <x:c r="C341" s="142" t="str">
        <x:v>11 When was the conviction entered?</x:v>
      </x:c>
      <x:c r="D341" s="142" t="str">
        <x:v>state_specific_eligibility</x:v>
      </x:c>
      <x:c r="E341" s="142" t="str">
        <x:v>text_or_choice</x:v>
      </x:c>
      <x:c r="F341" s="142" t="str">
        <x:v>Packet completion or final verification: source questionnaire detail is not part of the short free check</x:v>
      </x:c>
      <x:c r="G341" s="56" t="str">
        <x:v>https://github.com/Roger-LegalEase/legalease-partner-dashboard-clean/blob/2f0ef0403f16e57544ad0bc86b2d1b1cd08861b3/src/lib/rcap-engine/compiled/profiles/ND-north-dakota.json</x:v>
      </x:c>
    </x:row>
    <x:row r="342">
      <x:c r="A342" s="55" t="str">
        <x:v>North Dakota</x:v>
      </x:c>
      <x:c r="B342" s="142" t="str">
        <x:v>ND</x:v>
      </x:c>
      <x:c r="C342" s="142" t="str">
        <x:v>12 When were all imprisonment/probation terms completed?</x:v>
      </x:c>
      <x:c r="D342" s="142" t="str">
        <x:v>state_specific_eligibility</x:v>
      </x:c>
      <x:c r="E342" s="142" t="str">
        <x:v>text_or_choice</x:v>
      </x:c>
      <x:c r="F342" s="142" t="str">
        <x:v>Packet completion or final verification: source questionnaire detail is not part of the short free check</x:v>
      </x:c>
      <x:c r="G342" s="56" t="str">
        <x:v>https://github.com/Roger-LegalEase/legalease-partner-dashboard-clean/blob/2f0ef0403f16e57544ad0bc86b2d1b1cd08861b3/src/lib/rcap-engine/compiled/profiles/ND-north-dakota.json</x:v>
      </x:c>
    </x:row>
    <x:row r="343">
      <x:c r="A343" s="55" t="str">
        <x:v>North Dakota</x:v>
      </x:c>
      <x:c r="B343" s="142" t="str">
        <x:v>ND</x:v>
      </x:c>
      <x:c r="C343" s="142" t="str">
        <x:v>13 Was all restitution paid?</x:v>
      </x:c>
      <x:c r="D343" s="142" t="str">
        <x:v>state_specific_eligibility</x:v>
      </x:c>
      <x:c r="E343" s="142" t="str">
        <x:v>text_or_choice</x:v>
      </x:c>
      <x:c r="F343" s="142" t="str">
        <x:v>Packet completion or final verification: source questionnaire detail is not part of the short free check</x:v>
      </x:c>
      <x:c r="G343" s="56" t="str">
        <x:v>https://github.com/Roger-LegalEase/legalease-partner-dashboard-clean/blob/2f0ef0403f16e57544ad0bc86b2d1b1cd08861b3/src/lib/rcap-engine/compiled/profiles/ND-north-dakota.json</x:v>
      </x:c>
    </x:row>
    <x:row r="344">
      <x:c r="A344" s="55" t="str">
        <x:v>North Dakota</x:v>
      </x:c>
      <x:c r="B344" s="142" t="str">
        <x:v>ND</x:v>
      </x:c>
      <x:c r="C344" s="142" t="str">
        <x:v>14 Has the person had any new convictions?</x:v>
      </x:c>
      <x:c r="D344" s="142" t="str">
        <x:v>state_specific_eligibility</x:v>
      </x:c>
      <x:c r="E344" s="142" t="str">
        <x:v>text_or_choice</x:v>
      </x:c>
      <x:c r="F344" s="142" t="str">
        <x:v>Packet completion or final verification: source questionnaire detail is not part of the short free check</x:v>
      </x:c>
      <x:c r="G344" s="56" t="str">
        <x:v>https://github.com/Roger-LegalEase/legalease-partner-dashboard-clean/blob/2f0ef0403f16e57544ad0bc86b2d1b1cd08861b3/src/lib/rcap-engine/compiled/profiles/ND-north-dakota.json</x:v>
      </x:c>
    </x:row>
    <x:row r="345">
      <x:c r="A345" s="55" t="str">
        <x:v>North Dakota</x:v>
      </x:c>
      <x:c r="B345" s="142" t="str">
        <x:v>ND</x:v>
      </x:c>
      <x:c r="C345" s="142" t="str">
        <x:v>15 Are there pending charges now?</x:v>
      </x:c>
      <x:c r="D345" s="142" t="str">
        <x:v>state_specific_eligibility</x:v>
      </x:c>
      <x:c r="E345" s="142" t="str">
        <x:v>text_or_choice</x:v>
      </x:c>
      <x:c r="F345" s="142" t="str">
        <x:v>Packet completion or final verification: source questionnaire detail is not part of the short free check</x:v>
      </x:c>
      <x:c r="G345" s="56" t="str">
        <x:v>https://github.com/Roger-LegalEase/legalease-partner-dashboard-clean/blob/2f0ef0403f16e57544ad0bc86b2d1b1cd08861b3/src/lib/rcap-engine/compiled/profiles/ND-north-dakota.json</x:v>
      </x:c>
    </x:row>
    <x:row r="346">
      <x:c r="A346" s="55" t="str">
        <x:v>North Dakota</x:v>
      </x:c>
      <x:c r="B346" s="142" t="str">
        <x:v>ND</x:v>
      </x:c>
      <x:c r="C346" s="142" t="str">
        <x:v>16 Has the person ever received a pardon?</x:v>
      </x:c>
      <x:c r="D346" s="142" t="str">
        <x:v>state_specific_eligibility</x:v>
      </x:c>
      <x:c r="E346" s="142" t="str">
        <x:v>text_or_choice</x:v>
      </x:c>
      <x:c r="F346" s="142" t="str">
        <x:v>Packet completion or final verification: source questionnaire detail is not part of the short free check</x:v>
      </x:c>
      <x:c r="G346" s="56" t="str">
        <x:v>https://github.com/Roger-LegalEase/legalease-partner-dashboard-clean/blob/2f0ef0403f16e57544ad0bc86b2d1b1cd08861b3/src/lib/rcap-engine/compiled/profiles/ND-north-dakota.json</x:v>
      </x:c>
    </x:row>
    <x:row r="347">
      <x:c r="A347" s="55" t="str">
        <x:v>North Dakota</x:v>
      </x:c>
      <x:c r="B347" s="142" t="str">
        <x:v>ND</x:v>
      </x:c>
      <x:c r="C347" s="142" t="str">
        <x:v>17 Was the person a commercial driver if the case was DUI?</x:v>
      </x:c>
      <x:c r="D347" s="142" t="str">
        <x:v>state_specific_eligibility</x:v>
      </x:c>
      <x:c r="E347" s="142" t="str">
        <x:v>text_or_choice</x:v>
      </x:c>
      <x:c r="F347" s="142" t="str">
        <x:v>Packet completion or final verification: source questionnaire detail is not part of the short free check</x:v>
      </x:c>
      <x:c r="G347" s="56" t="str">
        <x:v>https://github.com/Roger-LegalEase/legalease-partner-dashboard-clean/blob/2f0ef0403f16e57544ad0bc86b2d1b1cd08861b3/src/lib/rcap-engine/compiled/profiles/ND-north-dakota.json</x:v>
      </x:c>
    </x:row>
    <x:row r="348">
      <x:c r="A348" s="55" t="str">
        <x:v>North Dakota</x:v>
      </x:c>
      <x:c r="B348" s="142" t="str">
        <x:v>ND</x:v>
      </x:c>
      <x:c r="C348" s="142" t="str">
        <x:v>18 Does the person need relief for employment, housing, licensing, immigration, school, firearms, or a professional background check?</x:v>
      </x:c>
      <x:c r="D348" s="142" t="str">
        <x:v>state_specific_eligibility</x:v>
      </x:c>
      <x:c r="E348" s="142" t="str">
        <x:v>text_or_choice</x:v>
      </x:c>
      <x:c r="F348" s="142" t="str">
        <x:v>Packet completion or final verification: source questionnaire detail is not part of the short free check</x:v>
      </x:c>
      <x:c r="G348" s="56" t="str">
        <x:v>https://github.com/Roger-LegalEase/legalease-partner-dashboard-clean/blob/2f0ef0403f16e57544ad0bc86b2d1b1cd08861b3/src/lib/rcap-engine/compiled/profiles/ND-north-dakota.json</x:v>
      </x:c>
    </x:row>
    <x:row r="349">
      <x:c r="A349" s="55" t="str">
        <x:v>North Dakota</x:v>
      </x:c>
      <x:c r="B349" s="142" t="str">
        <x:v>ND</x:v>
      </x:c>
      <x:c r="C349" s="142" t="str">
        <x:v>Check nonconviction closing under 12-60.1-05. If order was on or after August 1, 2025, court should close after 61 days. If before August 1, 2025, use Petition to Close Nonconviction Records if no exception applies.</x:v>
      </x:c>
      <x:c r="D349" s="142" t="str">
        <x:v>state_specific_eligibility</x:v>
      </x:c>
      <x:c r="E349" s="142" t="str">
        <x:v>text_or_choice</x:v>
      </x:c>
      <x:c r="F349" s="142" t="str">
        <x:v>Packet completion or final verification: source questionnaire detail is not part of the short free check</x:v>
      </x:c>
      <x:c r="G349" s="56" t="str">
        <x:v>https://github.com/Roger-LegalEase/legalease-partner-dashboard-clean/blob/2f0ef0403f16e57544ad0bc86b2d1b1cd08861b3/src/lib/rcap-engine/compiled/profiles/ND-north-dakota.json</x:v>
      </x:c>
    </x:row>
    <x:row r="350">
      <x:c r="A350" s="55" t="str">
        <x:v>North Dakota</x:v>
      </x:c>
      <x:c r="B350" s="142" t="str">
        <x:v>ND</x:v>
      </x:c>
      <x:c r="C350" s="142" t="str">
        <x:v>Check whether the court entered final discharge, allowed withdrawal of plea or set aside verdict, and dismissed the case. If yes, records may be restricted under 12.1-32-07.2. If no, gather final-order status.</x:v>
      </x:c>
      <x:c r="D350" s="142" t="str">
        <x:v>state_specific_eligibility</x:v>
      </x:c>
      <x:c r="E350" s="142" t="str">
        <x:v>text_or_choice</x:v>
      </x:c>
      <x:c r="F350" s="142" t="str">
        <x:v>Packet completion or final verification: source questionnaire detail is not part of the short free check</x:v>
      </x:c>
      <x:c r="G350" s="56" t="str">
        <x:v>https://github.com/Roger-LegalEase/legalease-partner-dashboard-clean/blob/2f0ef0403f16e57544ad0bc86b2d1b1cd08861b3/src/lib/rcap-engine/compiled/profiles/ND-north-dakota.json</x:v>
      </x:c>
    </x:row>
    <x:row r="351">
      <x:c r="A351" s="55" t="str">
        <x:v>North Dakota</x:v>
      </x:c>
      <x:c r="B351" s="142" t="str">
        <x:v>ND</x:v>
      </x:c>
      <x:c r="C351" s="142" t="str">
        <x:v>Check Chapter 12-60.1: no new conviction for at least 3 years before filing, sentence/probation complete, restitution paid, no registration bar, and not DUI.</x:v>
      </x:c>
      <x:c r="D351" s="142" t="str">
        <x:v>state_specific_eligibility</x:v>
      </x:c>
      <x:c r="E351" s="142" t="str">
        <x:v>text_or_choice</x:v>
      </x:c>
      <x:c r="F351" s="142" t="str">
        <x:v>Packet completion or final verification: source questionnaire detail is not part of the short free check</x:v>
      </x:c>
      <x:c r="G351" s="56" t="str">
        <x:v>https://github.com/Roger-LegalEase/legalease-partner-dashboard-clean/blob/2f0ef0403f16e57544ad0bc86b2d1b1cd08861b3/src/lib/rcap-engine/compiled/profiles/ND-north-dakota.json</x:v>
      </x:c>
    </x:row>
    <x:row r="352">
      <x:c r="A352" s="55" t="str">
        <x:v>North Dakota</x:v>
      </x:c>
      <x:c r="B352" s="142" t="str">
        <x:v>ND</x:v>
      </x:c>
      <x:c r="C352" s="142" t="str">
        <x:v>Check Chapter 12-60.1: no new conviction for at least 5 years before filing, sentence/probation complete, restitution paid, no registration bar, and no violent/intimidating felony during firearm-disability period.</x:v>
      </x:c>
      <x:c r="D352" s="142" t="str">
        <x:v>state_specific_eligibility</x:v>
      </x:c>
      <x:c r="E352" s="142" t="str">
        <x:v>text_or_choice</x:v>
      </x:c>
      <x:c r="F352" s="142" t="str">
        <x:v>Packet completion or final verification: source questionnaire detail is not part of the short free check</x:v>
      </x:c>
      <x:c r="G352" s="56" t="str">
        <x:v>https://github.com/Roger-LegalEase/legalease-partner-dashboard-clean/blob/2f0ef0403f16e57544ad0bc86b2d1b1cd08861b3/src/lib/rcap-engine/compiled/profiles/ND-north-dakota.json</x:v>
      </x:c>
    </x:row>
    <x:row r="353">
      <x:c r="A353" s="55" t="str">
        <x:v>North Dakota</x:v>
      </x:c>
      <x:c r="B353" s="142" t="str">
        <x:v>ND</x:v>
      </x:c>
      <x:c r="C353" s="142" t="str">
        <x:v>Check 19-03.1-23(9): first offense, one ounce or less marijuana or two grams or less THC, no subsequent controlled-substance conviction within two years.</x:v>
      </x:c>
      <x:c r="D353" s="142" t="str">
        <x:v>state_specific_eligibility</x:v>
      </x:c>
      <x:c r="E353" s="142" t="str">
        <x:v>text_or_choice</x:v>
      </x:c>
      <x:c r="F353" s="142" t="str">
        <x:v>Packet completion or final verification: source questionnaire detail is not part of the short free check</x:v>
      </x:c>
      <x:c r="G353" s="56" t="str">
        <x:v>https://github.com/Roger-LegalEase/legalease-partner-dashboard-clean/blob/2f0ef0403f16e57544ad0bc86b2d1b1cd08861b3/src/lib/rcap-engine/compiled/profiles/ND-north-dakota.json</x:v>
      </x:c>
    </x:row>
    <x:row r="354">
      <x:c r="A354" s="55" t="str">
        <x:v>Nebraska</x:v>
      </x:c>
      <x:c r="B354" s="142" t="str">
        <x:v>NE</x:v>
      </x:c>
      <x:c r="C354" s="142" t="str">
        <x:v>Do you have the Nebraska criminal-history report, court docket, or certified disposition needed to verify the record?</x:v>
      </x:c>
      <x:c r="D354" s="142" t="str">
        <x:v>record_readiness</x:v>
      </x:c>
      <x:c r="E354" s="142" t="str">
        <x:v>yes_no_unsure</x:v>
      </x:c>
      <x:c r="F354" s="142" t="str">
        <x:v>Packet completion: record, court, case, filing, or form detail</x:v>
      </x:c>
      <x:c r="G354" s="56" t="str">
        <x:v>https://github.com/Roger-LegalEase/legalease-partner-dashboard-clean/blob/2f0ef0403f16e57544ad0bc86b2d1b1cd08861b3/src/lib/rcap-engine/compiled/profiles/NE-nebraska.json</x:v>
      </x:c>
    </x:row>
    <x:row r="355">
      <x:c r="A355" s="55" t="str">
        <x:v>Nebraska</x:v>
      </x:c>
      <x:c r="B355" s="142" t="str">
        <x:v>NE</x:v>
      </x:c>
      <x:c r="C355" s="142" t="str">
        <x:v>When was the case disposed of, dismissed, completed, or discharged?</x:v>
      </x:c>
      <x:c r="D355" s="142" t="str">
        <x:v>timing_and_completion</x:v>
      </x:c>
      <x:c r="E355" s="142" t="str">
        <x:v>date_or_unknown</x:v>
      </x:c>
      <x:c r="F355" s="142" t="str">
        <x:v>Packet completion/final verification: exact date; free check uses approximate timing where appropriate</x:v>
      </x:c>
      <x:c r="G355" s="56" t="str">
        <x:v>https://github.com/Roger-LegalEase/legalease-partner-dashboard-clean/blob/2f0ef0403f16e57544ad0bc86b2d1b1cd08861b3/src/lib/rcap-engine/compiled/profiles/NE-nebraska.json</x:v>
      </x:c>
    </x:row>
    <x:row r="356">
      <x:c r="A356" s="55" t="str">
        <x:v>Nebraska</x:v>
      </x:c>
      <x:c r="B356" s="142" t="str">
        <x:v>NE</x:v>
      </x:c>
      <x:c r="C356" s="142" t="str">
        <x:v>When did the arrest or citation occur?</x:v>
      </x:c>
      <x:c r="D356" s="142" t="str">
        <x:v>case_details</x:v>
      </x:c>
      <x:c r="E356" s="142" t="str">
        <x:v>date_or_unknown</x:v>
      </x:c>
      <x:c r="F356" s="142" t="str">
        <x:v>Packet completion: record, court, case, filing, or form detail</x:v>
      </x:c>
      <x:c r="G356" s="56" t="str">
        <x:v>https://github.com/Roger-LegalEase/legalease-partner-dashboard-clean/blob/2f0ef0403f16e57544ad0bc86b2d1b1cd08861b3/src/lib/rcap-engine/compiled/profiles/NE-nebraska.json</x:v>
      </x:c>
    </x:row>
    <x:row r="357">
      <x:c r="A357" s="55" t="str">
        <x:v>Nebraska</x:v>
      </x:c>
      <x:c r="B357" s="142" t="str">
        <x:v>NE</x:v>
      </x:c>
      <x:c r="C357" s="142" t="str">
        <x:v>What Nebraska county, parish, borough, district, or local filing area handled the case?</x:v>
      </x:c>
      <x:c r="D357" s="142" t="str">
        <x:v>case_details</x:v>
      </x:c>
      <x:c r="E357" s="142" t="str">
        <x:v>text</x:v>
      </x:c>
      <x:c r="F357" s="142" t="str">
        <x:v>Packet completion: record, court, case, filing, or form detail</x:v>
      </x:c>
      <x:c r="G357" s="56" t="str">
        <x:v>https://github.com/Roger-LegalEase/legalease-partner-dashboard-clean/blob/2f0ef0403f16e57544ad0bc86b2d1b1cd08861b3/src/lib/rcap-engine/compiled/profiles/NE-nebraska.json</x:v>
      </x:c>
    </x:row>
    <x:row r="358">
      <x:c r="A358" s="55" t="str">
        <x:v>Nebraska</x:v>
      </x:c>
      <x:c r="B358" s="142" t="str">
        <x:v>NE</x:v>
      </x:c>
      <x:c r="C358" s="142" t="str">
        <x:v>Which court or agency handled the case?</x:v>
      </x:c>
      <x:c r="D358" s="142" t="str">
        <x:v>case_details</x:v>
      </x:c>
      <x:c r="E358" s="142" t="str">
        <x:v>text</x:v>
      </x:c>
      <x:c r="F358" s="142" t="str">
        <x:v>Packet completion: record, court, case, filing, or form detail</x:v>
      </x:c>
      <x:c r="G358" s="56" t="str">
        <x:v>https://github.com/Roger-LegalEase/legalease-partner-dashboard-clean/blob/2f0ef0403f16e57544ad0bc86b2d1b1cd08861b3/src/lib/rcap-engine/compiled/profiles/NE-nebraska.json</x:v>
      </x:c>
    </x:row>
    <x:row r="359">
      <x:c r="A359" s="55" t="str">
        <x:v>Nebraska</x:v>
      </x:c>
      <x:c r="B359" s="142" t="str">
        <x:v>NE</x:v>
      </x:c>
      <x:c r="C359" s="142" t="str">
        <x:v>What charge, statute, or record description appears on the record?</x:v>
      </x:c>
      <x:c r="D359" s="142" t="str">
        <x:v>case_details</x:v>
      </x:c>
      <x:c r="E359" s="142" t="str">
        <x:v>text_or_unknown</x:v>
      </x:c>
      <x:c r="F359" s="142" t="str">
        <x:v>Packet completion: record, court, case, filing, or form detail</x:v>
      </x:c>
      <x:c r="G359" s="56" t="str">
        <x:v>https://github.com/Roger-LegalEase/legalease-partner-dashboard-clean/blob/2f0ef0403f16e57544ad0bc86b2d1b1cd08861b3/src/lib/rcap-engine/compiled/profiles/NE-nebraska.json</x:v>
      </x:c>
    </x:row>
    <x:row r="360">
      <x:c r="A360" s="55" t="str">
        <x:v>Nebraska</x:v>
      </x:c>
      <x:c r="B360" s="142" t="str">
        <x:v>NE</x:v>
      </x:c>
      <x:c r="C360" s="142" t="str">
        <x:v>Do you have court paperwork or a criminal-history record showing the exact charge and outcome?</x:v>
      </x:c>
      <x:c r="D360" s="142" t="str">
        <x:v>record_readiness</x:v>
      </x:c>
      <x:c r="E360" s="142" t="str">
        <x:v>yes_no_unsure</x:v>
      </x:c>
      <x:c r="F360" s="142" t="str">
        <x:v>Packet completion: record, court, case, filing, or form detail</x:v>
      </x:c>
      <x:c r="G360" s="56" t="str">
        <x:v>https://github.com/Roger-LegalEase/legalease-partner-dashboard-clean/blob/2f0ef0403f16e57544ad0bc86b2d1b1cd08861b3/src/lib/rcap-engine/compiled/profiles/NE-nebraska.json</x:v>
      </x:c>
    </x:row>
    <x:row r="361">
      <x:c r="A361" s="55" t="str">
        <x:v>Nebraska</x:v>
      </x:c>
      <x:c r="B361" s="142" t="str">
        <x:v>NE</x:v>
      </x:c>
      <x:c r="C361" s="142" t="str">
        <x:v>Where in Nebraska was the case handled?</x:v>
      </x:c>
      <x:c r="D361" s="142" t="str">
        <x:v>case_details</x:v>
      </x:c>
      <x:c r="E361" s="142" t="str">
        <x:v>text_or_unknown</x:v>
      </x:c>
      <x:c r="F361" s="142" t="str">
        <x:v>Packet completion: record, court, case, filing, or form detail</x:v>
      </x:c>
      <x:c r="G361" s="56" t="str">
        <x:v>https://github.com/Roger-LegalEase/legalease-partner-dashboard-clean/blob/2f0ef0403f16e57544ad0bc86b2d1b1cd08861b3/src/lib/rcap-engine/compiled/profiles/NE-nebraska.json</x:v>
      </x:c>
    </x:row>
    <x:row r="362">
      <x:c r="A362" s="55" t="str">
        <x:v>Nebraska</x:v>
      </x:c>
      <x:c r="B362" s="142" t="str">
        <x:v>NE</x:v>
      </x:c>
      <x:c r="C362" s="142" t="str">
        <x:v>What case, docket, cause, or arrest number appears on the record?</x:v>
      </x:c>
      <x:c r="D362" s="142" t="str">
        <x:v>case_details</x:v>
      </x:c>
      <x:c r="E362" s="142" t="str">
        <x:v>text_or_unknown</x:v>
      </x:c>
      <x:c r="F362" s="142" t="str">
        <x:v>Packet completion: record, court, case, filing, or form detail</x:v>
      </x:c>
      <x:c r="G362" s="56" t="str">
        <x:v>https://github.com/Roger-LegalEase/legalease-partner-dashboard-clean/blob/2f0ef0403f16e57544ad0bc86b2d1b1cd08861b3/src/lib/rcap-engine/compiled/profiles/NE-nebraska.json</x:v>
      </x:c>
    </x:row>
    <x:row r="363">
      <x:c r="A363" s="55" t="str">
        <x:v>New Hampshire</x:v>
      </x:c>
      <x:c r="B363" s="142" t="str">
        <x:v>NH</x:v>
      </x:c>
      <x:c r="C363" s="142" t="str">
        <x:v>1 Was the case in New Hampshire?</x:v>
      </x:c>
      <x:c r="D363" s="142" t="str">
        <x:v>state_specific_eligibility</x:v>
      </x:c>
      <x:c r="E363" s="142" t="str">
        <x:v>text_or_choice</x:v>
      </x:c>
      <x:c r="F363" s="142" t="str">
        <x:v>Packet completion or final verification: source questionnaire detail is not part of the short free check</x:v>
      </x:c>
      <x:c r="G363" s="56" t="str">
        <x:v>https://github.com/Roger-LegalEase/legalease-partner-dashboard-clean/blob/2f0ef0403f16e57544ad0bc86b2d1b1cd08861b3/src/lib/rcap-engine/compiled/profiles/NH-new-hampshire.json</x:v>
      </x:c>
    </x:row>
    <x:row r="364">
      <x:c r="A364" s="55" t="str">
        <x:v>New Hampshire</x:v>
      </x:c>
      <x:c r="B364" s="142" t="str">
        <x:v>NH</x:v>
      </x:c>
      <x:c r="C364" s="142" t="str">
        <x:v>2 Which court handled it?</x:v>
      </x:c>
      <x:c r="D364" s="142" t="str">
        <x:v>state_specific_eligibility</x:v>
      </x:c>
      <x:c r="E364" s="142" t="str">
        <x:v>text_or_choice</x:v>
      </x:c>
      <x:c r="F364" s="142" t="str">
        <x:v>Packet completion or final verification: source questionnaire detail is not part of the short free check</x:v>
      </x:c>
      <x:c r="G364" s="56" t="str">
        <x:v>https://github.com/Roger-LegalEase/legalease-partner-dashboard-clean/blob/2f0ef0403f16e57544ad0bc86b2d1b1cd08861b3/src/lib/rcap-engine/compiled/profiles/NH-new-hampshire.json</x:v>
      </x:c>
    </x:row>
    <x:row r="365">
      <x:c r="A365" s="55" t="str">
        <x:v>New Hampshire</x:v>
      </x:c>
      <x:c r="B365" s="142" t="str">
        <x:v>NH</x:v>
      </x:c>
      <x:c r="C365" s="142" t="str">
        <x:v>Circuit Court / District Division?</x:v>
      </x:c>
      <x:c r="D365" s="142" t="str">
        <x:v>state_specific_eligibility</x:v>
      </x:c>
      <x:c r="E365" s="142" t="str">
        <x:v>text_or_choice</x:v>
      </x:c>
      <x:c r="F365" s="142" t="str">
        <x:v>Packet completion or final verification: source questionnaire detail is not part of the short free check</x:v>
      </x:c>
      <x:c r="G365" s="56" t="str">
        <x:v>https://github.com/Roger-LegalEase/legalease-partner-dashboard-clean/blob/2f0ef0403f16e57544ad0bc86b2d1b1cd08861b3/src/lib/rcap-engine/compiled/profiles/NH-new-hampshire.json</x:v>
      </x:c>
    </x:row>
    <x:row r="366">
      <x:c r="A366" s="55" t="str">
        <x:v>New Hampshire</x:v>
      </x:c>
      <x:c r="B366" s="142" t="str">
        <x:v>NH</x:v>
      </x:c>
      <x:c r="C366" s="142" t="str">
        <x:v>Superior Court?</x:v>
      </x:c>
      <x:c r="D366" s="142" t="str">
        <x:v>state_specific_eligibility</x:v>
      </x:c>
      <x:c r="E366" s="142" t="str">
        <x:v>text_or_choice</x:v>
      </x:c>
      <x:c r="F366" s="142" t="str">
        <x:v>Packet completion or final verification: source questionnaire detail is not part of the short free check</x:v>
      </x:c>
      <x:c r="G366" s="56" t="str">
        <x:v>https://github.com/Roger-LegalEase/legalease-partner-dashboard-clean/blob/2f0ef0403f16e57544ad0bc86b2d1b1cd08861b3/src/lib/rcap-engine/compiled/profiles/NH-new-hampshire.json</x:v>
      </x:c>
    </x:row>
    <x:row r="367">
      <x:c r="A367" s="55" t="str">
        <x:v>New Hampshire</x:v>
      </x:c>
      <x:c r="B367" s="142" t="str">
        <x:v>NH</x:v>
      </x:c>
      <x:c r="C367" s="142" t="str">
        <x:v>Supreme Court?</x:v>
      </x:c>
      <x:c r="D367" s="142" t="str">
        <x:v>state_specific_eligibility</x:v>
      </x:c>
      <x:c r="E367" s="142" t="str">
        <x:v>text_or_choice</x:v>
      </x:c>
      <x:c r="F367" s="142" t="str">
        <x:v>Packet completion or final verification: source questionnaire detail is not part of the short free check</x:v>
      </x:c>
      <x:c r="G367" s="56" t="str">
        <x:v>https://github.com/Roger-LegalEase/legalease-partner-dashboard-clean/blob/2f0ef0403f16e57544ad0bc86b2d1b1cd08861b3/src/lib/rcap-engine/compiled/profiles/NH-new-hampshire.json</x:v>
      </x:c>
    </x:row>
    <x:row r="368">
      <x:c r="A368" s="55" t="str">
        <x:v>New Hampshire</x:v>
      </x:c>
      <x:c r="B368" s="142" t="str">
        <x:v>NH</x:v>
      </x:c>
      <x:c r="C368" s="142" t="str">
        <x:v>3 What county or court location?</x:v>
      </x:c>
      <x:c r="D368" s="142" t="str">
        <x:v>state_specific_eligibility</x:v>
      </x:c>
      <x:c r="E368" s="142" t="str">
        <x:v>text_or_choice</x:v>
      </x:c>
      <x:c r="F368" s="142" t="str">
        <x:v>Packet completion or final verification: source questionnaire detail is not part of the short free check</x:v>
      </x:c>
      <x:c r="G368" s="56" t="str">
        <x:v>https://github.com/Roger-LegalEase/legalease-partner-dashboard-clean/blob/2f0ef0403f16e57544ad0bc86b2d1b1cd08861b3/src/lib/rcap-engine/compiled/profiles/NH-new-hampshire.json</x:v>
      </x:c>
    </x:row>
    <x:row r="369">
      <x:c r="A369" s="55" t="str">
        <x:v>New Hampshire</x:v>
      </x:c>
      <x:c r="B369" s="142" t="str">
        <x:v>NH</x:v>
      </x:c>
      <x:c r="C369" s="142" t="str">
        <x:v>4 What is the case number?</x:v>
      </x:c>
      <x:c r="D369" s="142" t="str">
        <x:v>state_specific_eligibility</x:v>
      </x:c>
      <x:c r="E369" s="142" t="str">
        <x:v>text_or_choice</x:v>
      </x:c>
      <x:c r="F369" s="142" t="str">
        <x:v>Packet completion or final verification: source questionnaire detail is not part of the short free check</x:v>
      </x:c>
      <x:c r="G369" s="56" t="str">
        <x:v>https://github.com/Roger-LegalEase/legalease-partner-dashboard-clean/blob/2f0ef0403f16e57544ad0bc86b2d1b1cd08861b3/src/lib/rcap-engine/compiled/profiles/NH-new-hampshire.json</x:v>
      </x:c>
    </x:row>
    <x:row r="370">
      <x:c r="A370" s="55" t="str">
        <x:v>New Hampshire</x:v>
      </x:c>
      <x:c r="B370" s="142" t="str">
        <x:v>NH</x:v>
      </x:c>
      <x:c r="C370" s="142" t="str">
        <x:v>5 Was this an arrest only, charge, conviction, dismissed case, not-guilty case, not-prosecuted case, or vacated conviction?</x:v>
      </x:c>
      <x:c r="D370" s="142" t="str">
        <x:v>state_specific_eligibility</x:v>
      </x:c>
      <x:c r="E370" s="142" t="str">
        <x:v>text_or_choice</x:v>
      </x:c>
      <x:c r="F370" s="142" t="str">
        <x:v>Packet completion or final verification: source questionnaire detail is not part of the short free check</x:v>
      </x:c>
      <x:c r="G370" s="56" t="str">
        <x:v>https://github.com/Roger-LegalEase/legalease-partner-dashboard-clean/blob/2f0ef0403f16e57544ad0bc86b2d1b1cd08861b3/src/lib/rcap-engine/compiled/profiles/NH-new-hampshire.json</x:v>
      </x:c>
    </x:row>
    <x:row r="371">
      <x:c r="A371" s="55" t="str">
        <x:v>New Hampshire</x:v>
      </x:c>
      <x:c r="B371" s="142" t="str">
        <x:v>NH</x:v>
      </x:c>
      <x:c r="C371" s="142" t="str">
        <x:v>6 What was the offense name and RSA statute?</x:v>
      </x:c>
      <x:c r="D371" s="142" t="str">
        <x:v>state_specific_eligibility</x:v>
      </x:c>
      <x:c r="E371" s="142" t="str">
        <x:v>text_or_choice</x:v>
      </x:c>
      <x:c r="F371" s="142" t="str">
        <x:v>Packet completion or final verification: source questionnaire detail is not part of the short free check</x:v>
      </x:c>
      <x:c r="G371" s="56" t="str">
        <x:v>https://github.com/Roger-LegalEase/legalease-partner-dashboard-clean/blob/2f0ef0403f16e57544ad0bc86b2d1b1cd08861b3/src/lib/rcap-engine/compiled/profiles/NH-new-hampshire.json</x:v>
      </x:c>
    </x:row>
    <x:row r="372">
      <x:c r="A372" s="55" t="str">
        <x:v>New Hampshire</x:v>
      </x:c>
      <x:c r="B372" s="142" t="str">
        <x:v>NH</x:v>
      </x:c>
      <x:c r="C372" s="142" t="str">
        <x:v>7 What was the offense level?</x:v>
      </x:c>
      <x:c r="D372" s="142" t="str">
        <x:v>state_specific_eligibility</x:v>
      </x:c>
      <x:c r="E372" s="142" t="str">
        <x:v>text_or_choice</x:v>
      </x:c>
      <x:c r="F372" s="142" t="str">
        <x:v>Packet completion or final verification: source questionnaire detail is not part of the short free check</x:v>
      </x:c>
      <x:c r="G372" s="56" t="str">
        <x:v>https://github.com/Roger-LegalEase/legalease-partner-dashboard-clean/blob/2f0ef0403f16e57544ad0bc86b2d1b1cd08861b3/src/lib/rcap-engine/compiled/profiles/NH-new-hampshire.json</x:v>
      </x:c>
    </x:row>
    <x:row r="373">
      <x:c r="A373" s="55" t="str">
        <x:v>New Hampshire</x:v>
      </x:c>
      <x:c r="B373" s="142" t="str">
        <x:v>NH</x:v>
      </x:c>
      <x:c r="C373" s="142" t="str">
        <x:v>Violation?</x:v>
      </x:c>
      <x:c r="D373" s="142" t="str">
        <x:v>state_specific_eligibility</x:v>
      </x:c>
      <x:c r="E373" s="142" t="str">
        <x:v>text_or_choice</x:v>
      </x:c>
      <x:c r="F373" s="142" t="str">
        <x:v>Packet completion or final verification: source questionnaire detail is not part of the short free check</x:v>
      </x:c>
      <x:c r="G373" s="56" t="str">
        <x:v>https://github.com/Roger-LegalEase/legalease-partner-dashboard-clean/blob/2f0ef0403f16e57544ad0bc86b2d1b1cd08861b3/src/lib/rcap-engine/compiled/profiles/NH-new-hampshire.json</x:v>
      </x:c>
    </x:row>
    <x:row r="374">
      <x:c r="A374" s="55" t="str">
        <x:v>New Hampshire</x:v>
      </x:c>
      <x:c r="B374" s="142" t="str">
        <x:v>NH</x:v>
      </x:c>
      <x:c r="C374" s="142" t="str">
        <x:v>Class B misdemeanor?</x:v>
      </x:c>
      <x:c r="D374" s="142" t="str">
        <x:v>state_specific_eligibility</x:v>
      </x:c>
      <x:c r="E374" s="142" t="str">
        <x:v>text_or_choice</x:v>
      </x:c>
      <x:c r="F374" s="142" t="str">
        <x:v>Packet completion or final verification: source questionnaire detail is not part of the short free check</x:v>
      </x:c>
      <x:c r="G374" s="56" t="str">
        <x:v>https://github.com/Roger-LegalEase/legalease-partner-dashboard-clean/blob/2f0ef0403f16e57544ad0bc86b2d1b1cd08861b3/src/lib/rcap-engine/compiled/profiles/NH-new-hampshire.json</x:v>
      </x:c>
    </x:row>
    <x:row r="375">
      <x:c r="A375" s="55" t="str">
        <x:v>New Hampshire</x:v>
      </x:c>
      <x:c r="B375" s="142" t="str">
        <x:v>NH</x:v>
      </x:c>
      <x:c r="C375" s="142" t="str">
        <x:v>Class A misdemeanor?</x:v>
      </x:c>
      <x:c r="D375" s="142" t="str">
        <x:v>state_specific_eligibility</x:v>
      </x:c>
      <x:c r="E375" s="142" t="str">
        <x:v>text_or_choice</x:v>
      </x:c>
      <x:c r="F375" s="142" t="str">
        <x:v>Packet completion or final verification: source questionnaire detail is not part of the short free check</x:v>
      </x:c>
      <x:c r="G375" s="56" t="str">
        <x:v>https://github.com/Roger-LegalEase/legalease-partner-dashboard-clean/blob/2f0ef0403f16e57544ad0bc86b2d1b1cd08861b3/src/lib/rcap-engine/compiled/profiles/NH-new-hampshire.json</x:v>
      </x:c>
    </x:row>
    <x:row r="376">
      <x:c r="A376" s="55" t="str">
        <x:v>New Hampshire</x:v>
      </x:c>
      <x:c r="B376" s="142" t="str">
        <x:v>NH</x:v>
      </x:c>
      <x:c r="C376" s="142" t="str">
        <x:v>Class B felony?</x:v>
      </x:c>
      <x:c r="D376" s="142" t="str">
        <x:v>state_specific_eligibility</x:v>
      </x:c>
      <x:c r="E376" s="142" t="str">
        <x:v>text_or_choice</x:v>
      </x:c>
      <x:c r="F376" s="142" t="str">
        <x:v>Packet completion or final verification: source questionnaire detail is not part of the short free check</x:v>
      </x:c>
      <x:c r="G376" s="56" t="str">
        <x:v>https://github.com/Roger-LegalEase/legalease-partner-dashboard-clean/blob/2f0ef0403f16e57544ad0bc86b2d1b1cd08861b3/src/lib/rcap-engine/compiled/profiles/NH-new-hampshire.json</x:v>
      </x:c>
    </x:row>
    <x:row r="377">
      <x:c r="A377" s="55" t="str">
        <x:v>New Hampshire</x:v>
      </x:c>
      <x:c r="B377" s="142" t="str">
        <x:v>NH</x:v>
      </x:c>
      <x:c r="C377" s="142" t="str">
        <x:v>Class A felony?</x:v>
      </x:c>
      <x:c r="D377" s="142" t="str">
        <x:v>state_specific_eligibility</x:v>
      </x:c>
      <x:c r="E377" s="142" t="str">
        <x:v>text_or_choice</x:v>
      </x:c>
      <x:c r="F377" s="142" t="str">
        <x:v>Packet completion or final verification: source questionnaire detail is not part of the short free check</x:v>
      </x:c>
      <x:c r="G377" s="56" t="str">
        <x:v>https://github.com/Roger-LegalEase/legalease-partner-dashboard-clean/blob/2f0ef0403f16e57544ad0bc86b2d1b1cd08861b3/src/lib/rcap-engine/compiled/profiles/NH-new-hampshire.json</x:v>
      </x:c>
    </x:row>
    <x:row r="378">
      <x:c r="A378" s="55" t="str">
        <x:v>New Hampshire</x:v>
      </x:c>
      <x:c r="B378" s="142" t="str">
        <x:v>NH</x:v>
      </x:c>
      <x:c r="C378" s="142" t="str">
        <x:v>8 Was this DWI / DUI / driving under the influence?</x:v>
      </x:c>
      <x:c r="D378" s="142" t="str">
        <x:v>state_specific_eligibility</x:v>
      </x:c>
      <x:c r="E378" s="142" t="str">
        <x:v>text_or_choice</x:v>
      </x:c>
      <x:c r="F378" s="142" t="str">
        <x:v>Packet completion or final verification: source questionnaire detail is not part of the short free check</x:v>
      </x:c>
      <x:c r="G378" s="56" t="str">
        <x:v>https://github.com/Roger-LegalEase/legalease-partner-dashboard-clean/blob/2f0ef0403f16e57544ad0bc86b2d1b1cd08861b3/src/lib/rcap-engine/compiled/profiles/NH-new-hampshire.json</x:v>
      </x:c>
    </x:row>
    <x:row r="379">
      <x:c r="A379" s="55" t="str">
        <x:v>New Hampshire</x:v>
      </x:c>
      <x:c r="B379" s="142" t="str">
        <x:v>NH</x:v>
      </x:c>
      <x:c r="C379" s="142" t="str">
        <x:v>9 Was this marijuana possession of 3/4 ounce or less before September 16, 2017?</x:v>
      </x:c>
      <x:c r="D379" s="142" t="str">
        <x:v>state_specific_eligibility</x:v>
      </x:c>
      <x:c r="E379" s="142" t="str">
        <x:v>text_or_choice</x:v>
      </x:c>
      <x:c r="F379" s="142" t="str">
        <x:v>Packet completion or final verification: source questionnaire detail is not part of the short free check</x:v>
      </x:c>
      <x:c r="G379" s="56" t="str">
        <x:v>https://github.com/Roger-LegalEase/legalease-partner-dashboard-clean/blob/2f0ef0403f16e57544ad0bc86b2d1b1cd08861b3/src/lib/rcap-engine/compiled/profiles/NH-new-hampshire.json</x:v>
      </x:c>
    </x:row>
    <x:row r="380">
      <x:c r="A380" s="55" t="str">
        <x:v>New Hampshire</x:v>
      </x:c>
      <x:c r="B380" s="142" t="str">
        <x:v>NH</x:v>
      </x:c>
      <x:c r="C380" s="142" t="str">
        <x:v>10 Was this domestic violence under RSA 631:2-b?</x:v>
      </x:c>
      <x:c r="D380" s="142" t="str">
        <x:v>state_specific_eligibility</x:v>
      </x:c>
      <x:c r="E380" s="142" t="str">
        <x:v>text_or_choice</x:v>
      </x:c>
      <x:c r="F380" s="142" t="str">
        <x:v>Packet completion or final verification: source questionnaire detail is not part of the short free check</x:v>
      </x:c>
      <x:c r="G380" s="56" t="str">
        <x:v>https://github.com/Roger-LegalEase/legalease-partner-dashboard-clean/blob/2f0ef0403f16e57544ad0bc86b2d1b1cd08861b3/src/lib/rcap-engine/compiled/profiles/NH-new-hampshire.json</x:v>
      </x:c>
    </x:row>
    <x:row r="381">
      <x:c r="A381" s="55" t="str">
        <x:v>New Hampshire</x:v>
      </x:c>
      <x:c r="B381" s="142" t="str">
        <x:v>NH</x:v>
      </x:c>
      <x:c r="C381" s="142" t="str">
        <x:v>11 Was this sexual assault, felony indecent exposure, violent crime, obstruction of justice, or an extended-term sentence?</x:v>
      </x:c>
      <x:c r="D381" s="142" t="str">
        <x:v>state_specific_eligibility</x:v>
      </x:c>
      <x:c r="E381" s="142" t="str">
        <x:v>text_or_choice</x:v>
      </x:c>
      <x:c r="F381" s="142" t="str">
        <x:v>Packet completion or final verification: source questionnaire detail is not part of the short free check</x:v>
      </x:c>
      <x:c r="G381" s="56" t="str">
        <x:v>https://github.com/Roger-LegalEase/legalease-partner-dashboard-clean/blob/2f0ef0403f16e57544ad0bc86b2d1b1cd08861b3/src/lib/rcap-engine/compiled/profiles/NH-new-hampshire.json</x:v>
      </x:c>
    </x:row>
    <x:row r="382">
      <x:c r="A382" s="55" t="str">
        <x:v>New Hampshire</x:v>
      </x:c>
      <x:c r="B382" s="142" t="str">
        <x:v>NH</x:v>
      </x:c>
      <x:c r="C382" s="142" t="str">
        <x:v>12 When were all sentence terms completed?</x:v>
      </x:c>
      <x:c r="D382" s="142" t="str">
        <x:v>state_specific_eligibility</x:v>
      </x:c>
      <x:c r="E382" s="142" t="str">
        <x:v>text_or_choice</x:v>
      </x:c>
      <x:c r="F382" s="142" t="str">
        <x:v>Packet completion or final verification: source questionnaire detail is not part of the short free check</x:v>
      </x:c>
      <x:c r="G382" s="56" t="str">
        <x:v>https://github.com/Roger-LegalEase/legalease-partner-dashboard-clean/blob/2f0ef0403f16e57544ad0bc86b2d1b1cd08861b3/src/lib/rcap-engine/compiled/profiles/NH-new-hampshire.json</x:v>
      </x:c>
    </x:row>
    <x:row r="383">
      <x:c r="A383" s="55" t="str">
        <x:v>New Hampshire</x:v>
      </x:c>
      <x:c r="B383" s="142" t="str">
        <x:v>NH</x:v>
      </x:c>
      <x:c r="C383" s="142" t="str">
        <x:v>13 Have there been any new convictions since completion?</x:v>
      </x:c>
      <x:c r="D383" s="142" t="str">
        <x:v>state_specific_eligibility</x:v>
      </x:c>
      <x:c r="E383" s="142" t="str">
        <x:v>text_or_choice</x:v>
      </x:c>
      <x:c r="F383" s="142" t="str">
        <x:v>Packet completion or final verification: source questionnaire detail is not part of the short free check</x:v>
      </x:c>
      <x:c r="G383" s="56" t="str">
        <x:v>https://github.com/Roger-LegalEase/legalease-partner-dashboard-clean/blob/2f0ef0403f16e57544ad0bc86b2d1b1cd08861b3/src/lib/rcap-engine/compiled/profiles/NH-new-hampshire.json</x:v>
      </x:c>
    </x:row>
    <x:row r="384">
      <x:c r="A384" s="55" t="str">
        <x:v>New Hampshire</x:v>
      </x:c>
      <x:c r="B384" s="142" t="str">
        <x:v>NH</x:v>
      </x:c>
      <x:c r="C384" s="142" t="str">
        <x:v>14 Are there any pending charges now?</x:v>
      </x:c>
      <x:c r="D384" s="142" t="str">
        <x:v>state_specific_eligibility</x:v>
      </x:c>
      <x:c r="E384" s="142" t="str">
        <x:v>text_or_choice</x:v>
      </x:c>
      <x:c r="F384" s="142" t="str">
        <x:v>Packet completion or final verification: source questionnaire detail is not part of the short free check</x:v>
      </x:c>
      <x:c r="G384" s="56" t="str">
        <x:v>https://github.com/Roger-LegalEase/legalease-partner-dashboard-clean/blob/2f0ef0403f16e57544ad0bc86b2d1b1cd08861b3/src/lib/rcap-engine/compiled/profiles/NH-new-hampshire.json</x:v>
      </x:c>
    </x:row>
    <x:row r="385">
      <x:c r="A385" s="55" t="str">
        <x:v>New Hampshire</x:v>
      </x:c>
      <x:c r="B385" s="142" t="str">
        <x:v>NH</x:v>
      </x:c>
      <x:c r="C385" s="142" t="str">
        <x:v>15 Are there any other convictions on the person's record?</x:v>
      </x:c>
      <x:c r="D385" s="142" t="str">
        <x:v>state_specific_eligibility</x:v>
      </x:c>
      <x:c r="E385" s="142" t="str">
        <x:v>text_or_choice</x:v>
      </x:c>
      <x:c r="F385" s="142" t="str">
        <x:v>Packet completion or final verification: source questionnaire detail is not part of the short free check</x:v>
      </x:c>
      <x:c r="G385" s="56" t="str">
        <x:v>https://github.com/Roger-LegalEase/legalease-partner-dashboard-clean/blob/2f0ef0403f16e57544ad0bc86b2d1b1cd08861b3/src/lib/rcap-engine/compiled/profiles/NH-new-hampshire.json</x:v>
      </x:c>
    </x:row>
    <x:row r="386">
      <x:c r="A386" s="55" t="str">
        <x:v>New Hampshire</x:v>
      </x:c>
      <x:c r="B386" s="142" t="str">
        <x:v>NH</x:v>
      </x:c>
      <x:c r="C386" s="142" t="str">
        <x:v>16 Has the person filed a prior annulment petition that was denied?</x:v>
      </x:c>
      <x:c r="D386" s="142" t="str">
        <x:v>state_specific_eligibility</x:v>
      </x:c>
      <x:c r="E386" s="142" t="str">
        <x:v>text_or_choice</x:v>
      </x:c>
      <x:c r="F386" s="142" t="str">
        <x:v>Packet completion or final verification: source questionnaire detail is not part of the short free check</x:v>
      </x:c>
      <x:c r="G386" s="56" t="str">
        <x:v>https://github.com/Roger-LegalEase/legalease-partner-dashboard-clean/blob/2f0ef0403f16e57544ad0bc86b2d1b1cd08861b3/src/lib/rcap-engine/compiled/profiles/NH-new-hampshire.json</x:v>
      </x:c>
    </x:row>
    <x:row r="387">
      <x:c r="A387" s="55" t="str">
        <x:v>New Hampshire</x:v>
      </x:c>
      <x:c r="B387" s="142" t="str">
        <x:v>NH</x:v>
      </x:c>
      <x:c r="C387" s="142" t="str">
        <x:v>17 Does the person need annulment for employment, housing, licensing, immigration, military, school, or professional certification?</x:v>
      </x:c>
      <x:c r="D387" s="142" t="str">
        <x:v>state_specific_eligibility</x:v>
      </x:c>
      <x:c r="E387" s="142" t="str">
        <x:v>text_or_choice</x:v>
      </x:c>
      <x:c r="F387" s="142" t="str">
        <x:v>Packet completion or final verification: source questionnaire detail is not part of the short free check</x:v>
      </x:c>
      <x:c r="G387" s="56" t="str">
        <x:v>https://github.com/Roger-LegalEase/legalease-partner-dashboard-clean/blob/2f0ef0403f16e57544ad0bc86b2d1b1cd08861b3/src/lib/rcap-engine/compiled/profiles/NH-new-hampshire.json</x:v>
      </x:c>
    </x:row>
    <x:row r="388">
      <x:c r="A388" s="55" t="str">
        <x:v>New Hampshire</x:v>
      </x:c>
      <x:c r="B388" s="142" t="str">
        <x:v>NH</x:v>
      </x:c>
      <x:c r="C388" s="142" t="str">
        <x:v>18 Does the person need a fee waiver?</x:v>
      </x:c>
      <x:c r="D388" s="142" t="str">
        <x:v>state_specific_eligibility</x:v>
      </x:c>
      <x:c r="E388" s="142" t="str">
        <x:v>text_or_choice</x:v>
      </x:c>
      <x:c r="F388" s="142" t="str">
        <x:v>Packet completion or final verification: source questionnaire detail is not part of the short free check</x:v>
      </x:c>
      <x:c r="G388" s="56" t="str">
        <x:v>https://github.com/Roger-LegalEase/legalease-partner-dashboard-clean/blob/2f0ef0403f16e57544ad0bc86b2d1b1cd08861b3/src/lib/rcap-engine/compiled/profiles/NH-new-hampshire.json</x:v>
      </x:c>
    </x:row>
    <x:row r="389">
      <x:c r="A389" s="55" t="str">
        <x:v>New Hampshire</x:v>
      </x:c>
      <x:c r="B389" s="142" t="str">
        <x:v>NH</x:v>
      </x:c>
      <x:c r="C389" s="142" t="str">
        <x:v>Check disposition date. If before January 1, 2019, petition may be filed at any time. If on or after January 1, 2019, check whether automatic annulment occurred 30 days after dismissal/not-guilty if no appeal.</x:v>
      </x:c>
      <x:c r="D389" s="142" t="str">
        <x:v>state_specific_eligibility</x:v>
      </x:c>
      <x:c r="E389" s="142" t="str">
        <x:v>text_or_choice</x:v>
      </x:c>
      <x:c r="F389" s="142" t="str">
        <x:v>Packet completion or final verification: source questionnaire detail is not part of the short free check</x:v>
      </x:c>
      <x:c r="G389" s="56" t="str">
        <x:v>https://github.com/Roger-LegalEase/legalease-partner-dashboard-clean/blob/2f0ef0403f16e57544ad0bc86b2d1b1cd08861b3/src/lib/rcap-engine/compiled/profiles/NH-new-hampshire.json</x:v>
      </x:c>
    </x:row>
    <x:row r="390">
      <x:c r="A390" s="55" t="str">
        <x:v>New Hampshire</x:v>
      </x:c>
      <x:c r="B390" s="142" t="str">
        <x:v>NH</x:v>
      </x:c>
      <x:c r="C390" s="142" t="str">
        <x:v>Check RSA 651:5-b: offense before September 16, 2017, possession/transport/purchase/control of 3/4 ounce or less. File in court of arrest or conviction and serve prosecutor.</x:v>
      </x:c>
      <x:c r="D390" s="142" t="str">
        <x:v>state_specific_eligibility</x:v>
      </x:c>
      <x:c r="E390" s="142" t="str">
        <x:v>text_or_choice</x:v>
      </x:c>
      <x:c r="F390" s="142" t="str">
        <x:v>Packet completion or final verification: source questionnaire detail is not part of the short free check</x:v>
      </x:c>
      <x:c r="G390" s="56" t="str">
        <x:v>https://github.com/Roger-LegalEase/legalease-partner-dashboard-clean/blob/2f0ef0403f16e57544ad0bc86b2d1b1cd08861b3/src/lib/rcap-engine/compiled/profiles/NH-new-hampshire.json</x:v>
      </x:c>
    </x:row>
    <x:row r="391">
      <x:c r="A391" s="55" t="str">
        <x:v>New Hampshire</x:v>
      </x:c>
      <x:c r="B391" s="142" t="str">
        <x:v>NH</x:v>
      </x:c>
      <x:c r="C391" s="142" t="str">
        <x:v>Confirm sentence completion, offense class, waiting period, no new convictions, no pending charges, no barred offense, and all other convictions eligible.</x:v>
      </x:c>
      <x:c r="D391" s="142" t="str">
        <x:v>state_specific_eligibility</x:v>
      </x:c>
      <x:c r="E391" s="142" t="str">
        <x:v>text_or_choice</x:v>
      </x:c>
      <x:c r="F391" s="142" t="str">
        <x:v>Packet completion or final verification: source questionnaire detail is not part of the short free check</x:v>
      </x:c>
      <x:c r="G391" s="56" t="str">
        <x:v>https://github.com/Roger-LegalEase/legalease-partner-dashboard-clean/blob/2f0ef0403f16e57544ad0bc86b2d1b1cd08861b3/src/lib/rcap-engine/compiled/profiles/NH-new-hampshire.json</x:v>
      </x:c>
    </x:row>
    <x:row r="392">
      <x:c r="A392" s="55" t="str">
        <x:v>New Jersey</x:v>
      </x:c>
      <x:c r="B392" s="142" t="str">
        <x:v>NJ</x:v>
      </x:c>
      <x:c r="C392" s="142" t="str">
        <x:v>Which court or agency handled the case?</x:v>
      </x:c>
      <x:c r="D392" s="142" t="str">
        <x:v>case_details</x:v>
      </x:c>
      <x:c r="E392" s="142" t="str">
        <x:v>text</x:v>
      </x:c>
      <x:c r="F392" s="142" t="str">
        <x:v>Packet completion: record, court, case, filing, or form detail</x:v>
      </x:c>
      <x:c r="G392" s="56" t="str">
        <x:v>https://github.com/Roger-LegalEase/legalease-partner-dashboard-clean/blob/2f0ef0403f16e57544ad0bc86b2d1b1cd08861b3/src/lib/rcap-engine/compiled/profiles/NJ-new-jersey.json</x:v>
      </x:c>
    </x:row>
    <x:row r="393">
      <x:c r="A393" s="55" t="str">
        <x:v>New Jersey</x:v>
      </x:c>
      <x:c r="B393" s="142" t="str">
        <x:v>NJ</x:v>
      </x:c>
      <x:c r="C393" s="142" t="str">
        <x:v>What charge, statute, or record description appears on the record?</x:v>
      </x:c>
      <x:c r="D393" s="142" t="str">
        <x:v>case_details</x:v>
      </x:c>
      <x:c r="E393" s="142" t="str">
        <x:v>text_or_unknown</x:v>
      </x:c>
      <x:c r="F393" s="142" t="str">
        <x:v>Packet completion: record, court, case, filing, or form detail</x:v>
      </x:c>
      <x:c r="G393" s="56" t="str">
        <x:v>https://github.com/Roger-LegalEase/legalease-partner-dashboard-clean/blob/2f0ef0403f16e57544ad0bc86b2d1b1cd08861b3/src/lib/rcap-engine/compiled/profiles/NJ-new-jersey.json</x:v>
      </x:c>
    </x:row>
    <x:row r="394">
      <x:c r="A394" s="55" t="str">
        <x:v>New Jersey</x:v>
      </x:c>
      <x:c r="B394" s="142" t="str">
        <x:v>NJ</x:v>
      </x:c>
      <x:c r="C394" s="142" t="str">
        <x:v>Do you have court paperwork or a criminal-history record showing the exact charge and outcome?</x:v>
      </x:c>
      <x:c r="D394" s="142" t="str">
        <x:v>record_readiness</x:v>
      </x:c>
      <x:c r="E394" s="142" t="str">
        <x:v>yes_no_unsure</x:v>
      </x:c>
      <x:c r="F394" s="142" t="str">
        <x:v>Packet completion: record, court, case, filing, or form detail</x:v>
      </x:c>
      <x:c r="G394" s="56" t="str">
        <x:v>https://github.com/Roger-LegalEase/legalease-partner-dashboard-clean/blob/2f0ef0403f16e57544ad0bc86b2d1b1cd08861b3/src/lib/rcap-engine/compiled/profiles/NJ-new-jersey.json</x:v>
      </x:c>
    </x:row>
    <x:row r="395">
      <x:c r="A395" s="55" t="str">
        <x:v>New Jersey</x:v>
      </x:c>
      <x:c r="B395" s="142" t="str">
        <x:v>NJ</x:v>
      </x:c>
      <x:c r="C395" s="142" t="str">
        <x:v>Where in New Jersey was the case handled?</x:v>
      </x:c>
      <x:c r="D395" s="142" t="str">
        <x:v>case_details</x:v>
      </x:c>
      <x:c r="E395" s="142" t="str">
        <x:v>text_or_unknown</x:v>
      </x:c>
      <x:c r="F395" s="142" t="str">
        <x:v>Packet completion: record, court, case, filing, or form detail</x:v>
      </x:c>
      <x:c r="G395" s="56" t="str">
        <x:v>https://github.com/Roger-LegalEase/legalease-partner-dashboard-clean/blob/2f0ef0403f16e57544ad0bc86b2d1b1cd08861b3/src/lib/rcap-engine/compiled/profiles/NJ-new-jersey.json</x:v>
      </x:c>
    </x:row>
    <x:row r="396">
      <x:c r="A396" s="55" t="str">
        <x:v>New Jersey</x:v>
      </x:c>
      <x:c r="B396" s="142" t="str">
        <x:v>NJ</x:v>
      </x:c>
      <x:c r="C396" s="142" t="str">
        <x:v>What case, docket, cause, or arrest number appears on the record?</x:v>
      </x:c>
      <x:c r="D396" s="142" t="str">
        <x:v>case_details</x:v>
      </x:c>
      <x:c r="E396" s="142" t="str">
        <x:v>text_or_unknown</x:v>
      </x:c>
      <x:c r="F396" s="142" t="str">
        <x:v>Packet completion: record, court, case, filing, or form detail</x:v>
      </x:c>
      <x:c r="G396" s="56" t="str">
        <x:v>https://github.com/Roger-LegalEase/legalease-partner-dashboard-clean/blob/2f0ef0403f16e57544ad0bc86b2d1b1cd08861b3/src/lib/rcap-engine/compiled/profiles/NJ-new-jersey.json</x:v>
      </x:c>
    </x:row>
    <x:row r="397">
      <x:c r="A397" s="55" t="str">
        <x:v>New Mexico</x:v>
      </x:c>
      <x:c r="B397" s="142" t="str">
        <x:v>NM</x:v>
      </x:c>
      <x:c r="C397" s="142" t="str">
        <x:v>Step 1 - Was the person wrongly identified because of identity theft?</x:v>
      </x:c>
      <x:c r="D397" s="142" t="str">
        <x:v>state_specific_eligibility</x:v>
      </x:c>
      <x:c r="E397" s="142" t="str">
        <x:v>text_or_choice</x:v>
      </x:c>
      <x:c r="F397" s="142" t="str">
        <x:v>Packet completion or final verification: source questionnaire detail is not part of the short free check</x:v>
      </x:c>
      <x:c r="G397" s="56" t="str">
        <x:v>https://github.com/Roger-LegalEase/legalease-partner-dashboard-clean/blob/2f0ef0403f16e57544ad0bc86b2d1b1cd08861b3/src/lib/rcap-engine/compiled/profiles/NM-new-mexico.json</x:v>
      </x:c>
    </x:row>
    <x:row r="398">
      <x:c r="A398" s="55" t="str">
        <x:v>New Mexico</x:v>
      </x:c>
      <x:c r="B398" s="142" t="str">
        <x:v>NM</x:v>
      </x:c>
      <x:c r="C398" s="142" t="str">
        <x:v>Step 2 - Was there a conviction?</x:v>
      </x:c>
      <x:c r="D398" s="142" t="str">
        <x:v>state_specific_eligibility</x:v>
      </x:c>
      <x:c r="E398" s="142" t="str">
        <x:v>text_or_choice</x:v>
      </x:c>
      <x:c r="F398" s="142" t="str">
        <x:v>Packet completion or final verification: source questionnaire detail is not part of the short free check</x:v>
      </x:c>
      <x:c r="G398" s="56" t="str">
        <x:v>https://github.com/Roger-LegalEase/legalease-partner-dashboard-clean/blob/2f0ef0403f16e57544ad0bc86b2d1b1cd08861b3/src/lib/rcap-engine/compiled/profiles/NM-new-mexico.json</x:v>
      </x:c>
    </x:row>
    <x:row r="399">
      <x:c r="A399" s="55" t="str">
        <x:v>New Mexico</x:v>
      </x:c>
      <x:c r="B399" s="142" t="str">
        <x:v>NM</x:v>
      </x:c>
      <x:c r="C399" s="142" t="str">
        <x:v>When was the case disposed of, dismissed, completed, or discharged?</x:v>
      </x:c>
      <x:c r="D399" s="142" t="str">
        <x:v>timing_and_completion</x:v>
      </x:c>
      <x:c r="E399" s="142" t="str">
        <x:v>date_or_unknown</x:v>
      </x:c>
      <x:c r="F399" s="142" t="str">
        <x:v>Packet completion/final verification: exact date; free check uses approximate timing where appropriate</x:v>
      </x:c>
      <x:c r="G399" s="56" t="str">
        <x:v>https://github.com/Roger-LegalEase/legalease-partner-dashboard-clean/blob/2f0ef0403f16e57544ad0bc86b2d1b1cd08861b3/src/lib/rcap-engine/compiled/profiles/NM-new-mexico.json</x:v>
      </x:c>
    </x:row>
    <x:row r="400">
      <x:c r="A400" s="55" t="str">
        <x:v>New Mexico</x:v>
      </x:c>
      <x:c r="B400" s="142" t="str">
        <x:v>NM</x:v>
      </x:c>
      <x:c r="C400" s="142" t="str">
        <x:v>When did the arrest or citation occur?</x:v>
      </x:c>
      <x:c r="D400" s="142" t="str">
        <x:v>case_details</x:v>
      </x:c>
      <x:c r="E400" s="142" t="str">
        <x:v>date_or_unknown</x:v>
      </x:c>
      <x:c r="F400" s="142" t="str">
        <x:v>Packet completion: record, court, case, filing, or form detail</x:v>
      </x:c>
      <x:c r="G400" s="56" t="str">
        <x:v>https://github.com/Roger-LegalEase/legalease-partner-dashboard-clean/blob/2f0ef0403f16e57544ad0bc86b2d1b1cd08861b3/src/lib/rcap-engine/compiled/profiles/NM-new-mexico.json</x:v>
      </x:c>
    </x:row>
    <x:row r="401">
      <x:c r="A401" s="55" t="str">
        <x:v>New Mexico</x:v>
      </x:c>
      <x:c r="B401" s="142" t="str">
        <x:v>NM</x:v>
      </x:c>
      <x:c r="C401" s="142" t="str">
        <x:v>Which court or agency handled the case?</x:v>
      </x:c>
      <x:c r="D401" s="142" t="str">
        <x:v>case_details</x:v>
      </x:c>
      <x:c r="E401" s="142" t="str">
        <x:v>text</x:v>
      </x:c>
      <x:c r="F401" s="142" t="str">
        <x:v>Packet completion: record, court, case, filing, or form detail</x:v>
      </x:c>
      <x:c r="G401" s="56" t="str">
        <x:v>https://github.com/Roger-LegalEase/legalease-partner-dashboard-clean/blob/2f0ef0403f16e57544ad0bc86b2d1b1cd08861b3/src/lib/rcap-engine/compiled/profiles/NM-new-mexico.json</x:v>
      </x:c>
    </x:row>
    <x:row r="402">
      <x:c r="A402" s="55" t="str">
        <x:v>New Mexico</x:v>
      </x:c>
      <x:c r="B402" s="142" t="str">
        <x:v>NM</x:v>
      </x:c>
      <x:c r="C402" s="142" t="str">
        <x:v>What charge, statute, or record description appears on the record?</x:v>
      </x:c>
      <x:c r="D402" s="142" t="str">
        <x:v>case_details</x:v>
      </x:c>
      <x:c r="E402" s="142" t="str">
        <x:v>text_or_unknown</x:v>
      </x:c>
      <x:c r="F402" s="142" t="str">
        <x:v>Packet completion: record, court, case, filing, or form detail</x:v>
      </x:c>
      <x:c r="G402" s="56" t="str">
        <x:v>https://github.com/Roger-LegalEase/legalease-partner-dashboard-clean/blob/2f0ef0403f16e57544ad0bc86b2d1b1cd08861b3/src/lib/rcap-engine/compiled/profiles/NM-new-mexico.json</x:v>
      </x:c>
    </x:row>
    <x:row r="403">
      <x:c r="A403" s="55" t="str">
        <x:v>New Mexico</x:v>
      </x:c>
      <x:c r="B403" s="142" t="str">
        <x:v>NM</x:v>
      </x:c>
      <x:c r="C403" s="142" t="str">
        <x:v>Do you have court paperwork or a criminal-history record showing the exact charge and outcome?</x:v>
      </x:c>
      <x:c r="D403" s="142" t="str">
        <x:v>record_readiness</x:v>
      </x:c>
      <x:c r="E403" s="142" t="str">
        <x:v>yes_no_unsure</x:v>
      </x:c>
      <x:c r="F403" s="142" t="str">
        <x:v>Packet completion: record, court, case, filing, or form detail</x:v>
      </x:c>
      <x:c r="G403" s="56" t="str">
        <x:v>https://github.com/Roger-LegalEase/legalease-partner-dashboard-clean/blob/2f0ef0403f16e57544ad0bc86b2d1b1cd08861b3/src/lib/rcap-engine/compiled/profiles/NM-new-mexico.json</x:v>
      </x:c>
    </x:row>
    <x:row r="404">
      <x:c r="A404" s="55" t="str">
        <x:v>New Mexico</x:v>
      </x:c>
      <x:c r="B404" s="142" t="str">
        <x:v>NM</x:v>
      </x:c>
      <x:c r="C404" s="142" t="str">
        <x:v>Where in New Mexico was the case handled?</x:v>
      </x:c>
      <x:c r="D404" s="142" t="str">
        <x:v>case_details</x:v>
      </x:c>
      <x:c r="E404" s="142" t="str">
        <x:v>text_or_unknown</x:v>
      </x:c>
      <x:c r="F404" s="142" t="str">
        <x:v>Packet completion: record, court, case, filing, or form detail</x:v>
      </x:c>
      <x:c r="G404" s="56" t="str">
        <x:v>https://github.com/Roger-LegalEase/legalease-partner-dashboard-clean/blob/2f0ef0403f16e57544ad0bc86b2d1b1cd08861b3/src/lib/rcap-engine/compiled/profiles/NM-new-mexico.json</x:v>
      </x:c>
    </x:row>
    <x:row r="405">
      <x:c r="A405" s="55" t="str">
        <x:v>New Mexico</x:v>
      </x:c>
      <x:c r="B405" s="142" t="str">
        <x:v>NM</x:v>
      </x:c>
      <x:c r="C405" s="142" t="str">
        <x:v>What case, docket, cause, or arrest number appears on the record?</x:v>
      </x:c>
      <x:c r="D405" s="142" t="str">
        <x:v>case_details</x:v>
      </x:c>
      <x:c r="E405" s="142" t="str">
        <x:v>text_or_unknown</x:v>
      </x:c>
      <x:c r="F405" s="142" t="str">
        <x:v>Packet completion: record, court, case, filing, or form detail</x:v>
      </x:c>
      <x:c r="G405" s="56" t="str">
        <x:v>https://github.com/Roger-LegalEase/legalease-partner-dashboard-clean/blob/2f0ef0403f16e57544ad0bc86b2d1b1cd08861b3/src/lib/rcap-engine/compiled/profiles/NM-new-mexico.json</x:v>
      </x:c>
    </x:row>
    <x:row r="406">
      <x:c r="A406" s="55" t="str">
        <x:v>Nevada</x:v>
      </x:c>
      <x:c r="B406" s="142" t="str">
        <x:v>NV</x:v>
      </x:c>
      <x:c r="C406" s="142" t="str">
        <x:v>Step 1 - Was there a conviction?</x:v>
      </x:c>
      <x:c r="D406" s="142" t="str">
        <x:v>state_specific_eligibility</x:v>
      </x:c>
      <x:c r="E406" s="142" t="str">
        <x:v>text_or_choice</x:v>
      </x:c>
      <x:c r="F406" s="142" t="str">
        <x:v>Packet completion or final verification: source questionnaire detail is not part of the short free check</x:v>
      </x:c>
      <x:c r="G406" s="56" t="str">
        <x:v>https://github.com/Roger-LegalEase/legalease-partner-dashboard-clean/blob/2f0ef0403f16e57544ad0bc86b2d1b1cd08861b3/src/lib/rcap-engine/compiled/profiles/NV-nevada.json</x:v>
      </x:c>
    </x:row>
    <x:row r="407">
      <x:c r="A407" s="55" t="str">
        <x:v>Nevada</x:v>
      </x:c>
      <x:c r="B407" s="142" t="str">
        <x:v>NV</x:v>
      </x:c>
      <x:c r="C407" s="142" t="str">
        <x:v>Check whether:</x:v>
      </x:c>
      <x:c r="D407" s="142" t="str">
        <x:v>state_specific_eligibility</x:v>
      </x:c>
      <x:c r="E407" s="142" t="str">
        <x:v>text_or_choice</x:v>
      </x:c>
      <x:c r="F407" s="142" t="str">
        <x:v>Packet completion or final verification: source questionnaire detail is not part of the short free check</x:v>
      </x:c>
      <x:c r="G407" s="56" t="str">
        <x:v>https://github.com/Roger-LegalEase/legalease-partner-dashboard-clean/blob/2f0ef0403f16e57544ad0bc86b2d1b1cd08861b3/src/lib/rcap-engine/compiled/profiles/NV-nevada.json</x:v>
      </x:c>
    </x:row>
    <x:row r="408">
      <x:c r="A408" s="55" t="str">
        <x:v>Nevada</x:v>
      </x:c>
      <x:c r="B408" s="142" t="str">
        <x:v>NV</x:v>
      </x:c>
      <x:c r="C408" s="142" t="str">
        <x:v>Step 2 - Does a special pathway apply?</x:v>
      </x:c>
      <x:c r="D408" s="142" t="str">
        <x:v>state_specific_eligibility</x:v>
      </x:c>
      <x:c r="E408" s="142" t="str">
        <x:v>text_or_choice</x:v>
      </x:c>
      <x:c r="F408" s="142" t="str">
        <x:v>Packet completion or final verification: source questionnaire detail is not part of the short free check</x:v>
      </x:c>
      <x:c r="G408" s="56" t="str">
        <x:v>https://github.com/Roger-LegalEase/legalease-partner-dashboard-clean/blob/2f0ef0403f16e57544ad0bc86b2d1b1cd08861b3/src/lib/rcap-engine/compiled/profiles/NV-nevada.json</x:v>
      </x:c>
    </x:row>
    <x:row r="409">
      <x:c r="A409" s="55" t="str">
        <x:v>Nevada</x:v>
      </x:c>
      <x:c r="B409" s="142" t="str">
        <x:v>NV</x:v>
      </x:c>
      <x:c r="C409" s="142" t="str">
        <x:v>Do you have the Nevada criminal-history report, court docket, or certified disposition needed to verify the record?</x:v>
      </x:c>
      <x:c r="D409" s="142" t="str">
        <x:v>record_readiness</x:v>
      </x:c>
      <x:c r="E409" s="142" t="str">
        <x:v>yes_no_unsure</x:v>
      </x:c>
      <x:c r="F409" s="142" t="str">
        <x:v>Packet completion: record, court, case, filing, or form detail</x:v>
      </x:c>
      <x:c r="G409" s="56" t="str">
        <x:v>https://github.com/Roger-LegalEase/legalease-partner-dashboard-clean/blob/2f0ef0403f16e57544ad0bc86b2d1b1cd08861b3/src/lib/rcap-engine/compiled/profiles/NV-nevada.json</x:v>
      </x:c>
    </x:row>
    <x:row r="410">
      <x:c r="A410" s="55" t="str">
        <x:v>Nevada</x:v>
      </x:c>
      <x:c r="B410" s="142" t="str">
        <x:v>NV</x:v>
      </x:c>
      <x:c r="C410" s="142" t="str">
        <x:v>When was the case disposed of, dismissed, completed, or discharged?</x:v>
      </x:c>
      <x:c r="D410" s="142" t="str">
        <x:v>timing_and_completion</x:v>
      </x:c>
      <x:c r="E410" s="142" t="str">
        <x:v>date_or_unknown</x:v>
      </x:c>
      <x:c r="F410" s="142" t="str">
        <x:v>Packet completion/final verification: exact date; free check uses approximate timing where appropriate</x:v>
      </x:c>
      <x:c r="G410" s="56" t="str">
        <x:v>https://github.com/Roger-LegalEase/legalease-partner-dashboard-clean/blob/2f0ef0403f16e57544ad0bc86b2d1b1cd08861b3/src/lib/rcap-engine/compiled/profiles/NV-nevada.json</x:v>
      </x:c>
    </x:row>
    <x:row r="411">
      <x:c r="A411" s="55" t="str">
        <x:v>Nevada</x:v>
      </x:c>
      <x:c r="B411" s="142" t="str">
        <x:v>NV</x:v>
      </x:c>
      <x:c r="C411" s="142" t="str">
        <x:v>When did the arrest or citation occur?</x:v>
      </x:c>
      <x:c r="D411" s="142" t="str">
        <x:v>case_details</x:v>
      </x:c>
      <x:c r="E411" s="142" t="str">
        <x:v>date_or_unknown</x:v>
      </x:c>
      <x:c r="F411" s="142" t="str">
        <x:v>Packet completion: record, court, case, filing, or form detail</x:v>
      </x:c>
      <x:c r="G411" s="56" t="str">
        <x:v>https://github.com/Roger-LegalEase/legalease-partner-dashboard-clean/blob/2f0ef0403f16e57544ad0bc86b2d1b1cd08861b3/src/lib/rcap-engine/compiled/profiles/NV-nevada.json</x:v>
      </x:c>
    </x:row>
    <x:row r="412">
      <x:c r="A412" s="55" t="str">
        <x:v>Nevada</x:v>
      </x:c>
      <x:c r="B412" s="142" t="str">
        <x:v>NV</x:v>
      </x:c>
      <x:c r="C412" s="142" t="str">
        <x:v>Which court or agency handled the case?</x:v>
      </x:c>
      <x:c r="D412" s="142" t="str">
        <x:v>case_details</x:v>
      </x:c>
      <x:c r="E412" s="142" t="str">
        <x:v>text</x:v>
      </x:c>
      <x:c r="F412" s="142" t="str">
        <x:v>Packet completion: record, court, case, filing, or form detail</x:v>
      </x:c>
      <x:c r="G412" s="56" t="str">
        <x:v>https://github.com/Roger-LegalEase/legalease-partner-dashboard-clean/blob/2f0ef0403f16e57544ad0bc86b2d1b1cd08861b3/src/lib/rcap-engine/compiled/profiles/NV-nevada.json</x:v>
      </x:c>
    </x:row>
    <x:row r="413">
      <x:c r="A413" s="55" t="str">
        <x:v>Nevada</x:v>
      </x:c>
      <x:c r="B413" s="142" t="str">
        <x:v>NV</x:v>
      </x:c>
      <x:c r="C413" s="142" t="str">
        <x:v>What charge, statute, or record description appears on the record?</x:v>
      </x:c>
      <x:c r="D413" s="142" t="str">
        <x:v>case_details</x:v>
      </x:c>
      <x:c r="E413" s="142" t="str">
        <x:v>text_or_unknown</x:v>
      </x:c>
      <x:c r="F413" s="142" t="str">
        <x:v>Packet completion: record, court, case, filing, or form detail</x:v>
      </x:c>
      <x:c r="G413" s="56" t="str">
        <x:v>https://github.com/Roger-LegalEase/legalease-partner-dashboard-clean/blob/2f0ef0403f16e57544ad0bc86b2d1b1cd08861b3/src/lib/rcap-engine/compiled/profiles/NV-nevada.json</x:v>
      </x:c>
    </x:row>
    <x:row r="414">
      <x:c r="A414" s="55" t="str">
        <x:v>Nevada</x:v>
      </x:c>
      <x:c r="B414" s="142" t="str">
        <x:v>NV</x:v>
      </x:c>
      <x:c r="C414" s="142" t="str">
        <x:v>Do you have court paperwork or a criminal-history record showing the exact charge and outcome?</x:v>
      </x:c>
      <x:c r="D414" s="142" t="str">
        <x:v>record_readiness</x:v>
      </x:c>
      <x:c r="E414" s="142" t="str">
        <x:v>yes_no_unsure</x:v>
      </x:c>
      <x:c r="F414" s="142" t="str">
        <x:v>Packet completion: record, court, case, filing, or form detail</x:v>
      </x:c>
      <x:c r="G414" s="56" t="str">
        <x:v>https://github.com/Roger-LegalEase/legalease-partner-dashboard-clean/blob/2f0ef0403f16e57544ad0bc86b2d1b1cd08861b3/src/lib/rcap-engine/compiled/profiles/NV-nevada.json</x:v>
      </x:c>
    </x:row>
    <x:row r="415">
      <x:c r="A415" s="55" t="str">
        <x:v>Nevada</x:v>
      </x:c>
      <x:c r="B415" s="142" t="str">
        <x:v>NV</x:v>
      </x:c>
      <x:c r="C415" s="142" t="str">
        <x:v>Where in Nevada was the case handled?</x:v>
      </x:c>
      <x:c r="D415" s="142" t="str">
        <x:v>case_details</x:v>
      </x:c>
      <x:c r="E415" s="142" t="str">
        <x:v>text_or_unknown</x:v>
      </x:c>
      <x:c r="F415" s="142" t="str">
        <x:v>Packet completion: record, court, case, filing, or form detail</x:v>
      </x:c>
      <x:c r="G415" s="56" t="str">
        <x:v>https://github.com/Roger-LegalEase/legalease-partner-dashboard-clean/blob/2f0ef0403f16e57544ad0bc86b2d1b1cd08861b3/src/lib/rcap-engine/compiled/profiles/NV-nevada.json</x:v>
      </x:c>
    </x:row>
    <x:row r="416">
      <x:c r="A416" s="55" t="str">
        <x:v>Nevada</x:v>
      </x:c>
      <x:c r="B416" s="142" t="str">
        <x:v>NV</x:v>
      </x:c>
      <x:c r="C416" s="142" t="str">
        <x:v>What case, docket, cause, or arrest number appears on the record?</x:v>
      </x:c>
      <x:c r="D416" s="142" t="str">
        <x:v>case_details</x:v>
      </x:c>
      <x:c r="E416" s="142" t="str">
        <x:v>text_or_unknown</x:v>
      </x:c>
      <x:c r="F416" s="142" t="str">
        <x:v>Packet completion: record, court, case, filing, or form detail</x:v>
      </x:c>
      <x:c r="G416" s="56" t="str">
        <x:v>https://github.com/Roger-LegalEase/legalease-partner-dashboard-clean/blob/2f0ef0403f16e57544ad0bc86b2d1b1cd08861b3/src/lib/rcap-engine/compiled/profiles/NV-nevada.json</x:v>
      </x:c>
    </x:row>
    <x:row r="417">
      <x:c r="A417" s="55" t="str">
        <x:v>New York</x:v>
      </x:c>
      <x:c r="B417" s="142" t="str">
        <x:v>NY</x:v>
      </x:c>
      <x:c r="C417" s="142" t="str">
        <x:v>Do you have the New York criminal-history report, court docket, or certified disposition needed to verify the record?</x:v>
      </x:c>
      <x:c r="D417" s="142" t="str">
        <x:v>record_readiness</x:v>
      </x:c>
      <x:c r="E417" s="142" t="str">
        <x:v>yes_no_unsure</x:v>
      </x:c>
      <x:c r="F417" s="142" t="str">
        <x:v>Packet completion: record, court, case, filing, or form detail</x:v>
      </x:c>
      <x:c r="G417" s="56" t="str">
        <x:v>https://github.com/Roger-LegalEase/legalease-partner-dashboard-clean/blob/2f0ef0403f16e57544ad0bc86b2d1b1cd08861b3/src/lib/rcap-engine/compiled/profiles/NY-new-york.json</x:v>
      </x:c>
    </x:row>
    <x:row r="418">
      <x:c r="A418" s="55" t="str">
        <x:v>New York</x:v>
      </x:c>
      <x:c r="B418" s="142" t="str">
        <x:v>NY</x:v>
      </x:c>
      <x:c r="C418" s="142" t="str">
        <x:v>When was the case disposed of, dismissed, completed, or discharged?</x:v>
      </x:c>
      <x:c r="D418" s="142" t="str">
        <x:v>timing_and_completion</x:v>
      </x:c>
      <x:c r="E418" s="142" t="str">
        <x:v>date_or_unknown</x:v>
      </x:c>
      <x:c r="F418" s="142" t="str">
        <x:v>Packet completion/final verification: exact date; free check uses approximate timing where appropriate</x:v>
      </x:c>
      <x:c r="G418" s="56" t="str">
        <x:v>https://github.com/Roger-LegalEase/legalease-partner-dashboard-clean/blob/2f0ef0403f16e57544ad0bc86b2d1b1cd08861b3/src/lib/rcap-engine/compiled/profiles/NY-new-york.json</x:v>
      </x:c>
    </x:row>
    <x:row r="419">
      <x:c r="A419" s="55" t="str">
        <x:v>New York</x:v>
      </x:c>
      <x:c r="B419" s="142" t="str">
        <x:v>NY</x:v>
      </x:c>
      <x:c r="C419" s="142" t="str">
        <x:v>Which court or agency handled the case?</x:v>
      </x:c>
      <x:c r="D419" s="142" t="str">
        <x:v>case_details</x:v>
      </x:c>
      <x:c r="E419" s="142" t="str">
        <x:v>text</x:v>
      </x:c>
      <x:c r="F419" s="142" t="str">
        <x:v>Packet completion: record, court, case, filing, or form detail</x:v>
      </x:c>
      <x:c r="G419" s="56" t="str">
        <x:v>https://github.com/Roger-LegalEase/legalease-partner-dashboard-clean/blob/2f0ef0403f16e57544ad0bc86b2d1b1cd08861b3/src/lib/rcap-engine/compiled/profiles/NY-new-york.json</x:v>
      </x:c>
    </x:row>
    <x:row r="420">
      <x:c r="A420" s="55" t="str">
        <x:v>New York</x:v>
      </x:c>
      <x:c r="B420" s="142" t="str">
        <x:v>NY</x:v>
      </x:c>
      <x:c r="C420" s="142" t="str">
        <x:v>What charge, statute, or record description appears on the record?</x:v>
      </x:c>
      <x:c r="D420" s="142" t="str">
        <x:v>case_details</x:v>
      </x:c>
      <x:c r="E420" s="142" t="str">
        <x:v>text_or_unknown</x:v>
      </x:c>
      <x:c r="F420" s="142" t="str">
        <x:v>Packet completion: record, court, case, filing, or form detail</x:v>
      </x:c>
      <x:c r="G420" s="56" t="str">
        <x:v>https://github.com/Roger-LegalEase/legalease-partner-dashboard-clean/blob/2f0ef0403f16e57544ad0bc86b2d1b1cd08861b3/src/lib/rcap-engine/compiled/profiles/NY-new-york.json</x:v>
      </x:c>
    </x:row>
    <x:row r="421">
      <x:c r="A421" s="55" t="str">
        <x:v>New York</x:v>
      </x:c>
      <x:c r="B421" s="142" t="str">
        <x:v>NY</x:v>
      </x:c>
      <x:c r="C421" s="142" t="str">
        <x:v>Do you have court paperwork or a criminal-history record showing the exact charge and outcome?</x:v>
      </x:c>
      <x:c r="D421" s="142" t="str">
        <x:v>record_readiness</x:v>
      </x:c>
      <x:c r="E421" s="142" t="str">
        <x:v>yes_no_unsure</x:v>
      </x:c>
      <x:c r="F421" s="142" t="str">
        <x:v>Packet completion: record, court, case, filing, or form detail</x:v>
      </x:c>
      <x:c r="G421" s="56" t="str">
        <x:v>https://github.com/Roger-LegalEase/legalease-partner-dashboard-clean/blob/2f0ef0403f16e57544ad0bc86b2d1b1cd08861b3/src/lib/rcap-engine/compiled/profiles/NY-new-york.json</x:v>
      </x:c>
    </x:row>
    <x:row r="422">
      <x:c r="A422" s="55" t="str">
        <x:v>New York</x:v>
      </x:c>
      <x:c r="B422" s="142" t="str">
        <x:v>NY</x:v>
      </x:c>
      <x:c r="C422" s="142" t="str">
        <x:v>Where in New York was the case handled?</x:v>
      </x:c>
      <x:c r="D422" s="142" t="str">
        <x:v>case_details</x:v>
      </x:c>
      <x:c r="E422" s="142" t="str">
        <x:v>text_or_unknown</x:v>
      </x:c>
      <x:c r="F422" s="142" t="str">
        <x:v>Packet completion: record, court, case, filing, or form detail</x:v>
      </x:c>
      <x:c r="G422" s="56" t="str">
        <x:v>https://github.com/Roger-LegalEase/legalease-partner-dashboard-clean/blob/2f0ef0403f16e57544ad0bc86b2d1b1cd08861b3/src/lib/rcap-engine/compiled/profiles/NY-new-york.json</x:v>
      </x:c>
    </x:row>
    <x:row r="423">
      <x:c r="A423" s="55" t="str">
        <x:v>New York</x:v>
      </x:c>
      <x:c r="B423" s="142" t="str">
        <x:v>NY</x:v>
      </x:c>
      <x:c r="C423" s="142" t="str">
        <x:v>What case, docket, cause, or arrest number appears on the record?</x:v>
      </x:c>
      <x:c r="D423" s="142" t="str">
        <x:v>case_details</x:v>
      </x:c>
      <x:c r="E423" s="142" t="str">
        <x:v>text_or_unknown</x:v>
      </x:c>
      <x:c r="F423" s="142" t="str">
        <x:v>Packet completion: record, court, case, filing, or form detail</x:v>
      </x:c>
      <x:c r="G423" s="56" t="str">
        <x:v>https://github.com/Roger-LegalEase/legalease-partner-dashboard-clean/blob/2f0ef0403f16e57544ad0bc86b2d1b1cd08861b3/src/lib/rcap-engine/compiled/profiles/NY-new-york.json</x:v>
      </x:c>
    </x:row>
    <x:row r="424">
      <x:c r="A424" s="55" t="str">
        <x:v>Ohio</x:v>
      </x:c>
      <x:c r="B424" s="142" t="str">
        <x:v>OH</x:v>
      </x:c>
      <x:c r="C424" s="142" t="str">
        <x:v>Which court or agency handled the case?</x:v>
      </x:c>
      <x:c r="D424" s="142" t="str">
        <x:v>case_details</x:v>
      </x:c>
      <x:c r="E424" s="142" t="str">
        <x:v>text</x:v>
      </x:c>
      <x:c r="F424" s="142" t="str">
        <x:v>Packet completion: record, court, case, filing, or form detail</x:v>
      </x:c>
      <x:c r="G424" s="56" t="str">
        <x:v>https://github.com/Roger-LegalEase/legalease-partner-dashboard-clean/blob/2f0ef0403f16e57544ad0bc86b2d1b1cd08861b3/src/lib/rcap-engine/compiled/profiles/OH-ohio.json</x:v>
      </x:c>
    </x:row>
    <x:row r="425">
      <x:c r="A425" s="55" t="str">
        <x:v>Ohio</x:v>
      </x:c>
      <x:c r="B425" s="142" t="str">
        <x:v>OH</x:v>
      </x:c>
      <x:c r="C425" s="142" t="str">
        <x:v>What charge, statute, or record description appears on the record?</x:v>
      </x:c>
      <x:c r="D425" s="142" t="str">
        <x:v>case_details</x:v>
      </x:c>
      <x:c r="E425" s="142" t="str">
        <x:v>text_or_unknown</x:v>
      </x:c>
      <x:c r="F425" s="142" t="str">
        <x:v>Packet completion: record, court, case, filing, or form detail</x:v>
      </x:c>
      <x:c r="G425" s="56" t="str">
        <x:v>https://github.com/Roger-LegalEase/legalease-partner-dashboard-clean/blob/2f0ef0403f16e57544ad0bc86b2d1b1cd08861b3/src/lib/rcap-engine/compiled/profiles/OH-ohio.json</x:v>
      </x:c>
    </x:row>
    <x:row r="426">
      <x:c r="A426" s="55" t="str">
        <x:v>Ohio</x:v>
      </x:c>
      <x:c r="B426" s="142" t="str">
        <x:v>OH</x:v>
      </x:c>
      <x:c r="C426" s="142" t="str">
        <x:v>Do you have court paperwork or a criminal-history record showing the exact charge and outcome?</x:v>
      </x:c>
      <x:c r="D426" s="142" t="str">
        <x:v>record_readiness</x:v>
      </x:c>
      <x:c r="E426" s="142" t="str">
        <x:v>yes_no_unsure</x:v>
      </x:c>
      <x:c r="F426" s="142" t="str">
        <x:v>Packet completion: record, court, case, filing, or form detail</x:v>
      </x:c>
      <x:c r="G426" s="56" t="str">
        <x:v>https://github.com/Roger-LegalEase/legalease-partner-dashboard-clean/blob/2f0ef0403f16e57544ad0bc86b2d1b1cd08861b3/src/lib/rcap-engine/compiled/profiles/OH-ohio.json</x:v>
      </x:c>
    </x:row>
    <x:row r="427">
      <x:c r="A427" s="55" t="str">
        <x:v>Ohio</x:v>
      </x:c>
      <x:c r="B427" s="142" t="str">
        <x:v>OH</x:v>
      </x:c>
      <x:c r="C427" s="142" t="str">
        <x:v>Where in Ohio was the case handled?</x:v>
      </x:c>
      <x:c r="D427" s="142" t="str">
        <x:v>case_details</x:v>
      </x:c>
      <x:c r="E427" s="142" t="str">
        <x:v>text_or_unknown</x:v>
      </x:c>
      <x:c r="F427" s="142" t="str">
        <x:v>Packet completion: record, court, case, filing, or form detail</x:v>
      </x:c>
      <x:c r="G427" s="56" t="str">
        <x:v>https://github.com/Roger-LegalEase/legalease-partner-dashboard-clean/blob/2f0ef0403f16e57544ad0bc86b2d1b1cd08861b3/src/lib/rcap-engine/compiled/profiles/OH-ohio.json</x:v>
      </x:c>
    </x:row>
    <x:row r="428">
      <x:c r="A428" s="55" t="str">
        <x:v>Ohio</x:v>
      </x:c>
      <x:c r="B428" s="142" t="str">
        <x:v>OH</x:v>
      </x:c>
      <x:c r="C428" s="142" t="str">
        <x:v>What case, docket, cause, or arrest number appears on the record?</x:v>
      </x:c>
      <x:c r="D428" s="142" t="str">
        <x:v>case_details</x:v>
      </x:c>
      <x:c r="E428" s="142" t="str">
        <x:v>text_or_unknown</x:v>
      </x:c>
      <x:c r="F428" s="142" t="str">
        <x:v>Packet completion: record, court, case, filing, or form detail</x:v>
      </x:c>
      <x:c r="G428" s="56" t="str">
        <x:v>https://github.com/Roger-LegalEase/legalease-partner-dashboard-clean/blob/2f0ef0403f16e57544ad0bc86b2d1b1cd08861b3/src/lib/rcap-engine/compiled/profiles/OH-ohio.json</x:v>
      </x:c>
    </x:row>
    <x:row r="429">
      <x:c r="A429" s="55" t="str">
        <x:v>Oklahoma</x:v>
      </x:c>
      <x:c r="B429" s="142" t="str">
        <x:v>OK</x:v>
      </x:c>
      <x:c r="C429" s="142" t="str">
        <x:v>When was the case disposed of, dismissed, completed, or discharged?</x:v>
      </x:c>
      <x:c r="D429" s="142" t="str">
        <x:v>timing_and_completion</x:v>
      </x:c>
      <x:c r="E429" s="142" t="str">
        <x:v>date_or_unknown</x:v>
      </x:c>
      <x:c r="F429" s="142" t="str">
        <x:v>Packet completion/final verification: exact date; free check uses approximate timing where appropriate</x:v>
      </x:c>
      <x:c r="G429" s="56" t="str">
        <x:v>https://github.com/Roger-LegalEase/legalease-partner-dashboard-clean/blob/2f0ef0403f16e57544ad0bc86b2d1b1cd08861b3/src/lib/rcap-engine/compiled/profiles/OK-oklahoma.json</x:v>
      </x:c>
    </x:row>
    <x:row r="430">
      <x:c r="A430" s="55" t="str">
        <x:v>Oklahoma</x:v>
      </x:c>
      <x:c r="B430" s="142" t="str">
        <x:v>OK</x:v>
      </x:c>
      <x:c r="C430" s="142" t="str">
        <x:v>Which court or agency handled the case?</x:v>
      </x:c>
      <x:c r="D430" s="142" t="str">
        <x:v>case_details</x:v>
      </x:c>
      <x:c r="E430" s="142" t="str">
        <x:v>text</x:v>
      </x:c>
      <x:c r="F430" s="142" t="str">
        <x:v>Packet completion: record, court, case, filing, or form detail</x:v>
      </x:c>
      <x:c r="G430" s="56" t="str">
        <x:v>https://github.com/Roger-LegalEase/legalease-partner-dashboard-clean/blob/2f0ef0403f16e57544ad0bc86b2d1b1cd08861b3/src/lib/rcap-engine/compiled/profiles/OK-oklahoma.json</x:v>
      </x:c>
    </x:row>
    <x:row r="431">
      <x:c r="A431" s="55" t="str">
        <x:v>Oklahoma</x:v>
      </x:c>
      <x:c r="B431" s="142" t="str">
        <x:v>OK</x:v>
      </x:c>
      <x:c r="C431" s="142" t="str">
        <x:v>What charge, statute, or record description appears on the record?</x:v>
      </x:c>
      <x:c r="D431" s="142" t="str">
        <x:v>case_details</x:v>
      </x:c>
      <x:c r="E431" s="142" t="str">
        <x:v>text_or_unknown</x:v>
      </x:c>
      <x:c r="F431" s="142" t="str">
        <x:v>Packet completion: record, court, case, filing, or form detail</x:v>
      </x:c>
      <x:c r="G431" s="56" t="str">
        <x:v>https://github.com/Roger-LegalEase/legalease-partner-dashboard-clean/blob/2f0ef0403f16e57544ad0bc86b2d1b1cd08861b3/src/lib/rcap-engine/compiled/profiles/OK-oklahoma.json</x:v>
      </x:c>
    </x:row>
    <x:row r="432">
      <x:c r="A432" s="55" t="str">
        <x:v>Oklahoma</x:v>
      </x:c>
      <x:c r="B432" s="142" t="str">
        <x:v>OK</x:v>
      </x:c>
      <x:c r="C432" s="142" t="str">
        <x:v>Do you have court paperwork or a criminal-history record showing the exact charge and outcome?</x:v>
      </x:c>
      <x:c r="D432" s="142" t="str">
        <x:v>record_readiness</x:v>
      </x:c>
      <x:c r="E432" s="142" t="str">
        <x:v>yes_no_unsure</x:v>
      </x:c>
      <x:c r="F432" s="142" t="str">
        <x:v>Packet completion: record, court, case, filing, or form detail</x:v>
      </x:c>
      <x:c r="G432" s="56" t="str">
        <x:v>https://github.com/Roger-LegalEase/legalease-partner-dashboard-clean/blob/2f0ef0403f16e57544ad0bc86b2d1b1cd08861b3/src/lib/rcap-engine/compiled/profiles/OK-oklahoma.json</x:v>
      </x:c>
    </x:row>
    <x:row r="433">
      <x:c r="A433" s="55" t="str">
        <x:v>Oklahoma</x:v>
      </x:c>
      <x:c r="B433" s="142" t="str">
        <x:v>OK</x:v>
      </x:c>
      <x:c r="C433" s="142" t="str">
        <x:v>Where in Oklahoma was the case handled?</x:v>
      </x:c>
      <x:c r="D433" s="142" t="str">
        <x:v>case_details</x:v>
      </x:c>
      <x:c r="E433" s="142" t="str">
        <x:v>text_or_unknown</x:v>
      </x:c>
      <x:c r="F433" s="142" t="str">
        <x:v>Packet completion: record, court, case, filing, or form detail</x:v>
      </x:c>
      <x:c r="G433" s="56" t="str">
        <x:v>https://github.com/Roger-LegalEase/legalease-partner-dashboard-clean/blob/2f0ef0403f16e57544ad0bc86b2d1b1cd08861b3/src/lib/rcap-engine/compiled/profiles/OK-oklahoma.json</x:v>
      </x:c>
    </x:row>
    <x:row r="434">
      <x:c r="A434" s="55" t="str">
        <x:v>Oklahoma</x:v>
      </x:c>
      <x:c r="B434" s="142" t="str">
        <x:v>OK</x:v>
      </x:c>
      <x:c r="C434" s="142" t="str">
        <x:v>What case, docket, cause, or arrest number appears on the record?</x:v>
      </x:c>
      <x:c r="D434" s="142" t="str">
        <x:v>case_details</x:v>
      </x:c>
      <x:c r="E434" s="142" t="str">
        <x:v>text_or_unknown</x:v>
      </x:c>
      <x:c r="F434" s="142" t="str">
        <x:v>Packet completion: record, court, case, filing, or form detail</x:v>
      </x:c>
      <x:c r="G434" s="56" t="str">
        <x:v>https://github.com/Roger-LegalEase/legalease-partner-dashboard-clean/blob/2f0ef0403f16e57544ad0bc86b2d1b1cd08861b3/src/lib/rcap-engine/compiled/profiles/OK-oklahoma.json</x:v>
      </x:c>
    </x:row>
    <x:row r="435">
      <x:c r="A435" s="55" t="str">
        <x:v>Oregon</x:v>
      </x:c>
      <x:c r="B435" s="142" t="str">
        <x:v>OR</x:v>
      </x:c>
      <x:c r="C435" s="142" t="str">
        <x:v>When was the case disposed of, dismissed, completed, or discharged?</x:v>
      </x:c>
      <x:c r="D435" s="142" t="str">
        <x:v>timing_and_completion</x:v>
      </x:c>
      <x:c r="E435" s="142" t="str">
        <x:v>date_or_unknown</x:v>
      </x:c>
      <x:c r="F435" s="142" t="str">
        <x:v>Packet completion/final verification: exact date; free check uses approximate timing where appropriate</x:v>
      </x:c>
      <x:c r="G435" s="56" t="str">
        <x:v>https://github.com/Roger-LegalEase/legalease-partner-dashboard-clean/blob/2f0ef0403f16e57544ad0bc86b2d1b1cd08861b3/src/lib/rcap-engine/compiled/profiles/OR-oregon.json</x:v>
      </x:c>
    </x:row>
    <x:row r="436">
      <x:c r="A436" s="55" t="str">
        <x:v>Oregon</x:v>
      </x:c>
      <x:c r="B436" s="142" t="str">
        <x:v>OR</x:v>
      </x:c>
      <x:c r="C436" s="142" t="str">
        <x:v>What Oregon county, parish, borough, district, or local filing area handled the case?</x:v>
      </x:c>
      <x:c r="D436" s="142" t="str">
        <x:v>case_details</x:v>
      </x:c>
      <x:c r="E436" s="142" t="str">
        <x:v>text</x:v>
      </x:c>
      <x:c r="F436" s="142" t="str">
        <x:v>Packet completion: record, court, case, filing, or form detail</x:v>
      </x:c>
      <x:c r="G436" s="56" t="str">
        <x:v>https://github.com/Roger-LegalEase/legalease-partner-dashboard-clean/blob/2f0ef0403f16e57544ad0bc86b2d1b1cd08861b3/src/lib/rcap-engine/compiled/profiles/OR-oregon.json</x:v>
      </x:c>
    </x:row>
    <x:row r="437">
      <x:c r="A437" s="55" t="str">
        <x:v>Oregon</x:v>
      </x:c>
      <x:c r="B437" s="142" t="str">
        <x:v>OR</x:v>
      </x:c>
      <x:c r="C437" s="142" t="str">
        <x:v>Which court or agency handled the case?</x:v>
      </x:c>
      <x:c r="D437" s="142" t="str">
        <x:v>case_details</x:v>
      </x:c>
      <x:c r="E437" s="142" t="str">
        <x:v>text</x:v>
      </x:c>
      <x:c r="F437" s="142" t="str">
        <x:v>Packet completion: record, court, case, filing, or form detail</x:v>
      </x:c>
      <x:c r="G437" s="56" t="str">
        <x:v>https://github.com/Roger-LegalEase/legalease-partner-dashboard-clean/blob/2f0ef0403f16e57544ad0bc86b2d1b1cd08861b3/src/lib/rcap-engine/compiled/profiles/OR-oregon.json</x:v>
      </x:c>
    </x:row>
    <x:row r="438">
      <x:c r="A438" s="55" t="str">
        <x:v>Oregon</x:v>
      </x:c>
      <x:c r="B438" s="142" t="str">
        <x:v>OR</x:v>
      </x:c>
      <x:c r="C438" s="142" t="str">
        <x:v>What charge, statute, or record description appears on the record?</x:v>
      </x:c>
      <x:c r="D438" s="142" t="str">
        <x:v>case_details</x:v>
      </x:c>
      <x:c r="E438" s="142" t="str">
        <x:v>text_or_unknown</x:v>
      </x:c>
      <x:c r="F438" s="142" t="str">
        <x:v>Packet completion: record, court, case, filing, or form detail</x:v>
      </x:c>
      <x:c r="G438" s="56" t="str">
        <x:v>https://github.com/Roger-LegalEase/legalease-partner-dashboard-clean/blob/2f0ef0403f16e57544ad0bc86b2d1b1cd08861b3/src/lib/rcap-engine/compiled/profiles/OR-oregon.json</x:v>
      </x:c>
    </x:row>
    <x:row r="439">
      <x:c r="A439" s="55" t="str">
        <x:v>Oregon</x:v>
      </x:c>
      <x:c r="B439" s="142" t="str">
        <x:v>OR</x:v>
      </x:c>
      <x:c r="C439" s="142" t="str">
        <x:v>Do you have court paperwork or a criminal-history record showing the exact charge and outcome?</x:v>
      </x:c>
      <x:c r="D439" s="142" t="str">
        <x:v>record_readiness</x:v>
      </x:c>
      <x:c r="E439" s="142" t="str">
        <x:v>yes_no_unsure</x:v>
      </x:c>
      <x:c r="F439" s="142" t="str">
        <x:v>Packet completion: record, court, case, filing, or form detail</x:v>
      </x:c>
      <x:c r="G439" s="56" t="str">
        <x:v>https://github.com/Roger-LegalEase/legalease-partner-dashboard-clean/blob/2f0ef0403f16e57544ad0bc86b2d1b1cd08861b3/src/lib/rcap-engine/compiled/profiles/OR-oregon.json</x:v>
      </x:c>
    </x:row>
    <x:row r="440">
      <x:c r="A440" s="55" t="str">
        <x:v>Oregon</x:v>
      </x:c>
      <x:c r="B440" s="142" t="str">
        <x:v>OR</x:v>
      </x:c>
      <x:c r="C440" s="142" t="str">
        <x:v>Where in Oregon was the case handled?</x:v>
      </x:c>
      <x:c r="D440" s="142" t="str">
        <x:v>case_details</x:v>
      </x:c>
      <x:c r="E440" s="142" t="str">
        <x:v>text_or_unknown</x:v>
      </x:c>
      <x:c r="F440" s="142" t="str">
        <x:v>Packet completion: record, court, case, filing, or form detail</x:v>
      </x:c>
      <x:c r="G440" s="56" t="str">
        <x:v>https://github.com/Roger-LegalEase/legalease-partner-dashboard-clean/blob/2f0ef0403f16e57544ad0bc86b2d1b1cd08861b3/src/lib/rcap-engine/compiled/profiles/OR-oregon.json</x:v>
      </x:c>
    </x:row>
    <x:row r="441">
      <x:c r="A441" s="55" t="str">
        <x:v>Oregon</x:v>
      </x:c>
      <x:c r="B441" s="142" t="str">
        <x:v>OR</x:v>
      </x:c>
      <x:c r="C441" s="142" t="str">
        <x:v>What case, docket, cause, or arrest number appears on the record?</x:v>
      </x:c>
      <x:c r="D441" s="142" t="str">
        <x:v>case_details</x:v>
      </x:c>
      <x:c r="E441" s="142" t="str">
        <x:v>text_or_unknown</x:v>
      </x:c>
      <x:c r="F441" s="142" t="str">
        <x:v>Packet completion: record, court, case, filing, or form detail</x:v>
      </x:c>
      <x:c r="G441" s="56" t="str">
        <x:v>https://github.com/Roger-LegalEase/legalease-partner-dashboard-clean/blob/2f0ef0403f16e57544ad0bc86b2d1b1cd08861b3/src/lib/rcap-engine/compiled/profiles/OR-oregon.json</x:v>
      </x:c>
    </x:row>
    <x:row r="442">
      <x:c r="A442" s="55" t="str">
        <x:v>Pennsylvania</x:v>
      </x:c>
      <x:c r="B442" s="142" t="str">
        <x:v>PA</x:v>
      </x:c>
      <x:c r="C442" s="142" t="str">
        <x:v>1 Was the case in Pennsylvania?</x:v>
      </x:c>
      <x:c r="D442" s="142" t="str">
        <x:v>state_specific_eligibility</x:v>
      </x:c>
      <x:c r="E442" s="142" t="str">
        <x:v>text_or_choice</x:v>
      </x:c>
      <x:c r="F442" s="142" t="str">
        <x:v>Packet completion or final verification: source questionnaire detail is not part of the short free check</x:v>
      </x:c>
      <x:c r="G442" s="56" t="str">
        <x:v>https://github.com/Roger-LegalEase/legalease-partner-dashboard-clean/blob/2f0ef0403f16e57544ad0bc86b2d1b1cd08861b3/src/lib/rcap-engine/compiled/profiles/PA-pennsylvania.json</x:v>
      </x:c>
    </x:row>
    <x:row r="443">
      <x:c r="A443" s="55" t="str">
        <x:v>Pennsylvania</x:v>
      </x:c>
      <x:c r="B443" s="142" t="str">
        <x:v>PA</x:v>
      </x:c>
      <x:c r="C443" s="142" t="str">
        <x:v>2 Which county?</x:v>
      </x:c>
      <x:c r="D443" s="142" t="str">
        <x:v>state_specific_eligibility</x:v>
      </x:c>
      <x:c r="E443" s="142" t="str">
        <x:v>text_or_choice</x:v>
      </x:c>
      <x:c r="F443" s="142" t="str">
        <x:v>Packet completion or final verification: source questionnaire detail is not part of the short free check</x:v>
      </x:c>
      <x:c r="G443" s="56" t="str">
        <x:v>https://github.com/Roger-LegalEase/legalease-partner-dashboard-clean/blob/2f0ef0403f16e57544ad0bc86b2d1b1cd08861b3/src/lib/rcap-engine/compiled/profiles/PA-pennsylvania.json</x:v>
      </x:c>
    </x:row>
    <x:row r="444">
      <x:c r="A444" s="55" t="str">
        <x:v>Pennsylvania</x:v>
      </x:c>
      <x:c r="B444" s="142" t="str">
        <x:v>PA</x:v>
      </x:c>
      <x:c r="C444" s="142" t="str">
        <x:v>3 Which court?</x:v>
      </x:c>
      <x:c r="D444" s="142" t="str">
        <x:v>state_specific_eligibility</x:v>
      </x:c>
      <x:c r="E444" s="142" t="str">
        <x:v>text_or_choice</x:v>
      </x:c>
      <x:c r="F444" s="142" t="str">
        <x:v>Packet completion or final verification: source questionnaire detail is not part of the short free check</x:v>
      </x:c>
      <x:c r="G444" s="56" t="str">
        <x:v>https://github.com/Roger-LegalEase/legalease-partner-dashboard-clean/blob/2f0ef0403f16e57544ad0bc86b2d1b1cd08861b3/src/lib/rcap-engine/compiled/profiles/PA-pennsylvania.json</x:v>
      </x:c>
    </x:row>
    <x:row r="445">
      <x:c r="A445" s="55" t="str">
        <x:v>Pennsylvania</x:v>
      </x:c>
      <x:c r="B445" s="142" t="str">
        <x:v>PA</x:v>
      </x:c>
      <x:c r="C445" s="142" t="str">
        <x:v>Magisterial District Court?</x:v>
      </x:c>
      <x:c r="D445" s="142" t="str">
        <x:v>state_specific_eligibility</x:v>
      </x:c>
      <x:c r="E445" s="142" t="str">
        <x:v>text_or_choice</x:v>
      </x:c>
      <x:c r="F445" s="142" t="str">
        <x:v>Packet completion or final verification: source questionnaire detail is not part of the short free check</x:v>
      </x:c>
      <x:c r="G445" s="56" t="str">
        <x:v>https://github.com/Roger-LegalEase/legalease-partner-dashboard-clean/blob/2f0ef0403f16e57544ad0bc86b2d1b1cd08861b3/src/lib/rcap-engine/compiled/profiles/PA-pennsylvania.json</x:v>
      </x:c>
    </x:row>
    <x:row r="446">
      <x:c r="A446" s="55" t="str">
        <x:v>Pennsylvania</x:v>
      </x:c>
      <x:c r="B446" s="142" t="str">
        <x:v>PA</x:v>
      </x:c>
      <x:c r="C446" s="142" t="str">
        <x:v>Philadelphia Municipal Court?</x:v>
      </x:c>
      <x:c r="D446" s="142" t="str">
        <x:v>state_specific_eligibility</x:v>
      </x:c>
      <x:c r="E446" s="142" t="str">
        <x:v>text_or_choice</x:v>
      </x:c>
      <x:c r="F446" s="142" t="str">
        <x:v>Packet completion or final verification: source questionnaire detail is not part of the short free check</x:v>
      </x:c>
      <x:c r="G446" s="56" t="str">
        <x:v>https://github.com/Roger-LegalEase/legalease-partner-dashboard-clean/blob/2f0ef0403f16e57544ad0bc86b2d1b1cd08861b3/src/lib/rcap-engine/compiled/profiles/PA-pennsylvania.json</x:v>
      </x:c>
    </x:row>
    <x:row r="447">
      <x:c r="A447" s="55" t="str">
        <x:v>Pennsylvania</x:v>
      </x:c>
      <x:c r="B447" s="142" t="str">
        <x:v>PA</x:v>
      </x:c>
      <x:c r="C447" s="142" t="str">
        <x:v>Court of Common Pleas?</x:v>
      </x:c>
      <x:c r="D447" s="142" t="str">
        <x:v>state_specific_eligibility</x:v>
      </x:c>
      <x:c r="E447" s="142" t="str">
        <x:v>text_or_choice</x:v>
      </x:c>
      <x:c r="F447" s="142" t="str">
        <x:v>Packet completion or final verification: source questionnaire detail is not part of the short free check</x:v>
      </x:c>
      <x:c r="G447" s="56" t="str">
        <x:v>https://github.com/Roger-LegalEase/legalease-partner-dashboard-clean/blob/2f0ef0403f16e57544ad0bc86b2d1b1cd08861b3/src/lib/rcap-engine/compiled/profiles/PA-pennsylvania.json</x:v>
      </x:c>
    </x:row>
    <x:row r="448">
      <x:c r="A448" s="55" t="str">
        <x:v>Pennsylvania</x:v>
      </x:c>
      <x:c r="B448" s="142" t="str">
        <x:v>PA</x:v>
      </x:c>
      <x:c r="C448" s="142" t="str">
        <x:v>4 What is the docket number?</x:v>
      </x:c>
      <x:c r="D448" s="142" t="str">
        <x:v>state_specific_eligibility</x:v>
      </x:c>
      <x:c r="E448" s="142" t="str">
        <x:v>text_or_choice</x:v>
      </x:c>
      <x:c r="F448" s="142" t="str">
        <x:v>Packet completion or final verification: source questionnaire detail is not part of the short free check</x:v>
      </x:c>
      <x:c r="G448" s="56" t="str">
        <x:v>https://github.com/Roger-LegalEase/legalease-partner-dashboard-clean/blob/2f0ef0403f16e57544ad0bc86b2d1b1cd08861b3/src/lib/rcap-engine/compiled/profiles/PA-pennsylvania.json</x:v>
      </x:c>
    </x:row>
    <x:row r="449">
      <x:c r="A449" s="55" t="str">
        <x:v>Pennsylvania</x:v>
      </x:c>
      <x:c r="B449" s="142" t="str">
        <x:v>PA</x:v>
      </x:c>
      <x:c r="C449" s="142" t="str">
        <x:v>5 What is the OTN?</x:v>
      </x:c>
      <x:c r="D449" s="142" t="str">
        <x:v>state_specific_eligibility</x:v>
      </x:c>
      <x:c r="E449" s="142" t="str">
        <x:v>text_or_choice</x:v>
      </x:c>
      <x:c r="F449" s="142" t="str">
        <x:v>Packet completion or final verification: source questionnaire detail is not part of the short free check</x:v>
      </x:c>
      <x:c r="G449" s="56" t="str">
        <x:v>https://github.com/Roger-LegalEase/legalease-partner-dashboard-clean/blob/2f0ef0403f16e57544ad0bc86b2d1b1cd08861b3/src/lib/rcap-engine/compiled/profiles/PA-pennsylvania.json</x:v>
      </x:c>
    </x:row>
    <x:row r="450">
      <x:c r="A450" s="55" t="str">
        <x:v>Pennsylvania</x:v>
      </x:c>
      <x:c r="B450" s="142" t="str">
        <x:v>PA</x:v>
      </x:c>
      <x:c r="C450" s="142" t="str">
        <x:v>6 What was the charge and statute?</x:v>
      </x:c>
      <x:c r="D450" s="142" t="str">
        <x:v>state_specific_eligibility</x:v>
      </x:c>
      <x:c r="E450" s="142" t="str">
        <x:v>text_or_choice</x:v>
      </x:c>
      <x:c r="F450" s="142" t="str">
        <x:v>Packet completion or final verification: source questionnaire detail is not part of the short free check</x:v>
      </x:c>
      <x:c r="G450" s="56" t="str">
        <x:v>https://github.com/Roger-LegalEase/legalease-partner-dashboard-clean/blob/2f0ef0403f16e57544ad0bc86b2d1b1cd08861b3/src/lib/rcap-engine/compiled/profiles/PA-pennsylvania.json</x:v>
      </x:c>
    </x:row>
    <x:row r="451">
      <x:c r="A451" s="55" t="str">
        <x:v>Pennsylvania</x:v>
      </x:c>
      <x:c r="B451" s="142" t="str">
        <x:v>PA</x:v>
      </x:c>
      <x:c r="C451" s="142" t="str">
        <x:v>7 What was the grade?</x:v>
      </x:c>
      <x:c r="D451" s="142" t="str">
        <x:v>state_specific_eligibility</x:v>
      </x:c>
      <x:c r="E451" s="142" t="str">
        <x:v>text_or_choice</x:v>
      </x:c>
      <x:c r="F451" s="142" t="str">
        <x:v>Packet completion or final verification: source questionnaire detail is not part of the short free check</x:v>
      </x:c>
      <x:c r="G451" s="56" t="str">
        <x:v>https://github.com/Roger-LegalEase/legalease-partner-dashboard-clean/blob/2f0ef0403f16e57544ad0bc86b2d1b1cd08861b3/src/lib/rcap-engine/compiled/profiles/PA-pennsylvania.json</x:v>
      </x:c>
    </x:row>
    <x:row r="452">
      <x:c r="A452" s="55" t="str">
        <x:v>Pennsylvania</x:v>
      </x:c>
      <x:c r="B452" s="142" t="str">
        <x:v>PA</x:v>
      </x:c>
      <x:c r="C452" s="142" t="str">
        <x:v>Ungraded misdemeanor?</x:v>
      </x:c>
      <x:c r="D452" s="142" t="str">
        <x:v>state_specific_eligibility</x:v>
      </x:c>
      <x:c r="E452" s="142" t="str">
        <x:v>text_or_choice</x:v>
      </x:c>
      <x:c r="F452" s="142" t="str">
        <x:v>Packet completion or final verification: source questionnaire detail is not part of the short free check</x:v>
      </x:c>
      <x:c r="G452" s="56" t="str">
        <x:v>https://github.com/Roger-LegalEase/legalease-partner-dashboard-clean/blob/2f0ef0403f16e57544ad0bc86b2d1b1cd08861b3/src/lib/rcap-engine/compiled/profiles/PA-pennsylvania.json</x:v>
      </x:c>
    </x:row>
    <x:row r="453">
      <x:c r="A453" s="55" t="str">
        <x:v>Pennsylvania</x:v>
      </x:c>
      <x:c r="B453" s="142" t="str">
        <x:v>PA</x:v>
      </x:c>
      <x:c r="C453" s="142" t="str">
        <x:v>8 What was the final disposition?</x:v>
      </x:c>
      <x:c r="D453" s="142" t="str">
        <x:v>state_specific_eligibility</x:v>
      </x:c>
      <x:c r="E453" s="142" t="str">
        <x:v>text_or_choice</x:v>
      </x:c>
      <x:c r="F453" s="142" t="str">
        <x:v>Packet completion or final verification: source questionnaire detail is not part of the short free check</x:v>
      </x:c>
      <x:c r="G453" s="56" t="str">
        <x:v>https://github.com/Roger-LegalEase/legalease-partner-dashboard-clean/blob/2f0ef0403f16e57544ad0bc86b2d1b1cd08861b3/src/lib/rcap-engine/compiled/profiles/PA-pennsylvania.json</x:v>
      </x:c>
    </x:row>
    <x:row r="454">
      <x:c r="A454" s="55" t="str">
        <x:v>Pennsylvania</x:v>
      </x:c>
      <x:c r="B454" s="142" t="str">
        <x:v>PA</x:v>
      </x:c>
      <x:c r="C454" s="142" t="str">
        <x:v>Nolo contendere?</x:v>
      </x:c>
      <x:c r="D454" s="142" t="str">
        <x:v>state_specific_eligibility</x:v>
      </x:c>
      <x:c r="E454" s="142" t="str">
        <x:v>text_or_choice</x:v>
      </x:c>
      <x:c r="F454" s="142" t="str">
        <x:v>Packet completion or final verification: source questionnaire detail is not part of the short free check</x:v>
      </x:c>
      <x:c r="G454" s="56" t="str">
        <x:v>https://github.com/Roger-LegalEase/legalease-partner-dashboard-clean/blob/2f0ef0403f16e57544ad0bc86b2d1b1cd08861b3/src/lib/rcap-engine/compiled/profiles/PA-pennsylvania.json</x:v>
      </x:c>
    </x:row>
    <x:row r="455">
      <x:c r="A455" s="55" t="str">
        <x:v>Pennsylvania</x:v>
      </x:c>
      <x:c r="B455" s="142" t="str">
        <x:v>PA</x:v>
      </x:c>
      <x:c r="C455" s="142" t="str">
        <x:v>Dismissed?</x:v>
      </x:c>
      <x:c r="D455" s="142" t="str">
        <x:v>state_specific_eligibility</x:v>
      </x:c>
      <x:c r="E455" s="142" t="str">
        <x:v>text_or_choice</x:v>
      </x:c>
      <x:c r="F455" s="142" t="str">
        <x:v>Packet completion or final verification: source questionnaire detail is not part of the short free check</x:v>
      </x:c>
      <x:c r="G455" s="56" t="str">
        <x:v>https://github.com/Roger-LegalEase/legalease-partner-dashboard-clean/blob/2f0ef0403f16e57544ad0bc86b2d1b1cd08861b3/src/lib/rcap-engine/compiled/profiles/PA-pennsylvania.json</x:v>
      </x:c>
    </x:row>
    <x:row r="456">
      <x:c r="A456" s="55" t="str">
        <x:v>Pennsylvania</x:v>
      </x:c>
      <x:c r="B456" s="142" t="str">
        <x:v>PA</x:v>
      </x:c>
      <x:c r="C456" s="142" t="str">
        <x:v>Withdrawn?</x:v>
      </x:c>
      <x:c r="D456" s="142" t="str">
        <x:v>state_specific_eligibility</x:v>
      </x:c>
      <x:c r="E456" s="142" t="str">
        <x:v>text_or_choice</x:v>
      </x:c>
      <x:c r="F456" s="142" t="str">
        <x:v>Packet completion or final verification: source questionnaire detail is not part of the short free check</x:v>
      </x:c>
      <x:c r="G456" s="56" t="str">
        <x:v>https://github.com/Roger-LegalEase/legalease-partner-dashboard-clean/blob/2f0ef0403f16e57544ad0bc86b2d1b1cd08861b3/src/lib/rcap-engine/compiled/profiles/PA-pennsylvania.json</x:v>
      </x:c>
    </x:row>
    <x:row r="457">
      <x:c r="A457" s="55" t="str">
        <x:v>Pennsylvania</x:v>
      </x:c>
      <x:c r="B457" s="142" t="str">
        <x:v>PA</x:v>
      </x:c>
      <x:c r="C457" s="142" t="str">
        <x:v>Nolle prossed?</x:v>
      </x:c>
      <x:c r="D457" s="142" t="str">
        <x:v>state_specific_eligibility</x:v>
      </x:c>
      <x:c r="E457" s="142" t="str">
        <x:v>text_or_choice</x:v>
      </x:c>
      <x:c r="F457" s="142" t="str">
        <x:v>Packet completion or final verification: source questionnaire detail is not part of the short free check</x:v>
      </x:c>
      <x:c r="G457" s="56" t="str">
        <x:v>https://github.com/Roger-LegalEase/legalease-partner-dashboard-clean/blob/2f0ef0403f16e57544ad0bc86b2d1b1cd08861b3/src/lib/rcap-engine/compiled/profiles/PA-pennsylvania.json</x:v>
      </x:c>
    </x:row>
    <x:row r="458">
      <x:c r="A458" s="55" t="str">
        <x:v>Pennsylvania</x:v>
      </x:c>
      <x:c r="B458" s="142" t="str">
        <x:v>PA</x:v>
      </x:c>
      <x:c r="C458" s="142" t="str">
        <x:v>Not guilty?</x:v>
      </x:c>
      <x:c r="D458" s="142" t="str">
        <x:v>state_specific_eligibility</x:v>
      </x:c>
      <x:c r="E458" s="142" t="str">
        <x:v>text_or_choice</x:v>
      </x:c>
      <x:c r="F458" s="142" t="str">
        <x:v>Packet completion or final verification: source questionnaire detail is not part of the short free check</x:v>
      </x:c>
      <x:c r="G458" s="56" t="str">
        <x:v>https://github.com/Roger-LegalEase/legalease-partner-dashboard-clean/blob/2f0ef0403f16e57544ad0bc86b2d1b1cd08861b3/src/lib/rcap-engine/compiled/profiles/PA-pennsylvania.json</x:v>
      </x:c>
    </x:row>
    <x:row r="459">
      <x:c r="A459" s="55" t="str">
        <x:v>Pennsylvania</x:v>
      </x:c>
      <x:c r="B459" s="142" t="str">
        <x:v>PA</x:v>
      </x:c>
      <x:c r="C459" s="142" t="str">
        <x:v>Conditional pardon?</x:v>
      </x:c>
      <x:c r="D459" s="142" t="str">
        <x:v>state_specific_eligibility</x:v>
      </x:c>
      <x:c r="E459" s="142" t="str">
        <x:v>text_or_choice</x:v>
      </x:c>
      <x:c r="F459" s="142" t="str">
        <x:v>Packet completion or final verification: source questionnaire detail is not part of the short free check</x:v>
      </x:c>
      <x:c r="G459" s="56" t="str">
        <x:v>https://github.com/Roger-LegalEase/legalease-partner-dashboard-clean/blob/2f0ef0403f16e57544ad0bc86b2d1b1cd08861b3/src/lib/rcap-engine/compiled/profiles/PA-pennsylvania.json</x:v>
      </x:c>
    </x:row>
    <x:row r="460">
      <x:c r="A460" s="55" t="str">
        <x:v>Pennsylvania</x:v>
      </x:c>
      <x:c r="B460" s="142" t="str">
        <x:v>PA</x:v>
      </x:c>
      <x:c r="C460" s="142" t="str">
        <x:v>9 Was the person acquitted of all charges from the same conduct/criminal episode, or only some charges?</x:v>
      </x:c>
      <x:c r="D460" s="142" t="str">
        <x:v>state_specific_eligibility</x:v>
      </x:c>
      <x:c r="E460" s="142" t="str">
        <x:v>text_or_choice</x:v>
      </x:c>
      <x:c r="F460" s="142" t="str">
        <x:v>Packet completion or final verification: source questionnaire detail is not part of the short free check</x:v>
      </x:c>
      <x:c r="G460" s="56" t="str">
        <x:v>https://github.com/Roger-LegalEase/legalease-partner-dashboard-clean/blob/2f0ef0403f16e57544ad0bc86b2d1b1cd08861b3/src/lib/rcap-engine/compiled/profiles/PA-pennsylvania.json</x:v>
      </x:c>
    </x:row>
    <x:row r="461">
      <x:c r="A461" s="55" t="str">
        <x:v>Pennsylvania</x:v>
      </x:c>
      <x:c r="B461" s="142" t="str">
        <x:v>PA</x:v>
      </x:c>
      <x:c r="C461" s="142" t="str">
        <x:v>10 Was there ARD, and was it completed?</x:v>
      </x:c>
      <x:c r="D461" s="142" t="str">
        <x:v>state_specific_eligibility</x:v>
      </x:c>
      <x:c r="E461" s="142" t="str">
        <x:v>text_or_choice</x:v>
      </x:c>
      <x:c r="F461" s="142" t="str">
        <x:v>Packet completion or final verification: source questionnaire detail is not part of the short free check</x:v>
      </x:c>
      <x:c r="G461" s="56" t="str">
        <x:v>https://github.com/Roger-LegalEase/legalease-partner-dashboard-clean/blob/2f0ef0403f16e57544ad0bc86b2d1b1cd08861b3/src/lib/rcap-engine/compiled/profiles/PA-pennsylvania.json</x:v>
      </x:c>
    </x:row>
    <x:row r="462">
      <x:c r="A462" s="55" t="str">
        <x:v>Pennsylvania</x:v>
      </x:c>
      <x:c r="B462" s="142" t="str">
        <x:v>PA</x:v>
      </x:c>
      <x:c r="C462" s="142" t="str">
        <x:v>11 Are all fines, costs, and restitution paid?</x:v>
      </x:c>
      <x:c r="D462" s="142" t="str">
        <x:v>state_specific_eligibility</x:v>
      </x:c>
      <x:c r="E462" s="142" t="str">
        <x:v>text_or_choice</x:v>
      </x:c>
      <x:c r="F462" s="142" t="str">
        <x:v>Packet completion or final verification: source questionnaire detail is not part of the short free check</x:v>
      </x:c>
      <x:c r="G462" s="56" t="str">
        <x:v>https://github.com/Roger-LegalEase/legalease-partner-dashboard-clean/blob/2f0ef0403f16e57544ad0bc86b2d1b1cd08861b3/src/lib/rcap-engine/compiled/profiles/PA-pennsylvania.json</x:v>
      </x:c>
    </x:row>
    <x:row r="463">
      <x:c r="A463" s="55" t="str">
        <x:v>Pennsylvania</x:v>
      </x:c>
      <x:c r="B463" s="142" t="str">
        <x:v>PA</x:v>
      </x:c>
      <x:c r="C463" s="142" t="str">
        <x:v>12 Was restitution ordered?</x:v>
      </x:c>
      <x:c r="D463" s="142" t="str">
        <x:v>state_specific_eligibility</x:v>
      </x:c>
      <x:c r="E463" s="142" t="str">
        <x:v>text_or_choice</x:v>
      </x:c>
      <x:c r="F463" s="142" t="str">
        <x:v>Packet completion or final verification: source questionnaire detail is not part of the short free check</x:v>
      </x:c>
      <x:c r="G463" s="56" t="str">
        <x:v>https://github.com/Roger-LegalEase/legalease-partner-dashboard-clean/blob/2f0ef0403f16e57544ad0bc86b2d1b1cd08861b3/src/lib/rcap-engine/compiled/profiles/PA-pennsylvania.json</x:v>
      </x:c>
    </x:row>
    <x:row r="464">
      <x:c r="A464" s="55" t="str">
        <x:v>Pennsylvania</x:v>
      </x:c>
      <x:c r="B464" s="142" t="str">
        <x:v>PA</x:v>
      </x:c>
      <x:c r="C464" s="142" t="str">
        <x:v>13 Was the offense summary-only?</x:v>
      </x:c>
      <x:c r="D464" s="142" t="str">
        <x:v>state_specific_eligibility</x:v>
      </x:c>
      <x:c r="E464" s="142" t="str">
        <x:v>text_or_choice</x:v>
      </x:c>
      <x:c r="F464" s="142" t="str">
        <x:v>Packet completion or final verification: source questionnaire detail is not part of the short free check</x:v>
      </x:c>
      <x:c r="G464" s="56" t="str">
        <x:v>https://github.com/Roger-LegalEase/legalease-partner-dashboard-clean/blob/2f0ef0403f16e57544ad0bc86b2d1b1cd08861b3/src/lib/rcap-engine/compiled/profiles/PA-pennsylvania.json</x:v>
      </x:c>
    </x:row>
    <x:row r="465">
      <x:c r="A465" s="55" t="str">
        <x:v>Pennsylvania</x:v>
      </x:c>
      <x:c r="B465" s="142" t="str">
        <x:v>PA</x:v>
      </x:c>
      <x:c r="C465" s="142" t="str">
        <x:v>14 Has the person been free of arrest or prosecution for five years after a summary conviction?</x:v>
      </x:c>
      <x:c r="D465" s="142" t="str">
        <x:v>state_specific_eligibility</x:v>
      </x:c>
      <x:c r="E465" s="142" t="str">
        <x:v>text_or_choice</x:v>
      </x:c>
      <x:c r="F465" s="142" t="str">
        <x:v>Packet completion or final verification: source questionnaire detail is not part of the short free check</x:v>
      </x:c>
      <x:c r="G465" s="56" t="str">
        <x:v>https://github.com/Roger-LegalEase/legalease-partner-dashboard-clean/blob/2f0ef0403f16e57544ad0bc86b2d1b1cd08861b3/src/lib/rcap-engine/compiled/profiles/PA-pennsylvania.json</x:v>
      </x:c>
    </x:row>
    <x:row r="466">
      <x:c r="A466" s="55" t="str">
        <x:v>Pennsylvania</x:v>
      </x:c>
      <x:c r="B466" s="142" t="str">
        <x:v>PA</x:v>
      </x:c>
      <x:c r="C466" s="142" t="str">
        <x:v>15 Has the person been free from convictions punishable by one or more years for seven or ten years, depending on sealing path?</x:v>
      </x:c>
      <x:c r="D466" s="142" t="str">
        <x:v>state_specific_eligibility</x:v>
      </x:c>
      <x:c r="E466" s="142" t="str">
        <x:v>text_or_choice</x:v>
      </x:c>
      <x:c r="F466" s="142" t="str">
        <x:v>Packet completion or final verification: source questionnaire detail is not part of the short free check</x:v>
      </x:c>
      <x:c r="G466" s="56" t="str">
        <x:v>https://github.com/Roger-LegalEase/legalease-partner-dashboard-clean/blob/2f0ef0403f16e57544ad0bc86b2d1b1cd08861b3/src/lib/rcap-engine/compiled/profiles/PA-pennsylvania.json</x:v>
      </x:c>
    </x:row>
    <x:row r="467">
      <x:c r="A467" s="55" t="str">
        <x:v>Pennsylvania</x:v>
      </x:c>
      <x:c r="B467" s="142" t="str">
        <x:v>PA</x:v>
      </x:c>
      <x:c r="C467" s="142" t="str">
        <x:v>16 Was there any charge involving violence, family offenses, firearms, sex registration, corruption of minors, animal cruelty, DUI, drugs, theft, fraud, or forgery?</x:v>
      </x:c>
      <x:c r="D467" s="142" t="str">
        <x:v>state_specific_eligibility</x:v>
      </x:c>
      <x:c r="E467" s="142" t="str">
        <x:v>text_or_choice</x:v>
      </x:c>
      <x:c r="F467" s="142" t="str">
        <x:v>Packet completion or final verification: source questionnaire detail is not part of the short free check</x:v>
      </x:c>
      <x:c r="G467" s="56" t="str">
        <x:v>https://github.com/Roger-LegalEase/legalease-partner-dashboard-clean/blob/2f0ef0403f16e57544ad0bc86b2d1b1cd08861b3/src/lib/rcap-engine/compiled/profiles/PA-pennsylvania.json</x:v>
      </x:c>
    </x:row>
    <x:row r="468">
      <x:c r="A468" s="55" t="str">
        <x:v>Pennsylvania</x:v>
      </x:c>
      <x:c r="B468" s="142" t="str">
        <x:v>PA</x:v>
      </x:c>
      <x:c r="C468" s="142" t="str">
        <x:v>17 Was there a felony in the same case?</x:v>
      </x:c>
      <x:c r="D468" s="142" t="str">
        <x:v>state_specific_eligibility</x:v>
      </x:c>
      <x:c r="E468" s="142" t="str">
        <x:v>text_or_choice</x:v>
      </x:c>
      <x:c r="F468" s="142" t="str">
        <x:v>Packet completion or final verification: source questionnaire detail is not part of the short free check</x:v>
      </x:c>
      <x:c r="G468" s="56" t="str">
        <x:v>https://github.com/Roger-LegalEase/legalease-partner-dashboard-clean/blob/2f0ef0403f16e57544ad0bc86b2d1b1cd08861b3/src/lib/rcap-engine/compiled/profiles/PA-pennsylvania.json</x:v>
      </x:c>
    </x:row>
    <x:row r="469">
      <x:c r="A469" s="55" t="str">
        <x:v>Pennsylvania</x:v>
      </x:c>
      <x:c r="B469" s="142" t="str">
        <x:v>PA</x:v>
      </x:c>
      <x:c r="C469" s="142" t="str">
        <x:v>18 Does the person have any prior felony, serious misdemeanor, or multiple conviction history?</x:v>
      </x:c>
      <x:c r="D469" s="142" t="str">
        <x:v>state_specific_eligibility</x:v>
      </x:c>
      <x:c r="E469" s="142" t="str">
        <x:v>text_or_choice</x:v>
      </x:c>
      <x:c r="F469" s="142" t="str">
        <x:v>Packet completion or final verification: source questionnaire detail is not part of the short free check</x:v>
      </x:c>
      <x:c r="G469" s="56" t="str">
        <x:v>https://github.com/Roger-LegalEase/legalease-partner-dashboard-clean/blob/2f0ef0403f16e57544ad0bc86b2d1b1cd08861b3/src/lib/rcap-engine/compiled/profiles/PA-pennsylvania.json</x:v>
      </x:c>
    </x:row>
    <x:row r="470">
      <x:c r="A470" s="55" t="str">
        <x:v>Pennsylvania</x:v>
      </x:c>
      <x:c r="B470" s="142" t="str">
        <x:v>PA</x:v>
      </x:c>
      <x:c r="C470" s="142" t="str">
        <x:v>19 Is the person 70 or older?</x:v>
      </x:c>
      <x:c r="D470" s="142" t="str">
        <x:v>state_specific_eligibility</x:v>
      </x:c>
      <x:c r="E470" s="142" t="str">
        <x:v>text_or_choice</x:v>
      </x:c>
      <x:c r="F470" s="142" t="str">
        <x:v>Packet completion or final verification: source questionnaire detail is not part of the short free check</x:v>
      </x:c>
      <x:c r="G470" s="56" t="str">
        <x:v>https://github.com/Roger-LegalEase/legalease-partner-dashboard-clean/blob/2f0ef0403f16e57544ad0bc86b2d1b1cd08861b3/src/lib/rcap-engine/compiled/profiles/PA-pennsylvania.json</x:v>
      </x:c>
    </x:row>
    <x:row r="471">
      <x:c r="A471" s="55" t="str">
        <x:v>Pennsylvania</x:v>
      </x:c>
      <x:c r="B471" s="142" t="str">
        <x:v>PA</x:v>
      </x:c>
      <x:c r="C471" s="142" t="str">
        <x:v>20 Has the person received a pardon?</x:v>
      </x:c>
      <x:c r="D471" s="142" t="str">
        <x:v>state_specific_eligibility</x:v>
      </x:c>
      <x:c r="E471" s="142" t="str">
        <x:v>text_or_choice</x:v>
      </x:c>
      <x:c r="F471" s="142" t="str">
        <x:v>Packet completion or final verification: source questionnaire detail is not part of the short free check</x:v>
      </x:c>
      <x:c r="G471" s="56" t="str">
        <x:v>https://github.com/Roger-LegalEase/legalease-partner-dashboard-clean/blob/2f0ef0403f16e57544ad0bc86b2d1b1cd08861b3/src/lib/rcap-engine/compiled/profiles/PA-pennsylvania.json</x:v>
      </x:c>
    </x:row>
    <x:row r="472">
      <x:c r="A472" s="55" t="str">
        <x:v>Pennsylvania</x:v>
      </x:c>
      <x:c r="B472" s="142" t="str">
        <x:v>PA</x:v>
      </x:c>
      <x:c r="C472" s="142" t="str">
        <x:v>21 Was there trafficking, coercion, exploitation, or prostitution-related conduct?</x:v>
      </x:c>
      <x:c r="D472" s="142" t="str">
        <x:v>state_specific_eligibility</x:v>
      </x:c>
      <x:c r="E472" s="142" t="str">
        <x:v>text_or_choice</x:v>
      </x:c>
      <x:c r="F472" s="142" t="str">
        <x:v>Packet completion or final verification: source questionnaire detail is not part of the short free check</x:v>
      </x:c>
      <x:c r="G472" s="56" t="str">
        <x:v>https://github.com/Roger-LegalEase/legalease-partner-dashboard-clean/blob/2f0ef0403f16e57544ad0bc86b2d1b1cd08861b3/src/lib/rcap-engine/compiled/profiles/PA-pennsylvania.json</x:v>
      </x:c>
    </x:row>
    <x:row r="473">
      <x:c r="A473" s="55" t="str">
        <x:v>Rhode Island</x:v>
      </x:c>
      <x:c r="B473" s="142" t="str">
        <x:v>RI</x:v>
      </x:c>
      <x:c r="C473" s="142" t="str">
        <x:v>1 Was this case in Rhode Island?</x:v>
      </x:c>
      <x:c r="D473" s="142" t="str">
        <x:v>state_specific_eligibility</x:v>
      </x:c>
      <x:c r="E473" s="142" t="str">
        <x:v>text_or_choice</x:v>
      </x:c>
      <x:c r="F473" s="142" t="str">
        <x:v>Packet completion or final verification: source questionnaire detail is not part of the short free check</x:v>
      </x:c>
      <x:c r="G473" s="56" t="str">
        <x:v>https://github.com/Roger-LegalEase/legalease-partner-dashboard-clean/blob/2f0ef0403f16e57544ad0bc86b2d1b1cd08861b3/src/lib/rcap-engine/compiled/profiles/RI-rhode-island.json</x:v>
      </x:c>
    </x:row>
    <x:row r="474">
      <x:c r="A474" s="55" t="str">
        <x:v>Rhode Island</x:v>
      </x:c>
      <x:c r="B474" s="142" t="str">
        <x:v>RI</x:v>
      </x:c>
      <x:c r="C474" s="142" t="str">
        <x:v>2 Which court handled it?</x:v>
      </x:c>
      <x:c r="D474" s="142" t="str">
        <x:v>state_specific_eligibility</x:v>
      </x:c>
      <x:c r="E474" s="142" t="str">
        <x:v>text_or_choice</x:v>
      </x:c>
      <x:c r="F474" s="142" t="str">
        <x:v>Packet completion or final verification: source questionnaire detail is not part of the short free check</x:v>
      </x:c>
      <x:c r="G474" s="56" t="str">
        <x:v>https://github.com/Roger-LegalEase/legalease-partner-dashboard-clean/blob/2f0ef0403f16e57544ad0bc86b2d1b1cd08861b3/src/lib/rcap-engine/compiled/profiles/RI-rhode-island.json</x:v>
      </x:c>
    </x:row>
    <x:row r="475">
      <x:c r="A475" s="55" t="str">
        <x:v>Rhode Island</x:v>
      </x:c>
      <x:c r="B475" s="142" t="str">
        <x:v>RI</x:v>
      </x:c>
      <x:c r="C475" s="142" t="str">
        <x:v>District Court?</x:v>
      </x:c>
      <x:c r="D475" s="142" t="str">
        <x:v>state_specific_eligibility</x:v>
      </x:c>
      <x:c r="E475" s="142" t="str">
        <x:v>text_or_choice</x:v>
      </x:c>
      <x:c r="F475" s="142" t="str">
        <x:v>Packet completion or final verification: source questionnaire detail is not part of the short free check</x:v>
      </x:c>
      <x:c r="G475" s="56" t="str">
        <x:v>https://github.com/Roger-LegalEase/legalease-partner-dashboard-clean/blob/2f0ef0403f16e57544ad0bc86b2d1b1cd08861b3/src/lib/rcap-engine/compiled/profiles/RI-rhode-island.json</x:v>
      </x:c>
    </x:row>
    <x:row r="476">
      <x:c r="A476" s="55" t="str">
        <x:v>Rhode Island</x:v>
      </x:c>
      <x:c r="B476" s="142" t="str">
        <x:v>RI</x:v>
      </x:c>
      <x:c r="C476" s="142" t="str">
        <x:v>Superior Court?</x:v>
      </x:c>
      <x:c r="D476" s="142" t="str">
        <x:v>state_specific_eligibility</x:v>
      </x:c>
      <x:c r="E476" s="142" t="str">
        <x:v>text_or_choice</x:v>
      </x:c>
      <x:c r="F476" s="142" t="str">
        <x:v>Packet completion or final verification: source questionnaire detail is not part of the short free check</x:v>
      </x:c>
      <x:c r="G476" s="56" t="str">
        <x:v>https://github.com/Roger-LegalEase/legalease-partner-dashboard-clean/blob/2f0ef0403f16e57544ad0bc86b2d1b1cd08861b3/src/lib/rcap-engine/compiled/profiles/RI-rhode-island.json</x:v>
      </x:c>
    </x:row>
    <x:row r="477">
      <x:c r="A477" s="55" t="str">
        <x:v>Rhode Island</x:v>
      </x:c>
      <x:c r="B477" s="142" t="str">
        <x:v>RI</x:v>
      </x:c>
      <x:c r="C477" s="142" t="str">
        <x:v>Family Court?</x:v>
      </x:c>
      <x:c r="D477" s="142" t="str">
        <x:v>state_specific_eligibility</x:v>
      </x:c>
      <x:c r="E477" s="142" t="str">
        <x:v>text_or_choice</x:v>
      </x:c>
      <x:c r="F477" s="142" t="str">
        <x:v>Packet completion or final verification: source questionnaire detail is not part of the short free check</x:v>
      </x:c>
      <x:c r="G477" s="56" t="str">
        <x:v>https://github.com/Roger-LegalEase/legalease-partner-dashboard-clean/blob/2f0ef0403f16e57544ad0bc86b2d1b1cd08861b3/src/lib/rcap-engine/compiled/profiles/RI-rhode-island.json</x:v>
      </x:c>
    </x:row>
    <x:row r="478">
      <x:c r="A478" s="55" t="str">
        <x:v>Rhode Island</x:v>
      </x:c>
      <x:c r="B478" s="142" t="str">
        <x:v>RI</x:v>
      </x:c>
      <x:c r="C478" s="142" t="str">
        <x:v>3 What is the case number?</x:v>
      </x:c>
      <x:c r="D478" s="142" t="str">
        <x:v>state_specific_eligibility</x:v>
      </x:c>
      <x:c r="E478" s="142" t="str">
        <x:v>text_or_choice</x:v>
      </x:c>
      <x:c r="F478" s="142" t="str">
        <x:v>Packet completion or final verification: source questionnaire detail is not part of the short free check</x:v>
      </x:c>
      <x:c r="G478" s="56" t="str">
        <x:v>https://github.com/Roger-LegalEase/legalease-partner-dashboard-clean/blob/2f0ef0403f16e57544ad0bc86b2d1b1cd08861b3/src/lib/rcap-engine/compiled/profiles/RI-rhode-island.json</x:v>
      </x:c>
    </x:row>
    <x:row r="479">
      <x:c r="A479" s="55" t="str">
        <x:v>Rhode Island</x:v>
      </x:c>
      <x:c r="B479" s="142" t="str">
        <x:v>RI</x:v>
      </x:c>
      <x:c r="C479" s="142" t="str">
        <x:v>4 Do you know your BCI number?</x:v>
      </x:c>
      <x:c r="D479" s="142" t="str">
        <x:v>state_specific_eligibility</x:v>
      </x:c>
      <x:c r="E479" s="142" t="str">
        <x:v>text_or_choice</x:v>
      </x:c>
      <x:c r="F479" s="142" t="str">
        <x:v>Packet completion or final verification: source questionnaire detail is not part of the short free check</x:v>
      </x:c>
      <x:c r="G479" s="56" t="str">
        <x:v>https://github.com/Roger-LegalEase/legalease-partner-dashboard-clean/blob/2f0ef0403f16e57544ad0bc86b2d1b1cd08861b3/src/lib/rcap-engine/compiled/profiles/RI-rhode-island.json</x:v>
      </x:c>
    </x:row>
    <x:row r="480">
      <x:c r="A480" s="55" t="str">
        <x:v>Rhode Island</x:v>
      </x:c>
      <x:c r="B480" s="142" t="str">
        <x:v>RI</x:v>
      </x:c>
      <x:c r="C480" s="142" t="str">
        <x:v>5 What police department brought the charge?</x:v>
      </x:c>
      <x:c r="D480" s="142" t="str">
        <x:v>state_specific_eligibility</x:v>
      </x:c>
      <x:c r="E480" s="142" t="str">
        <x:v>text_or_choice</x:v>
      </x:c>
      <x:c r="F480" s="142" t="str">
        <x:v>Packet completion or final verification: source questionnaire detail is not part of the short free check</x:v>
      </x:c>
      <x:c r="G480" s="56" t="str">
        <x:v>https://github.com/Roger-LegalEase/legalease-partner-dashboard-clean/blob/2f0ef0403f16e57544ad0bc86b2d1b1cd08861b3/src/lib/rcap-engine/compiled/profiles/RI-rhode-island.json</x:v>
      </x:c>
    </x:row>
    <x:row r="481">
      <x:c r="A481" s="55" t="str">
        <x:v>Rhode Island</x:v>
      </x:c>
      <x:c r="B481" s="142" t="str">
        <x:v>RI</x:v>
      </x:c>
      <x:c r="C481" s="142" t="str">
        <x:v>Conviction?</x:v>
      </x:c>
      <x:c r="D481" s="142" t="str">
        <x:v>state_specific_eligibility</x:v>
      </x:c>
      <x:c r="E481" s="142" t="str">
        <x:v>text_or_choice</x:v>
      </x:c>
      <x:c r="F481" s="142" t="str">
        <x:v>Packet completion or final verification: source questionnaire detail is not part of the short free check</x:v>
      </x:c>
      <x:c r="G481" s="56" t="str">
        <x:v>https://github.com/Roger-LegalEase/legalease-partner-dashboard-clean/blob/2f0ef0403f16e57544ad0bc86b2d1b1cd08861b3/src/lib/rcap-engine/compiled/profiles/RI-rhode-island.json</x:v>
      </x:c>
    </x:row>
    <x:row r="482">
      <x:c r="A482" s="55" t="str">
        <x:v>Rhode Island</x:v>
      </x:c>
      <x:c r="B482" s="142" t="str">
        <x:v>RI</x:v>
      </x:c>
      <x:c r="C482" s="142" t="str">
        <x:v>Dismissal?</x:v>
      </x:c>
      <x:c r="D482" s="142" t="str">
        <x:v>state_specific_eligibility</x:v>
      </x:c>
      <x:c r="E482" s="142" t="str">
        <x:v>text_or_choice</x:v>
      </x:c>
      <x:c r="F482" s="142" t="str">
        <x:v>Packet completion or final verification: source questionnaire detail is not part of the short free check</x:v>
      </x:c>
      <x:c r="G482" s="56" t="str">
        <x:v>https://github.com/Roger-LegalEase/legalease-partner-dashboard-clean/blob/2f0ef0403f16e57544ad0bc86b2d1b1cd08861b3/src/lib/rcap-engine/compiled/profiles/RI-rhode-island.json</x:v>
      </x:c>
    </x:row>
    <x:row r="483">
      <x:c r="A483" s="55" t="str">
        <x:v>Rhode Island</x:v>
      </x:c>
      <x:c r="B483" s="142" t="str">
        <x:v>RI</x:v>
      </x:c>
      <x:c r="C483" s="142" t="str">
        <x:v>Acquittal?</x:v>
      </x:c>
      <x:c r="D483" s="142" t="str">
        <x:v>state_specific_eligibility</x:v>
      </x:c>
      <x:c r="E483" s="142" t="str">
        <x:v>text_or_choice</x:v>
      </x:c>
      <x:c r="F483" s="142" t="str">
        <x:v>Packet completion or final verification: source questionnaire detail is not part of the short free check</x:v>
      </x:c>
      <x:c r="G483" s="56" t="str">
        <x:v>https://github.com/Roger-LegalEase/legalease-partner-dashboard-clean/blob/2f0ef0403f16e57544ad0bc86b2d1b1cd08861b3/src/lib/rcap-engine/compiled/profiles/RI-rhode-island.json</x:v>
      </x:c>
    </x:row>
    <x:row r="484">
      <x:c r="A484" s="55" t="str">
        <x:v>Rhode Island</x:v>
      </x:c>
      <x:c r="B484" s="142" t="str">
        <x:v>RI</x:v>
      </x:c>
      <x:c r="C484" s="142" t="str">
        <x:v>No true bill?</x:v>
      </x:c>
      <x:c r="D484" s="142" t="str">
        <x:v>state_specific_eligibility</x:v>
      </x:c>
      <x:c r="E484" s="142" t="str">
        <x:v>text_or_choice</x:v>
      </x:c>
      <x:c r="F484" s="142" t="str">
        <x:v>Packet completion or final verification: source questionnaire detail is not part of the short free check</x:v>
      </x:c>
      <x:c r="G484" s="56" t="str">
        <x:v>https://github.com/Roger-LegalEase/legalease-partner-dashboard-clean/blob/2f0ef0403f16e57544ad0bc86b2d1b1cd08861b3/src/lib/rcap-engine/compiled/profiles/RI-rhode-island.json</x:v>
      </x:c>
    </x:row>
    <x:row r="485">
      <x:c r="A485" s="55" t="str">
        <x:v>Rhode Island</x:v>
      </x:c>
      <x:c r="B485" s="142" t="str">
        <x:v>RI</x:v>
      </x:c>
      <x:c r="C485" s="142" t="str">
        <x:v>No information?</x:v>
      </x:c>
      <x:c r="D485" s="142" t="str">
        <x:v>state_specific_eligibility</x:v>
      </x:c>
      <x:c r="E485" s="142" t="str">
        <x:v>text_or_choice</x:v>
      </x:c>
      <x:c r="F485" s="142" t="str">
        <x:v>Packet completion or final verification: source questionnaire detail is not part of the short free check</x:v>
      </x:c>
      <x:c r="G485" s="56" t="str">
        <x:v>https://github.com/Roger-LegalEase/legalease-partner-dashboard-clean/blob/2f0ef0403f16e57544ad0bc86b2d1b1cd08861b3/src/lib/rcap-engine/compiled/profiles/RI-rhode-island.json</x:v>
      </x:c>
    </x:row>
    <x:row r="486">
      <x:c r="A486" s="55" t="str">
        <x:v>Rhode Island</x:v>
      </x:c>
      <x:c r="B486" s="142" t="str">
        <x:v>RI</x:v>
      </x:c>
      <x:c r="C486" s="142" t="str">
        <x:v>Filed complaint?</x:v>
      </x:c>
      <x:c r="D486" s="142" t="str">
        <x:v>state_specific_eligibility</x:v>
      </x:c>
      <x:c r="E486" s="142" t="str">
        <x:v>text_or_choice</x:v>
      </x:c>
      <x:c r="F486" s="142" t="str">
        <x:v>Packet completion or final verification: source questionnaire detail is not part of the short free check</x:v>
      </x:c>
      <x:c r="G486" s="56" t="str">
        <x:v>https://github.com/Roger-LegalEase/legalease-partner-dashboard-clean/blob/2f0ef0403f16e57544ad0bc86b2d1b1cd08861b3/src/lib/rcap-engine/compiled/profiles/RI-rhode-island.json</x:v>
      </x:c>
    </x:row>
    <x:row r="487">
      <x:c r="A487" s="55" t="str">
        <x:v>Rhode Island</x:v>
      </x:c>
      <x:c r="B487" s="142" t="str">
        <x:v>RI</x:v>
      </x:c>
      <x:c r="C487" s="142" t="str">
        <x:v>Deferred sentence?</x:v>
      </x:c>
      <x:c r="D487" s="142" t="str">
        <x:v>state_specific_eligibility</x:v>
      </x:c>
      <x:c r="E487" s="142" t="str">
        <x:v>text_or_choice</x:v>
      </x:c>
      <x:c r="F487" s="142" t="str">
        <x:v>Packet completion or final verification: source questionnaire detail is not part of the short free check</x:v>
      </x:c>
      <x:c r="G487" s="56" t="str">
        <x:v>https://github.com/Roger-LegalEase/legalease-partner-dashboard-clean/blob/2f0ef0403f16e57544ad0bc86b2d1b1cd08861b3/src/lib/rcap-engine/compiled/profiles/RI-rhode-island.json</x:v>
      </x:c>
    </x:row>
    <x:row r="488">
      <x:c r="A488" s="55" t="str">
        <x:v>Rhode Island</x:v>
      </x:c>
      <x:c r="B488" s="142" t="str">
        <x:v>RI</x:v>
      </x:c>
      <x:c r="C488" s="142" t="str">
        <x:v>Marijuana possession-only?</x:v>
      </x:c>
      <x:c r="D488" s="142" t="str">
        <x:v>state_specific_eligibility</x:v>
      </x:c>
      <x:c r="E488" s="142" t="str">
        <x:v>text_or_choice</x:v>
      </x:c>
      <x:c r="F488" s="142" t="str">
        <x:v>Packet completion or final verification: source questionnaire detail is not part of the short free check</x:v>
      </x:c>
      <x:c r="G488" s="56" t="str">
        <x:v>https://github.com/Roger-LegalEase/legalease-partner-dashboard-clean/blob/2f0ef0403f16e57544ad0bc86b2d1b1cd08861b3/src/lib/rcap-engine/compiled/profiles/RI-rhode-island.json</x:v>
      </x:c>
    </x:row>
    <x:row r="489">
      <x:c r="A489" s="55" t="str">
        <x:v>Rhode Island</x:v>
      </x:c>
      <x:c r="B489" s="142" t="str">
        <x:v>RI</x:v>
      </x:c>
      <x:c r="C489" s="142" t="str">
        <x:v>Decriminalized offense?</x:v>
      </x:c>
      <x:c r="D489" s="142" t="str">
        <x:v>state_specific_eligibility</x:v>
      </x:c>
      <x:c r="E489" s="142" t="str">
        <x:v>text_or_choice</x:v>
      </x:c>
      <x:c r="F489" s="142" t="str">
        <x:v>Packet completion or final verification: source questionnaire detail is not part of the short free check</x:v>
      </x:c>
      <x:c r="G489" s="56" t="str">
        <x:v>https://github.com/Roger-LegalEase/legalease-partner-dashboard-clean/blob/2f0ef0403f16e57544ad0bc86b2d1b1cd08861b3/src/lib/rcap-engine/compiled/profiles/RI-rhode-island.json</x:v>
      </x:c>
    </x:row>
    <x:row r="490">
      <x:c r="A490" s="55" t="str">
        <x:v>Rhode Island</x:v>
      </x:c>
      <x:c r="B490" s="142" t="str">
        <x:v>RI</x:v>
      </x:c>
      <x:c r="C490" s="142" t="str">
        <x:v>7 Was the offense a misdemeanor or felony?</x:v>
      </x:c>
      <x:c r="D490" s="142" t="str">
        <x:v>state_specific_eligibility</x:v>
      </x:c>
      <x:c r="E490" s="142" t="str">
        <x:v>text_or_choice</x:v>
      </x:c>
      <x:c r="F490" s="142" t="str">
        <x:v>Packet completion or final verification: source questionnaire detail is not part of the short free check</x:v>
      </x:c>
      <x:c r="G490" s="56" t="str">
        <x:v>https://github.com/Roger-LegalEase/legalease-partner-dashboard-clean/blob/2f0ef0403f16e57544ad0bc86b2d1b1cd08861b3/src/lib/rcap-engine/compiled/profiles/RI-rhode-island.json</x:v>
      </x:c>
    </x:row>
    <x:row r="491">
      <x:c r="A491" s="55" t="str">
        <x:v>Rhode Island</x:v>
      </x:c>
      <x:c r="B491" s="142" t="str">
        <x:v>RI</x:v>
      </x:c>
      <x:c r="C491" s="142" t="str">
        <x:v>8 Was this your only conviction or probation?</x:v>
      </x:c>
      <x:c r="D491" s="142" t="str">
        <x:v>state_specific_eligibility</x:v>
      </x:c>
      <x:c r="E491" s="142" t="str">
        <x:v>text_or_choice</x:v>
      </x:c>
      <x:c r="F491" s="142" t="str">
        <x:v>Packet completion or final verification: source questionnaire detail is not part of the short free check</x:v>
      </x:c>
      <x:c r="G491" s="56" t="str">
        <x:v>https://github.com/Roger-LegalEase/legalease-partner-dashboard-clean/blob/2f0ef0403f16e57544ad0bc86b2d1b1cd08861b3/src/lib/rcap-engine/compiled/profiles/RI-rhode-island.json</x:v>
      </x:c>
    </x:row>
    <x:row r="492">
      <x:c r="A492" s="55" t="str">
        <x:v>Rhode Island</x:v>
      </x:c>
      <x:c r="B492" s="142" t="str">
        <x:v>RI</x:v>
      </x:c>
      <x:c r="C492" s="142" t="str">
        <x:v>9 Do you have multiple misdemeanor convictions?</x:v>
      </x:c>
      <x:c r="D492" s="142" t="str">
        <x:v>state_specific_eligibility</x:v>
      </x:c>
      <x:c r="E492" s="142" t="str">
        <x:v>text_or_choice</x:v>
      </x:c>
      <x:c r="F492" s="142" t="str">
        <x:v>Packet completion or final verification: source questionnaire detail is not part of the short free check</x:v>
      </x:c>
      <x:c r="G492" s="56" t="str">
        <x:v>https://github.com/Roger-LegalEase/legalease-partner-dashboard-clean/blob/2f0ef0403f16e57544ad0bc86b2d1b1cd08861b3/src/lib/rcap-engine/compiled/profiles/RI-rhode-island.json</x:v>
      </x:c>
    </x:row>
    <x:row r="493">
      <x:c r="A493" s="55" t="str">
        <x:v>Rhode Island</x:v>
      </x:c>
      <x:c r="B493" s="142" t="str">
        <x:v>RI</x:v>
      </x:c>
      <x:c r="C493" s="142" t="str">
        <x:v>10 Have you ever been convicted of a felony?</x:v>
      </x:c>
      <x:c r="D493" s="142" t="str">
        <x:v>state_specific_eligibility</x:v>
      </x:c>
      <x:c r="E493" s="142" t="str">
        <x:v>text_or_choice</x:v>
      </x:c>
      <x:c r="F493" s="142" t="str">
        <x:v>Packet completion or final verification: source questionnaire detail is not part of the short free check</x:v>
      </x:c>
      <x:c r="G493" s="56" t="str">
        <x:v>https://github.com/Roger-LegalEase/legalease-partner-dashboard-clean/blob/2f0ef0403f16e57544ad0bc86b2d1b1cd08861b3/src/lib/rcap-engine/compiled/profiles/RI-rhode-island.json</x:v>
      </x:c>
    </x:row>
    <x:row r="494">
      <x:c r="A494" s="55" t="str">
        <x:v>Rhode Island</x:v>
      </x:c>
      <x:c r="B494" s="142" t="str">
        <x:v>RI</x:v>
      </x:c>
      <x:c r="C494" s="142" t="str">
        <x:v>11 Was the offense a crime of violence?</x:v>
      </x:c>
      <x:c r="D494" s="142" t="str">
        <x:v>state_specific_eligibility</x:v>
      </x:c>
      <x:c r="E494" s="142" t="str">
        <x:v>text_or_choice</x:v>
      </x:c>
      <x:c r="F494" s="142" t="str">
        <x:v>Packet completion or final verification: source questionnaire detail is not part of the short free check</x:v>
      </x:c>
      <x:c r="G494" s="56" t="str">
        <x:v>https://github.com/Roger-LegalEase/legalease-partner-dashboard-clean/blob/2f0ef0403f16e57544ad0bc86b2d1b1cd08861b3/src/lib/rcap-engine/compiled/profiles/RI-rhode-island.json</x:v>
      </x:c>
    </x:row>
    <x:row r="495">
      <x:c r="A495" s="55" t="str">
        <x:v>Rhode Island</x:v>
      </x:c>
      <x:c r="B495" s="142" t="str">
        <x:v>RI</x:v>
      </x:c>
      <x:c r="C495" s="142" t="str">
        <x:v>12 Was it domestic violence under Chapter 29 of Title 12?</x:v>
      </x:c>
      <x:c r="D495" s="142" t="str">
        <x:v>state_specific_eligibility</x:v>
      </x:c>
      <x:c r="E495" s="142" t="str">
        <x:v>text_or_choice</x:v>
      </x:c>
      <x:c r="F495" s="142" t="str">
        <x:v>Packet completion or final verification: source questionnaire detail is not part of the short free check</x:v>
      </x:c>
      <x:c r="G495" s="56" t="str">
        <x:v>https://github.com/Roger-LegalEase/legalease-partner-dashboard-clean/blob/2f0ef0403f16e57544ad0bc86b2d1b1cd08861b3/src/lib/rcap-engine/compiled/profiles/RI-rhode-island.json</x:v>
      </x:c>
    </x:row>
    <x:row r="496">
      <x:c r="A496" s="55" t="str">
        <x:v>Rhode Island</x:v>
      </x:c>
      <x:c r="B496" s="142" t="str">
        <x:v>RI</x:v>
      </x:c>
      <x:c r="C496" s="142" t="str">
        <x:v>13 Was it DUI or chemical-test refusal?</x:v>
      </x:c>
      <x:c r="D496" s="142" t="str">
        <x:v>state_specific_eligibility</x:v>
      </x:c>
      <x:c r="E496" s="142" t="str">
        <x:v>text_or_choice</x:v>
      </x:c>
      <x:c r="F496" s="142" t="str">
        <x:v>Packet completion or final verification: source questionnaire detail is not part of the short free check</x:v>
      </x:c>
      <x:c r="G496" s="56" t="str">
        <x:v>https://github.com/Roger-LegalEase/legalease-partner-dashboard-clean/blob/2f0ef0403f16e57544ad0bc86b2d1b1cd08861b3/src/lib/rcap-engine/compiled/profiles/RI-rhode-island.json</x:v>
      </x:c>
    </x:row>
    <x:row r="497">
      <x:c r="A497" s="55" t="str">
        <x:v>Rhode Island</x:v>
      </x:c>
      <x:c r="B497" s="142" t="str">
        <x:v>RI</x:v>
      </x:c>
      <x:c r="C497" s="142" t="str">
        <x:v>14 Was there a deferred sentence agreement?</x:v>
      </x:c>
      <x:c r="D497" s="142" t="str">
        <x:v>state_specific_eligibility</x:v>
      </x:c>
      <x:c r="E497" s="142" t="str">
        <x:v>text_or_choice</x:v>
      </x:c>
      <x:c r="F497" s="142" t="str">
        <x:v>Packet completion or final verification: source questionnaire detail is not part of the short free check</x:v>
      </x:c>
      <x:c r="G497" s="56" t="str">
        <x:v>https://github.com/Roger-LegalEase/legalease-partner-dashboard-clean/blob/2f0ef0403f16e57544ad0bc86b2d1b1cd08861b3/src/lib/rcap-engine/compiled/profiles/RI-rhode-island.json</x:v>
      </x:c>
    </x:row>
    <x:row r="498">
      <x:c r="A498" s="55" t="str">
        <x:v>Rhode Island</x:v>
      </x:c>
      <x:c r="B498" s="142" t="str">
        <x:v>RI</x:v>
      </x:c>
      <x:c r="C498" s="142" t="str">
        <x:v>15 When was the sentence fully completed?</x:v>
      </x:c>
      <x:c r="D498" s="142" t="str">
        <x:v>state_specific_eligibility</x:v>
      </x:c>
      <x:c r="E498" s="142" t="str">
        <x:v>text_or_choice</x:v>
      </x:c>
      <x:c r="F498" s="142" t="str">
        <x:v>Packet completion or final verification: source questionnaire detail is not part of the short free check</x:v>
      </x:c>
      <x:c r="G498" s="56" t="str">
        <x:v>https://github.com/Roger-LegalEase/legalease-partner-dashboard-clean/blob/2f0ef0403f16e57544ad0bc86b2d1b1cd08861b3/src/lib/rcap-engine/compiled/profiles/RI-rhode-island.json</x:v>
      </x:c>
    </x:row>
    <x:row r="499">
      <x:c r="A499" s="55" t="str">
        <x:v>Rhode Island</x:v>
      </x:c>
      <x:c r="B499" s="142" t="str">
        <x:v>RI</x:v>
      </x:c>
      <x:c r="C499" s="142" t="str">
        <x:v>16 Have all fines, fees, costs, assessments, charges, and restitution been paid, waived, or reduced by court order?</x:v>
      </x:c>
      <x:c r="D499" s="142" t="str">
        <x:v>state_specific_eligibility</x:v>
      </x:c>
      <x:c r="E499" s="142" t="str">
        <x:v>text_or_choice</x:v>
      </x:c>
      <x:c r="F499" s="142" t="str">
        <x:v>Packet completion or final verification: source questionnaire detail is not part of the short free check</x:v>
      </x:c>
      <x:c r="G499" s="56" t="str">
        <x:v>https://github.com/Roger-LegalEase/legalease-partner-dashboard-clean/blob/2f0ef0403f16e57544ad0bc86b2d1b1cd08861b3/src/lib/rcap-engine/compiled/profiles/RI-rhode-island.json</x:v>
      </x:c>
    </x:row>
    <x:row r="500">
      <x:c r="A500" s="55" t="str">
        <x:v>Rhode Island</x:v>
      </x:c>
      <x:c r="B500" s="142" t="str">
        <x:v>RI</x:v>
      </x:c>
      <x:c r="C500" s="142" t="str">
        <x:v>17 Have you been arrested or convicted of any felony or misdemeanor during the required lookback period?</x:v>
      </x:c>
      <x:c r="D500" s="142" t="str">
        <x:v>state_specific_eligibility</x:v>
      </x:c>
      <x:c r="E500" s="142" t="str">
        <x:v>text_or_choice</x:v>
      </x:c>
      <x:c r="F500" s="142" t="str">
        <x:v>Packet completion or final verification: source questionnaire detail is not part of the short free check</x:v>
      </x:c>
      <x:c r="G500" s="56" t="str">
        <x:v>https://github.com/Roger-LegalEase/legalease-partner-dashboard-clean/blob/2f0ef0403f16e57544ad0bc86b2d1b1cd08861b3/src/lib/rcap-engine/compiled/profiles/RI-rhode-island.json</x:v>
      </x:c>
    </x:row>
    <x:row r="501">
      <x:c r="A501" s="55" t="str">
        <x:v>Rhode Island</x:v>
      </x:c>
      <x:c r="B501" s="142" t="str">
        <x:v>RI</x:v>
      </x:c>
      <x:c r="C501" s="142" t="str">
        <x:v>18 Are any criminal proceedings pending now?</x:v>
      </x:c>
      <x:c r="D501" s="142" t="str">
        <x:v>state_specific_eligibility</x:v>
      </x:c>
      <x:c r="E501" s="142" t="str">
        <x:v>text_or_choice</x:v>
      </x:c>
      <x:c r="F501" s="142" t="str">
        <x:v>Packet completion or final verification: source questionnaire detail is not part of the short free check</x:v>
      </x:c>
      <x:c r="G501" s="56" t="str">
        <x:v>https://github.com/Roger-LegalEase/legalease-partner-dashboard-clean/blob/2f0ef0403f16e57544ad0bc86b2d1b1cd08861b3/src/lib/rcap-engine/compiled/profiles/RI-rhode-island.json</x:v>
      </x:c>
    </x:row>
    <x:row r="502">
      <x:c r="A502" s="55" t="str">
        <x:v>Rhode Island</x:v>
      </x:c>
      <x:c r="B502" s="142" t="str">
        <x:v>RI</x:v>
      </x:c>
      <x:c r="C502" s="142" t="str">
        <x:v>19 Do you need this for employment, housing, licensing, teaching, coaching, childcare, law enforcement, immigration, or bar admission?</x:v>
      </x:c>
      <x:c r="D502" s="142" t="str">
        <x:v>state_specific_eligibility</x:v>
      </x:c>
      <x:c r="E502" s="142" t="str">
        <x:v>text_or_choice</x:v>
      </x:c>
      <x:c r="F502" s="142" t="str">
        <x:v>Packet completion or final verification: source questionnaire detail is not part of the short free check</x:v>
      </x:c>
      <x:c r="G502" s="56" t="str">
        <x:v>https://github.com/Roger-LegalEase/legalease-partner-dashboard-clean/blob/2f0ef0403f16e57544ad0bc86b2d1b1cd08861b3/src/lib/rcap-engine/compiled/profiles/RI-rhode-island.json</x:v>
      </x:c>
    </x:row>
    <x:row r="503">
      <x:c r="A503" s="55" t="str">
        <x:v>Rhode Island</x:v>
      </x:c>
      <x:c r="B503" s="142" t="str">
        <x:v>RI</x:v>
      </x:c>
      <x:c r="C503" s="142" t="str">
        <x:v>Check sealing/destruction under 12-1-12 and 12-1-12.1. If it was a District Court Rule 48(a) dismissal after January 1, 2023, it may be automatically sealed. Older cases may require a request or motion.</x:v>
      </x:c>
      <x:c r="D503" s="142" t="str">
        <x:v>state_specific_eligibility</x:v>
      </x:c>
      <x:c r="E503" s="142" t="str">
        <x:v>text_or_choice</x:v>
      </x:c>
      <x:c r="F503" s="142" t="str">
        <x:v>Packet completion or final verification: source questionnaire detail is not part of the short free check</x:v>
      </x:c>
      <x:c r="G503" s="56" t="str">
        <x:v>https://github.com/Roger-LegalEase/legalease-partner-dashboard-clean/blob/2f0ef0403f16e57544ad0bc86b2d1b1cd08861b3/src/lib/rcap-engine/compiled/profiles/RI-rhode-island.json</x:v>
      </x:c>
    </x:row>
    <x:row r="504">
      <x:c r="A504" s="55" t="str">
        <x:v>South Carolina</x:v>
      </x:c>
      <x:c r="B504" s="142" t="str">
        <x:v>SC</x:v>
      </x:c>
      <x:c r="C504" s="142" t="str">
        <x:v>Was this in magistrate/municipal court, General Sessions, or Family Court?</x:v>
      </x:c>
      <x:c r="D504" s="142" t="str">
        <x:v>state_specific_eligibility</x:v>
      </x:c>
      <x:c r="E504" s="142" t="str">
        <x:v>yes_no_unsure</x:v>
      </x:c>
      <x:c r="F504" s="142" t="str">
        <x:v>Packet completion or final verification: source questionnaire detail is not part of the short free check</x:v>
      </x:c>
      <x:c r="G504" s="56" t="str">
        <x:v>https://github.com/Roger-LegalEase/legalease-partner-dashboard-clean/blob/2f0ef0403f16e57544ad0bc86b2d1b1cd08861b3/src/lib/rcap-engine/compiled/profiles/SC-south-carolina.json</x:v>
      </x:c>
    </x:row>
    <x:row r="505">
      <x:c r="A505" s="55" t="str">
        <x:v>South Carolina</x:v>
      </x:c>
      <x:c r="B505" s="142" t="str">
        <x:v>SC</x:v>
      </x:c>
      <x:c r="C505" s="142" t="str">
        <x:v>How did the case end: dismissed, nolle prossed, not guilty, acquitted, completed diversion, conditional discharge, guilty plea, conviction, youthful offender sentence, or still pending?</x:v>
      </x:c>
      <x:c r="D505" s="142" t="str">
        <x:v>state_specific_eligibility</x:v>
      </x:c>
      <x:c r="E505" s="142" t="str">
        <x:v>text_or_choice</x:v>
      </x:c>
      <x:c r="F505" s="142" t="str">
        <x:v>Packet completion or final verification: source questionnaire detail is not part of the short free check</x:v>
      </x:c>
      <x:c r="G505" s="56" t="str">
        <x:v>https://github.com/Roger-LegalEase/legalease-partner-dashboard-clean/blob/2f0ef0403f16e57544ad0bc86b2d1b1cd08861b3/src/lib/rcap-engine/compiled/profiles/SC-south-carolina.json</x:v>
      </x:c>
    </x:row>
    <x:row r="506">
      <x:c r="A506" s="55" t="str">
        <x:v>South Carolina</x:v>
      </x:c>
      <x:c r="B506" s="142" t="str">
        <x:v>SC</x:v>
      </x:c>
      <x:c r="C506" s="142" t="str">
        <x:v>Was this a first offense fraudulent check, low-level magistrate/municipal conviction, third-degree domestic violence, Youthful Offender Act sentence, drug possession/PWID offense, failure to stop, old unlawful handgun possession, or trafficking-related offense?</x:v>
      </x:c>
      <x:c r="D506" s="142" t="str">
        <x:v>state_specific_eligibility</x:v>
      </x:c>
      <x:c r="E506" s="142" t="str">
        <x:v>yes_no_unsure</x:v>
      </x:c>
      <x:c r="F506" s="142" t="str">
        <x:v>Packet completion or final verification: source questionnaire detail is not part of the short free check</x:v>
      </x:c>
      <x:c r="G506" s="56" t="str">
        <x:v>https://github.com/Roger-LegalEase/legalease-partner-dashboard-clean/blob/2f0ef0403f16e57544ad0bc86b2d1b1cd08861b3/src/lib/rcap-engine/compiled/profiles/SC-south-carolina.json</x:v>
      </x:c>
    </x:row>
    <x:row r="507">
      <x:c r="A507" s="55" t="str">
        <x:v>South Carolina</x:v>
      </x:c>
      <x:c r="B507" s="142" t="str">
        <x:v>SC</x:v>
      </x:c>
      <x:c r="C507" s="142" t="str">
        <x:v>Since that conviction or sentence completion, have you had any other convictions anywhere?</x:v>
      </x:c>
      <x:c r="D507" s="142" t="str">
        <x:v>state_specific_eligibility</x:v>
      </x:c>
      <x:c r="E507" s="142" t="str">
        <x:v>text_or_choice</x:v>
      </x:c>
      <x:c r="F507" s="142" t="str">
        <x:v>Packet completion or final verification: source questionnaire detail is not part of the short free check</x:v>
      </x:c>
      <x:c r="G507" s="56" t="str">
        <x:v>https://github.com/Roger-LegalEase/legalease-partner-dashboard-clean/blob/2f0ef0403f16e57544ad0bc86b2d1b1cd08861b3/src/lib/rcap-engine/compiled/profiles/SC-south-carolina.json</x:v>
      </x:c>
    </x:row>
    <x:row r="508">
      <x:c r="A508" s="55" t="str">
        <x:v>South Carolina</x:v>
      </x:c>
      <x:c r="B508" s="142" t="str">
        <x:v>SC</x:v>
      </x:c>
      <x:c r="C508" s="142" t="str">
        <x:v>Ask about:</x:v>
      </x:c>
      <x:c r="D508" s="142" t="str">
        <x:v>state_specific_eligibility</x:v>
      </x:c>
      <x:c r="E508" s="142" t="str">
        <x:v>text_or_choice</x:v>
      </x:c>
      <x:c r="F508" s="142" t="str">
        <x:v>Packet completion or final verification: source questionnaire detail is not part of the short free check</x:v>
      </x:c>
      <x:c r="G508" s="56" t="str">
        <x:v>https://github.com/Roger-LegalEase/legalease-partner-dashboard-clean/blob/2f0ef0403f16e57544ad0bc86b2d1b1cd08861b3/src/lib/rcap-engine/compiled/profiles/SC-south-carolina.json</x:v>
      </x:c>
    </x:row>
    <x:row r="509">
      <x:c r="A509" s="55" t="str">
        <x:v>South Carolina</x:v>
      </x:c>
      <x:c r="B509" s="142" t="str">
        <x:v>SC</x:v>
      </x:c>
      <x:c r="C509" s="142" t="str">
        <x:v>Do you have the South Carolina criminal-history report, court docket, or certified disposition needed to verify the record?</x:v>
      </x:c>
      <x:c r="D509" s="142" t="str">
        <x:v>record_readiness</x:v>
      </x:c>
      <x:c r="E509" s="142" t="str">
        <x:v>yes_no_unsure</x:v>
      </x:c>
      <x:c r="F509" s="142" t="str">
        <x:v>Packet completion: record, court, case, filing, or form detail</x:v>
      </x:c>
      <x:c r="G509" s="56" t="str">
        <x:v>https://github.com/Roger-LegalEase/legalease-partner-dashboard-clean/blob/2f0ef0403f16e57544ad0bc86b2d1b1cd08861b3/src/lib/rcap-engine/compiled/profiles/SC-south-carolina.json</x:v>
      </x:c>
    </x:row>
    <x:row r="510">
      <x:c r="A510" s="55" t="str">
        <x:v>South Carolina</x:v>
      </x:c>
      <x:c r="B510" s="142" t="str">
        <x:v>SC</x:v>
      </x:c>
      <x:c r="C510" s="142" t="str">
        <x:v>When was the case disposed of, dismissed, completed, or discharged?</x:v>
      </x:c>
      <x:c r="D510" s="142" t="str">
        <x:v>timing_and_completion</x:v>
      </x:c>
      <x:c r="E510" s="142" t="str">
        <x:v>date_or_unknown</x:v>
      </x:c>
      <x:c r="F510" s="142" t="str">
        <x:v>Packet completion/final verification: exact date; free check uses approximate timing where appropriate</x:v>
      </x:c>
      <x:c r="G510" s="56" t="str">
        <x:v>https://github.com/Roger-LegalEase/legalease-partner-dashboard-clean/blob/2f0ef0403f16e57544ad0bc86b2d1b1cd08861b3/src/lib/rcap-engine/compiled/profiles/SC-south-carolina.json</x:v>
      </x:c>
    </x:row>
    <x:row r="511">
      <x:c r="A511" s="55" t="str">
        <x:v>South Carolina</x:v>
      </x:c>
      <x:c r="B511" s="142" t="str">
        <x:v>SC</x:v>
      </x:c>
      <x:c r="C511" s="142" t="str">
        <x:v>Which court or agency handled the case?</x:v>
      </x:c>
      <x:c r="D511" s="142" t="str">
        <x:v>case_details</x:v>
      </x:c>
      <x:c r="E511" s="142" t="str">
        <x:v>text</x:v>
      </x:c>
      <x:c r="F511" s="142" t="str">
        <x:v>Packet completion: record, court, case, filing, or form detail</x:v>
      </x:c>
      <x:c r="G511" s="56" t="str">
        <x:v>https://github.com/Roger-LegalEase/legalease-partner-dashboard-clean/blob/2f0ef0403f16e57544ad0bc86b2d1b1cd08861b3/src/lib/rcap-engine/compiled/profiles/SC-south-carolina.json</x:v>
      </x:c>
    </x:row>
    <x:row r="512">
      <x:c r="A512" s="55" t="str">
        <x:v>South Carolina</x:v>
      </x:c>
      <x:c r="B512" s="142" t="str">
        <x:v>SC</x:v>
      </x:c>
      <x:c r="C512" s="142" t="str">
        <x:v>What charge, statute, or record description appears on the record?</x:v>
      </x:c>
      <x:c r="D512" s="142" t="str">
        <x:v>case_details</x:v>
      </x:c>
      <x:c r="E512" s="142" t="str">
        <x:v>text_or_unknown</x:v>
      </x:c>
      <x:c r="F512" s="142" t="str">
        <x:v>Packet completion: record, court, case, filing, or form detail</x:v>
      </x:c>
      <x:c r="G512" s="56" t="str">
        <x:v>https://github.com/Roger-LegalEase/legalease-partner-dashboard-clean/blob/2f0ef0403f16e57544ad0bc86b2d1b1cd08861b3/src/lib/rcap-engine/compiled/profiles/SC-south-carolina.json</x:v>
      </x:c>
    </x:row>
    <x:row r="513">
      <x:c r="A513" s="55" t="str">
        <x:v>South Carolina</x:v>
      </x:c>
      <x:c r="B513" s="142" t="str">
        <x:v>SC</x:v>
      </x:c>
      <x:c r="C513" s="142" t="str">
        <x:v>Do you have court paperwork or a criminal-history record showing the exact charge and outcome?</x:v>
      </x:c>
      <x:c r="D513" s="142" t="str">
        <x:v>record_readiness</x:v>
      </x:c>
      <x:c r="E513" s="142" t="str">
        <x:v>yes_no_unsure</x:v>
      </x:c>
      <x:c r="F513" s="142" t="str">
        <x:v>Packet completion: record, court, case, filing, or form detail</x:v>
      </x:c>
      <x:c r="G513" s="56" t="str">
        <x:v>https://github.com/Roger-LegalEase/legalease-partner-dashboard-clean/blob/2f0ef0403f16e57544ad0bc86b2d1b1cd08861b3/src/lib/rcap-engine/compiled/profiles/SC-south-carolina.json</x:v>
      </x:c>
    </x:row>
    <x:row r="514">
      <x:c r="A514" s="55" t="str">
        <x:v>South Carolina</x:v>
      </x:c>
      <x:c r="B514" s="142" t="str">
        <x:v>SC</x:v>
      </x:c>
      <x:c r="C514" s="142" t="str">
        <x:v>Where in South Carolina was the case handled?</x:v>
      </x:c>
      <x:c r="D514" s="142" t="str">
        <x:v>case_details</x:v>
      </x:c>
      <x:c r="E514" s="142" t="str">
        <x:v>text_or_unknown</x:v>
      </x:c>
      <x:c r="F514" s="142" t="str">
        <x:v>Packet completion: record, court, case, filing, or form detail</x:v>
      </x:c>
      <x:c r="G514" s="56" t="str">
        <x:v>https://github.com/Roger-LegalEase/legalease-partner-dashboard-clean/blob/2f0ef0403f16e57544ad0bc86b2d1b1cd08861b3/src/lib/rcap-engine/compiled/profiles/SC-south-carolina.json</x:v>
      </x:c>
    </x:row>
    <x:row r="515">
      <x:c r="A515" s="55" t="str">
        <x:v>South Carolina</x:v>
      </x:c>
      <x:c r="B515" s="142" t="str">
        <x:v>SC</x:v>
      </x:c>
      <x:c r="C515" s="142" t="str">
        <x:v>What case, docket, cause, or arrest number appears on the record?</x:v>
      </x:c>
      <x:c r="D515" s="142" t="str">
        <x:v>case_details</x:v>
      </x:c>
      <x:c r="E515" s="142" t="str">
        <x:v>text_or_unknown</x:v>
      </x:c>
      <x:c r="F515" s="142" t="str">
        <x:v>Packet completion: record, court, case, filing, or form detail</x:v>
      </x:c>
      <x:c r="G515" s="56" t="str">
        <x:v>https://github.com/Roger-LegalEase/legalease-partner-dashboard-clean/blob/2f0ef0403f16e57544ad0bc86b2d1b1cd08861b3/src/lib/rcap-engine/compiled/profiles/SC-south-carolina.json</x:v>
      </x:c>
    </x:row>
    <x:row r="516">
      <x:c r="A516" s="55" t="str">
        <x:v>South Dakota</x:v>
      </x:c>
      <x:c r="B516" s="142" t="str">
        <x:v>SD</x:v>
      </x:c>
      <x:c r="C516" s="142" t="str">
        <x:v>One year from arrest with no accusatory instrument?</x:v>
      </x:c>
      <x:c r="D516" s="142" t="str">
        <x:v>state_specific_eligibility</x:v>
      </x:c>
      <x:c r="E516" s="142" t="str">
        <x:v>text_or_choice</x:v>
      </x:c>
      <x:c r="F516" s="142" t="str">
        <x:v>Packet completion or final verification: source questionnaire detail is not part of the short free check</x:v>
      </x:c>
      <x:c r="G516" s="56" t="str">
        <x:v>https://github.com/Roger-LegalEase/legalease-partner-dashboard-clean/blob/2f0ef0403f16e57544ad0bc86b2d1b1cd08861b3/src/lib/rcap-engine/compiled/profiles/SD-south-dakota.json</x:v>
      </x:c>
    </x:row>
    <x:row r="517">
      <x:c r="A517" s="55" t="str">
        <x:v>South Dakota</x:v>
      </x:c>
      <x:c r="B517" s="142" t="str">
        <x:v>SD</x:v>
      </x:c>
      <x:c r="C517" s="142" t="str">
        <x:v>One year from formal dismissal?</x:v>
      </x:c>
      <x:c r="D517" s="142" t="str">
        <x:v>state_specific_eligibility</x:v>
      </x:c>
      <x:c r="E517" s="142" t="str">
        <x:v>text_or_choice</x:v>
      </x:c>
      <x:c r="F517" s="142" t="str">
        <x:v>Packet completion or final verification: source questionnaire detail is not part of the short free check</x:v>
      </x:c>
      <x:c r="G517" s="56" t="str">
        <x:v>https://github.com/Roger-LegalEase/legalease-partner-dashboard-clean/blob/2f0ef0403f16e57544ad0bc86b2d1b1cd08861b3/src/lib/rcap-engine/compiled/profiles/SD-south-dakota.json</x:v>
      </x:c>
    </x:row>
    <x:row r="518">
      <x:c r="A518" s="55" t="str">
        <x:v>South Dakota</x:v>
      </x:c>
      <x:c r="B518" s="142" t="str">
        <x:v>SD</x:v>
      </x:c>
      <x:c r="C518" s="142" t="str">
        <x:v>Acquittal date?</x:v>
      </x:c>
      <x:c r="D518" s="142" t="str">
        <x:v>state_specific_eligibility</x:v>
      </x:c>
      <x:c r="E518" s="142" t="str">
        <x:v>text_or_choice</x:v>
      </x:c>
      <x:c r="F518" s="142" t="str">
        <x:v>Packet completion or final verification: source questionnaire detail is not part of the short free check</x:v>
      </x:c>
      <x:c r="G518" s="56" t="str">
        <x:v>https://github.com/Roger-LegalEase/legalease-partner-dashboard-clean/blob/2f0ef0403f16e57544ad0bc86b2d1b1cd08861b3/src/lib/rcap-engine/compiled/profiles/SD-south-dakota.json</x:v>
      </x:c>
    </x:row>
    <x:row r="519">
      <x:c r="A519" s="55" t="str">
        <x:v>South Dakota</x:v>
      </x:c>
      <x:c r="B519" s="142" t="str">
        <x:v>SD</x:v>
      </x:c>
      <x:c r="C519" s="142" t="str">
        <x:v>Compelling necessity if filing within one year of dismissal?</x:v>
      </x:c>
      <x:c r="D519" s="142" t="str">
        <x:v>state_specific_eligibility</x:v>
      </x:c>
      <x:c r="E519" s="142" t="str">
        <x:v>text_or_choice</x:v>
      </x:c>
      <x:c r="F519" s="142" t="str">
        <x:v>Packet completion or final verification: source questionnaire detail is not part of the short free check</x:v>
      </x:c>
      <x:c r="G519" s="56" t="str">
        <x:v>https://github.com/Roger-LegalEase/legalease-partner-dashboard-clean/blob/2f0ef0403f16e57544ad0bc86b2d1b1cd08861b3/src/lib/rcap-engine/compiled/profiles/SD-south-dakota.json</x:v>
      </x:c>
    </x:row>
    <x:row r="520">
      <x:c r="A520" s="55" t="str">
        <x:v>South Dakota</x:v>
      </x:c>
      <x:c r="B520" s="142" t="str">
        <x:v>SD</x:v>
      </x:c>
      <x:c r="C520" s="142" t="str">
        <x:v>Was the highest charge petty, municipal ordinance, or Class 2 misdemeanor?</x:v>
      </x:c>
      <x:c r="D520" s="142" t="str">
        <x:v>state_specific_eligibility</x:v>
      </x:c>
      <x:c r="E520" s="142" t="str">
        <x:v>yes_no_unsure</x:v>
      </x:c>
      <x:c r="F520" s="142" t="str">
        <x:v>Packet completion or final verification: source questionnaire detail is not part of the short free check</x:v>
      </x:c>
      <x:c r="G520" s="56" t="str">
        <x:v>https://github.com/Roger-LegalEase/legalease-partner-dashboard-clean/blob/2f0ef0403f16e57544ad0bc86b2d1b1cd08861b3/src/lib/rcap-engine/compiled/profiles/SD-south-dakota.json</x:v>
      </x:c>
    </x:row>
    <x:row r="521">
      <x:c r="A521" s="55" t="str">
        <x:v>South Dakota</x:v>
      </x:c>
      <x:c r="B521" s="142" t="str">
        <x:v>SD</x:v>
      </x:c>
      <x:c r="C521" s="142" t="str">
        <x:v>Were all court-ordered conditions satisfied?</x:v>
      </x:c>
      <x:c r="D521" s="142" t="str">
        <x:v>state_specific_eligibility</x:v>
      </x:c>
      <x:c r="E521" s="142" t="str">
        <x:v>yes_no_unsure</x:v>
      </x:c>
      <x:c r="F521" s="142" t="str">
        <x:v>Packet completion or final verification: source questionnaire detail is not part of the short free check</x:v>
      </x:c>
      <x:c r="G521" s="56" t="str">
        <x:v>https://github.com/Roger-LegalEase/legalease-partner-dashboard-clean/blob/2f0ef0403f16e57544ad0bc86b2d1b1cd08861b3/src/lib/rcap-engine/compiled/profiles/SD-south-dakota.json</x:v>
      </x:c>
    </x:row>
    <x:row r="522">
      <x:c r="A522" s="55" t="str">
        <x:v>South Dakota</x:v>
      </x:c>
      <x:c r="B522" s="142" t="str">
        <x:v>SD</x:v>
      </x:c>
      <x:c r="C522" s="142" t="str">
        <x:v>Any conviction within five years?</x:v>
      </x:c>
      <x:c r="D522" s="142" t="str">
        <x:v>state_specific_eligibility</x:v>
      </x:c>
      <x:c r="E522" s="142" t="str">
        <x:v>text_or_choice</x:v>
      </x:c>
      <x:c r="F522" s="142" t="str">
        <x:v>Packet completion or final verification: source questionnaire detail is not part of the short free check</x:v>
      </x:c>
      <x:c r="G522" s="56" t="str">
        <x:v>https://github.com/Roger-LegalEase/legalease-partner-dashboard-clean/blob/2f0ef0403f16e57544ad0bc86b2d1b1cd08861b3/src/lib/rcap-engine/compiled/profiles/SD-south-dakota.json</x:v>
      </x:c>
    </x:row>
    <x:row r="523">
      <x:c r="A523" s="55" t="str">
        <x:v>South Dakota</x:v>
      </x:c>
      <x:c r="B523" s="142" t="str">
        <x:v>SD</x:v>
      </x:c>
      <x:c r="C523" s="142" t="str">
        <x:v>Felony or misdemeanor SIS?</x:v>
      </x:c>
      <x:c r="D523" s="142" t="str">
        <x:v>state_specific_eligibility</x:v>
      </x:c>
      <x:c r="E523" s="142" t="str">
        <x:v>text_or_choice</x:v>
      </x:c>
      <x:c r="F523" s="142" t="str">
        <x:v>Packet completion or final verification: source questionnaire detail is not part of the short free check</x:v>
      </x:c>
      <x:c r="G523" s="56" t="str">
        <x:v>https://github.com/Roger-LegalEase/legalease-partner-dashboard-clean/blob/2f0ef0403f16e57544ad0bc86b2d1b1cd08861b3/src/lib/rcap-engine/compiled/profiles/SD-south-dakota.json</x:v>
      </x:c>
    </x:row>
    <x:row r="524">
      <x:c r="A524" s="55" t="str">
        <x:v>South Dakota</x:v>
      </x:c>
      <x:c r="B524" s="142" t="str">
        <x:v>SD</x:v>
      </x:c>
      <x:c r="C524" s="142" t="str">
        <x:v>Prior felony conviction?</x:v>
      </x:c>
      <x:c r="D524" s="142" t="str">
        <x:v>state_specific_eligibility</x:v>
      </x:c>
      <x:c r="E524" s="142" t="str">
        <x:v>text_or_choice</x:v>
      </x:c>
      <x:c r="F524" s="142" t="str">
        <x:v>Packet completion or final verification: source questionnaire detail is not part of the short free check</x:v>
      </x:c>
      <x:c r="G524" s="56" t="str">
        <x:v>https://github.com/Roger-LegalEase/legalease-partner-dashboard-clean/blob/2f0ef0403f16e57544ad0bc86b2d1b1cd08861b3/src/lib/rcap-engine/compiled/profiles/SD-south-dakota.json</x:v>
      </x:c>
    </x:row>
    <x:row r="525">
      <x:c r="A525" s="55" t="str">
        <x:v>South Dakota</x:v>
      </x:c>
      <x:c r="B525" s="142" t="str">
        <x:v>SD</x:v>
      </x:c>
      <x:c r="C525" s="142" t="str">
        <x:v>Prior SIS?</x:v>
      </x:c>
      <x:c r="D525" s="142" t="str">
        <x:v>state_specific_eligibility</x:v>
      </x:c>
      <x:c r="E525" s="142" t="str">
        <x:v>text_or_choice</x:v>
      </x:c>
      <x:c r="F525" s="142" t="str">
        <x:v>Packet completion or final verification: source questionnaire detail is not part of the short free check</x:v>
      </x:c>
      <x:c r="G525" s="56" t="str">
        <x:v>https://github.com/Roger-LegalEase/legalease-partner-dashboard-clean/blob/2f0ef0403f16e57544ad0bc86b2d1b1cd08861b3/src/lib/rcap-engine/compiled/profiles/SD-south-dakota.json</x:v>
      </x:c>
    </x:row>
    <x:row r="526">
      <x:c r="A526" s="55" t="str">
        <x:v>South Dakota</x:v>
      </x:c>
      <x:c r="B526" s="142" t="str">
        <x:v>SD</x:v>
      </x:c>
      <x:c r="C526" s="142" t="str">
        <x:v>Was the pardon granted by the Governor?</x:v>
      </x:c>
      <x:c r="D526" s="142" t="str">
        <x:v>state_specific_eligibility</x:v>
      </x:c>
      <x:c r="E526" s="142" t="str">
        <x:v>yes_no_unsure</x:v>
      </x:c>
      <x:c r="F526" s="142" t="str">
        <x:v>Packet completion or final verification: source questionnaire detail is not part of the short free check</x:v>
      </x:c>
      <x:c r="G526" s="56" t="str">
        <x:v>https://github.com/Roger-LegalEase/legalease-partner-dashboard-clean/blob/2f0ef0403f16e57544ad0bc86b2d1b1cd08861b3/src/lib/rcap-engine/compiled/profiles/SD-south-dakota.json</x:v>
      </x:c>
    </x:row>
    <x:row r="527">
      <x:c r="A527" s="55" t="str">
        <x:v>South Dakota</x:v>
      </x:c>
      <x:c r="B527" s="142" t="str">
        <x:v>SD</x:v>
      </x:c>
      <x:c r="C527" s="142" t="str">
        <x:v>Did it go through the Chapter 24-14 Board process?</x:v>
      </x:c>
      <x:c r="D527" s="142" t="str">
        <x:v>state_specific_eligibility</x:v>
      </x:c>
      <x:c r="E527" s="142" t="str">
        <x:v>yes_no_unsure</x:v>
      </x:c>
      <x:c r="F527" s="142" t="str">
        <x:v>Packet completion or final verification: source questionnaire detail is not part of the short free check</x:v>
      </x:c>
      <x:c r="G527" s="56" t="str">
        <x:v>https://github.com/Roger-LegalEase/legalease-partner-dashboard-clean/blob/2f0ef0403f16e57544ad0bc86b2d1b1cd08861b3/src/lib/rcap-engine/compiled/profiles/SD-south-dakota.json</x:v>
      </x:c>
    </x:row>
    <x:row r="528">
      <x:c r="A528" s="55" t="str">
        <x:v>South Dakota</x:v>
      </x:c>
      <x:c r="B528" s="142" t="str">
        <x:v>SD</x:v>
      </x:c>
      <x:c r="C528" s="142" t="str">
        <x:v>Any later delinquency adjudication?</x:v>
      </x:c>
      <x:c r="D528" s="142" t="str">
        <x:v>state_specific_eligibility</x:v>
      </x:c>
      <x:c r="E528" s="142" t="str">
        <x:v>text_or_choice</x:v>
      </x:c>
      <x:c r="F528" s="142" t="str">
        <x:v>Packet completion or final verification: source questionnaire detail is not part of the short free check</x:v>
      </x:c>
      <x:c r="G528" s="56" t="str">
        <x:v>https://github.com/Roger-LegalEase/legalease-partner-dashboard-clean/blob/2f0ef0403f16e57544ad0bc86b2d1b1cd08861b3/src/lib/rcap-engine/compiled/profiles/SD-south-dakota.json</x:v>
      </x:c>
    </x:row>
    <x:row r="529">
      <x:c r="A529" s="55" t="str">
        <x:v>South Dakota</x:v>
      </x:c>
      <x:c r="B529" s="142" t="str">
        <x:v>SD</x:v>
      </x:c>
      <x:c r="C529" s="142" t="str">
        <x:v>Any pending serious proceeding?</x:v>
      </x:c>
      <x:c r="D529" s="142" t="str">
        <x:v>state_specific_eligibility</x:v>
      </x:c>
      <x:c r="E529" s="142" t="str">
        <x:v>text_or_choice</x:v>
      </x:c>
      <x:c r="F529" s="142" t="str">
        <x:v>Packet completion or final verification: source questionnaire detail is not part of the short free check</x:v>
      </x:c>
      <x:c r="G529" s="56" t="str">
        <x:v>https://github.com/Roger-LegalEase/legalease-partner-dashboard-clean/blob/2f0ef0403f16e57544ad0bc86b2d1b1cd08861b3/src/lib/rcap-engine/compiled/profiles/SD-south-dakota.json</x:v>
      </x:c>
    </x:row>
    <x:row r="530">
      <x:c r="A530" s="55" t="str">
        <x:v>South Dakota</x:v>
      </x:c>
      <x:c r="B530" s="142" t="str">
        <x:v>SD</x:v>
      </x:c>
      <x:c r="C530" s="142" t="str">
        <x:v>When was the case disposed of, dismissed, completed, or discharged?</x:v>
      </x:c>
      <x:c r="D530" s="142" t="str">
        <x:v>timing_and_completion</x:v>
      </x:c>
      <x:c r="E530" s="142" t="str">
        <x:v>date_or_unknown</x:v>
      </x:c>
      <x:c r="F530" s="142" t="str">
        <x:v>Packet completion/final verification: exact date; free check uses approximate timing where appropriate</x:v>
      </x:c>
      <x:c r="G530" s="56" t="str">
        <x:v>https://github.com/Roger-LegalEase/legalease-partner-dashboard-clean/blob/2f0ef0403f16e57544ad0bc86b2d1b1cd08861b3/src/lib/rcap-engine/compiled/profiles/SD-south-dakota.json</x:v>
      </x:c>
    </x:row>
    <x:row r="531">
      <x:c r="A531" s="55" t="str">
        <x:v>South Dakota</x:v>
      </x:c>
      <x:c r="B531" s="142" t="str">
        <x:v>SD</x:v>
      </x:c>
      <x:c r="C531" s="142" t="str">
        <x:v>Which court or agency handled the case?</x:v>
      </x:c>
      <x:c r="D531" s="142" t="str">
        <x:v>case_details</x:v>
      </x:c>
      <x:c r="E531" s="142" t="str">
        <x:v>text</x:v>
      </x:c>
      <x:c r="F531" s="142" t="str">
        <x:v>Packet completion: record, court, case, filing, or form detail</x:v>
      </x:c>
      <x:c r="G531" s="56" t="str">
        <x:v>https://github.com/Roger-LegalEase/legalease-partner-dashboard-clean/blob/2f0ef0403f16e57544ad0bc86b2d1b1cd08861b3/src/lib/rcap-engine/compiled/profiles/SD-south-dakota.json</x:v>
      </x:c>
    </x:row>
    <x:row r="532">
      <x:c r="A532" s="55" t="str">
        <x:v>South Dakota</x:v>
      </x:c>
      <x:c r="B532" s="142" t="str">
        <x:v>SD</x:v>
      </x:c>
      <x:c r="C532" s="142" t="str">
        <x:v>What charge, statute, or record description appears on the record?</x:v>
      </x:c>
      <x:c r="D532" s="142" t="str">
        <x:v>case_details</x:v>
      </x:c>
      <x:c r="E532" s="142" t="str">
        <x:v>text_or_unknown</x:v>
      </x:c>
      <x:c r="F532" s="142" t="str">
        <x:v>Packet completion: record, court, case, filing, or form detail</x:v>
      </x:c>
      <x:c r="G532" s="56" t="str">
        <x:v>https://github.com/Roger-LegalEase/legalease-partner-dashboard-clean/blob/2f0ef0403f16e57544ad0bc86b2d1b1cd08861b3/src/lib/rcap-engine/compiled/profiles/SD-south-dakota.json</x:v>
      </x:c>
    </x:row>
    <x:row r="533">
      <x:c r="A533" s="55" t="str">
        <x:v>South Dakota</x:v>
      </x:c>
      <x:c r="B533" s="142" t="str">
        <x:v>SD</x:v>
      </x:c>
      <x:c r="C533" s="142" t="str">
        <x:v>Do you have court paperwork or a criminal-history record showing the exact charge and outcome?</x:v>
      </x:c>
      <x:c r="D533" s="142" t="str">
        <x:v>record_readiness</x:v>
      </x:c>
      <x:c r="E533" s="142" t="str">
        <x:v>yes_no_unsure</x:v>
      </x:c>
      <x:c r="F533" s="142" t="str">
        <x:v>Packet completion: record, court, case, filing, or form detail</x:v>
      </x:c>
      <x:c r="G533" s="56" t="str">
        <x:v>https://github.com/Roger-LegalEase/legalease-partner-dashboard-clean/blob/2f0ef0403f16e57544ad0bc86b2d1b1cd08861b3/src/lib/rcap-engine/compiled/profiles/SD-south-dakota.json</x:v>
      </x:c>
    </x:row>
    <x:row r="534">
      <x:c r="A534" s="55" t="str">
        <x:v>South Dakota</x:v>
      </x:c>
      <x:c r="B534" s="142" t="str">
        <x:v>SD</x:v>
      </x:c>
      <x:c r="C534" s="142" t="str">
        <x:v>Where in South Dakota was the case handled?</x:v>
      </x:c>
      <x:c r="D534" s="142" t="str">
        <x:v>case_details</x:v>
      </x:c>
      <x:c r="E534" s="142" t="str">
        <x:v>text_or_unknown</x:v>
      </x:c>
      <x:c r="F534" s="142" t="str">
        <x:v>Packet completion: record, court, case, filing, or form detail</x:v>
      </x:c>
      <x:c r="G534" s="56" t="str">
        <x:v>https://github.com/Roger-LegalEase/legalease-partner-dashboard-clean/blob/2f0ef0403f16e57544ad0bc86b2d1b1cd08861b3/src/lib/rcap-engine/compiled/profiles/SD-south-dakota.json</x:v>
      </x:c>
    </x:row>
    <x:row r="535">
      <x:c r="A535" s="55" t="str">
        <x:v>South Dakota</x:v>
      </x:c>
      <x:c r="B535" s="142" t="str">
        <x:v>SD</x:v>
      </x:c>
      <x:c r="C535" s="142" t="str">
        <x:v>What case, docket, cause, or arrest number appears on the record?</x:v>
      </x:c>
      <x:c r="D535" s="142" t="str">
        <x:v>case_details</x:v>
      </x:c>
      <x:c r="E535" s="142" t="str">
        <x:v>text_or_unknown</x:v>
      </x:c>
      <x:c r="F535" s="142" t="str">
        <x:v>Packet completion: record, court, case, filing, or form detail</x:v>
      </x:c>
      <x:c r="G535" s="56" t="str">
        <x:v>https://github.com/Roger-LegalEase/legalease-partner-dashboard-clean/blob/2f0ef0403f16e57544ad0bc86b2d1b1cd08861b3/src/lib/rcap-engine/compiled/profiles/SD-south-dakota.json</x:v>
      </x:c>
    </x:row>
    <x:row r="536">
      <x:c r="A536" s="55" t="str">
        <x:v>Tennessee</x:v>
      </x:c>
      <x:c r="B536" s="142" t="str">
        <x:v>TN</x:v>
      </x:c>
      <x:c r="C536" s="142" t="str">
        <x:v>Do you have the Tennessee criminal-history report, court docket, or certified disposition needed to verify the record?</x:v>
      </x:c>
      <x:c r="D536" s="142" t="str">
        <x:v>record_readiness</x:v>
      </x:c>
      <x:c r="E536" s="142" t="str">
        <x:v>yes_no_unsure</x:v>
      </x:c>
      <x:c r="F536" s="142" t="str">
        <x:v>Packet completion: record, court, case, filing, or form detail</x:v>
      </x:c>
      <x:c r="G536" s="56" t="str">
        <x:v>https://github.com/Roger-LegalEase/legalease-partner-dashboard-clean/blob/2f0ef0403f16e57544ad0bc86b2d1b1cd08861b3/src/lib/rcap-engine/compiled/profiles/TN-tennessee.json</x:v>
      </x:c>
    </x:row>
    <x:row r="537">
      <x:c r="A537" s="55" t="str">
        <x:v>Tennessee</x:v>
      </x:c>
      <x:c r="B537" s="142" t="str">
        <x:v>TN</x:v>
      </x:c>
      <x:c r="C537" s="142" t="str">
        <x:v>When was the case disposed of, dismissed, completed, or discharged?</x:v>
      </x:c>
      <x:c r="D537" s="142" t="str">
        <x:v>timing_and_completion</x:v>
      </x:c>
      <x:c r="E537" s="142" t="str">
        <x:v>date_or_unknown</x:v>
      </x:c>
      <x:c r="F537" s="142" t="str">
        <x:v>Packet completion/final verification: exact date; free check uses approximate timing where appropriate</x:v>
      </x:c>
      <x:c r="G537" s="56" t="str">
        <x:v>https://github.com/Roger-LegalEase/legalease-partner-dashboard-clean/blob/2f0ef0403f16e57544ad0bc86b2d1b1cd08861b3/src/lib/rcap-engine/compiled/profiles/TN-tennessee.json</x:v>
      </x:c>
    </x:row>
    <x:row r="538">
      <x:c r="A538" s="55" t="str">
        <x:v>Tennessee</x:v>
      </x:c>
      <x:c r="B538" s="142" t="str">
        <x:v>TN</x:v>
      </x:c>
      <x:c r="C538" s="142" t="str">
        <x:v>Which court or agency handled the case?</x:v>
      </x:c>
      <x:c r="D538" s="142" t="str">
        <x:v>case_details</x:v>
      </x:c>
      <x:c r="E538" s="142" t="str">
        <x:v>text</x:v>
      </x:c>
      <x:c r="F538" s="142" t="str">
        <x:v>Packet completion: record, court, case, filing, or form detail</x:v>
      </x:c>
      <x:c r="G538" s="56" t="str">
        <x:v>https://github.com/Roger-LegalEase/legalease-partner-dashboard-clean/blob/2f0ef0403f16e57544ad0bc86b2d1b1cd08861b3/src/lib/rcap-engine/compiled/profiles/TN-tennessee.json</x:v>
      </x:c>
    </x:row>
    <x:row r="539">
      <x:c r="A539" s="55" t="str">
        <x:v>Tennessee</x:v>
      </x:c>
      <x:c r="B539" s="142" t="str">
        <x:v>TN</x:v>
      </x:c>
      <x:c r="C539" s="142" t="str">
        <x:v>What charge, statute, or record description appears on the record?</x:v>
      </x:c>
      <x:c r="D539" s="142" t="str">
        <x:v>case_details</x:v>
      </x:c>
      <x:c r="E539" s="142" t="str">
        <x:v>text_or_unknown</x:v>
      </x:c>
      <x:c r="F539" s="142" t="str">
        <x:v>Packet completion: record, court, case, filing, or form detail</x:v>
      </x:c>
      <x:c r="G539" s="56" t="str">
        <x:v>https://github.com/Roger-LegalEase/legalease-partner-dashboard-clean/blob/2f0ef0403f16e57544ad0bc86b2d1b1cd08861b3/src/lib/rcap-engine/compiled/profiles/TN-tennessee.json</x:v>
      </x:c>
    </x:row>
    <x:row r="540">
      <x:c r="A540" s="55" t="str">
        <x:v>Tennessee</x:v>
      </x:c>
      <x:c r="B540" s="142" t="str">
        <x:v>TN</x:v>
      </x:c>
      <x:c r="C540" s="142" t="str">
        <x:v>Do you have court paperwork or a criminal-history record showing the exact charge and outcome?</x:v>
      </x:c>
      <x:c r="D540" s="142" t="str">
        <x:v>record_readiness</x:v>
      </x:c>
      <x:c r="E540" s="142" t="str">
        <x:v>yes_no_unsure</x:v>
      </x:c>
      <x:c r="F540" s="142" t="str">
        <x:v>Packet completion: record, court, case, filing, or form detail</x:v>
      </x:c>
      <x:c r="G540" s="56" t="str">
        <x:v>https://github.com/Roger-LegalEase/legalease-partner-dashboard-clean/blob/2f0ef0403f16e57544ad0bc86b2d1b1cd08861b3/src/lib/rcap-engine/compiled/profiles/TN-tennessee.json</x:v>
      </x:c>
    </x:row>
    <x:row r="541">
      <x:c r="A541" s="55" t="str">
        <x:v>Tennessee</x:v>
      </x:c>
      <x:c r="B541" s="142" t="str">
        <x:v>TN</x:v>
      </x:c>
      <x:c r="C541" s="142" t="str">
        <x:v>Where in Tennessee was the case handled?</x:v>
      </x:c>
      <x:c r="D541" s="142" t="str">
        <x:v>case_details</x:v>
      </x:c>
      <x:c r="E541" s="142" t="str">
        <x:v>text_or_unknown</x:v>
      </x:c>
      <x:c r="F541" s="142" t="str">
        <x:v>Packet completion: record, court, case, filing, or form detail</x:v>
      </x:c>
      <x:c r="G541" s="56" t="str">
        <x:v>https://github.com/Roger-LegalEase/legalease-partner-dashboard-clean/blob/2f0ef0403f16e57544ad0bc86b2d1b1cd08861b3/src/lib/rcap-engine/compiled/profiles/TN-tennessee.json</x:v>
      </x:c>
    </x:row>
    <x:row r="542">
      <x:c r="A542" s="55" t="str">
        <x:v>Tennessee</x:v>
      </x:c>
      <x:c r="B542" s="142" t="str">
        <x:v>TN</x:v>
      </x:c>
      <x:c r="C542" s="142" t="str">
        <x:v>What case, docket, cause, or arrest number appears on the record?</x:v>
      </x:c>
      <x:c r="D542" s="142" t="str">
        <x:v>case_details</x:v>
      </x:c>
      <x:c r="E542" s="142" t="str">
        <x:v>text_or_unknown</x:v>
      </x:c>
      <x:c r="F542" s="142" t="str">
        <x:v>Packet completion: record, court, case, filing, or form detail</x:v>
      </x:c>
      <x:c r="G542" s="56" t="str">
        <x:v>https://github.com/Roger-LegalEase/legalease-partner-dashboard-clean/blob/2f0ef0403f16e57544ad0bc86b2d1b1cd08861b3/src/lib/rcap-engine/compiled/profiles/TN-tennessee.json</x:v>
      </x:c>
    </x:row>
    <x:row r="543">
      <x:c r="A543" s="55" t="str">
        <x:v>Texas</x:v>
      </x:c>
      <x:c r="B543" s="142" t="str">
        <x:v>TX</x:v>
      </x:c>
      <x:c r="C543" s="142" t="str">
        <x:v>When was the case disposed of, dismissed, completed, or discharged?</x:v>
      </x:c>
      <x:c r="D543" s="142" t="str">
        <x:v>timing_and_completion</x:v>
      </x:c>
      <x:c r="E543" s="142" t="str">
        <x:v>date_or_unknown</x:v>
      </x:c>
      <x:c r="F543" s="142" t="str">
        <x:v>Packet completion/final verification: exact date; free check uses approximate timing where appropriate</x:v>
      </x:c>
      <x:c r="G543" s="56" t="str">
        <x:v>https://github.com/Roger-LegalEase/legalease-partner-dashboard-clean/blob/2f0ef0403f16e57544ad0bc86b2d1b1cd08861b3/src/lib/rcap-engine/compiled/profiles/TX-texas.json</x:v>
      </x:c>
    </x:row>
    <x:row r="544">
      <x:c r="A544" s="55" t="str">
        <x:v>Texas</x:v>
      </x:c>
      <x:c r="B544" s="142" t="str">
        <x:v>TX</x:v>
      </x:c>
      <x:c r="C544" s="142" t="str">
        <x:v>When did the arrest or citation occur?</x:v>
      </x:c>
      <x:c r="D544" s="142" t="str">
        <x:v>case_details</x:v>
      </x:c>
      <x:c r="E544" s="142" t="str">
        <x:v>date_or_unknown</x:v>
      </x:c>
      <x:c r="F544" s="142" t="str">
        <x:v>Packet completion: record, court, case, filing, or form detail</x:v>
      </x:c>
      <x:c r="G544" s="56" t="str">
        <x:v>https://github.com/Roger-LegalEase/legalease-partner-dashboard-clean/blob/2f0ef0403f16e57544ad0bc86b2d1b1cd08861b3/src/lib/rcap-engine/compiled/profiles/TX-texas.json</x:v>
      </x:c>
    </x:row>
    <x:row r="545">
      <x:c r="A545" s="55" t="str">
        <x:v>Texas</x:v>
      </x:c>
      <x:c r="B545" s="142" t="str">
        <x:v>TX</x:v>
      </x:c>
      <x:c r="C545" s="142" t="str">
        <x:v>Which court or agency handled the case?</x:v>
      </x:c>
      <x:c r="D545" s="142" t="str">
        <x:v>case_details</x:v>
      </x:c>
      <x:c r="E545" s="142" t="str">
        <x:v>text</x:v>
      </x:c>
      <x:c r="F545" s="142" t="str">
        <x:v>Packet completion: record, court, case, filing, or form detail</x:v>
      </x:c>
      <x:c r="G545" s="56" t="str">
        <x:v>https://github.com/Roger-LegalEase/legalease-partner-dashboard-clean/blob/2f0ef0403f16e57544ad0bc86b2d1b1cd08861b3/src/lib/rcap-engine/compiled/profiles/TX-texas.json</x:v>
      </x:c>
    </x:row>
    <x:row r="546">
      <x:c r="A546" s="55" t="str">
        <x:v>Texas</x:v>
      </x:c>
      <x:c r="B546" s="142" t="str">
        <x:v>TX</x:v>
      </x:c>
      <x:c r="C546" s="142" t="str">
        <x:v>What charge, statute, or record description appears on the record?</x:v>
      </x:c>
      <x:c r="D546" s="142" t="str">
        <x:v>case_details</x:v>
      </x:c>
      <x:c r="E546" s="142" t="str">
        <x:v>text_or_unknown</x:v>
      </x:c>
      <x:c r="F546" s="142" t="str">
        <x:v>Packet completion: record, court, case, filing, or form detail</x:v>
      </x:c>
      <x:c r="G546" s="56" t="str">
        <x:v>https://github.com/Roger-LegalEase/legalease-partner-dashboard-clean/blob/2f0ef0403f16e57544ad0bc86b2d1b1cd08861b3/src/lib/rcap-engine/compiled/profiles/TX-texas.json</x:v>
      </x:c>
    </x:row>
    <x:row r="547">
      <x:c r="A547" s="55" t="str">
        <x:v>Texas</x:v>
      </x:c>
      <x:c r="B547" s="142" t="str">
        <x:v>TX</x:v>
      </x:c>
      <x:c r="C547" s="142" t="str">
        <x:v>Do you have court paperwork or a criminal-history record showing the exact charge and outcome?</x:v>
      </x:c>
      <x:c r="D547" s="142" t="str">
        <x:v>record_readiness</x:v>
      </x:c>
      <x:c r="E547" s="142" t="str">
        <x:v>yes_no_unsure</x:v>
      </x:c>
      <x:c r="F547" s="142" t="str">
        <x:v>Packet completion: record, court, case, filing, or form detail</x:v>
      </x:c>
      <x:c r="G547" s="56" t="str">
        <x:v>https://github.com/Roger-LegalEase/legalease-partner-dashboard-clean/blob/2f0ef0403f16e57544ad0bc86b2d1b1cd08861b3/src/lib/rcap-engine/compiled/profiles/TX-texas.json</x:v>
      </x:c>
    </x:row>
    <x:row r="548">
      <x:c r="A548" s="55" t="str">
        <x:v>Texas</x:v>
      </x:c>
      <x:c r="B548" s="142" t="str">
        <x:v>TX</x:v>
      </x:c>
      <x:c r="C548" s="142" t="str">
        <x:v>Where in Texas was the case handled?</x:v>
      </x:c>
      <x:c r="D548" s="142" t="str">
        <x:v>case_details</x:v>
      </x:c>
      <x:c r="E548" s="142" t="str">
        <x:v>text_or_unknown</x:v>
      </x:c>
      <x:c r="F548" s="142" t="str">
        <x:v>Packet completion: record, court, case, filing, or form detail</x:v>
      </x:c>
      <x:c r="G548" s="56" t="str">
        <x:v>https://github.com/Roger-LegalEase/legalease-partner-dashboard-clean/blob/2f0ef0403f16e57544ad0bc86b2d1b1cd08861b3/src/lib/rcap-engine/compiled/profiles/TX-texas.json</x:v>
      </x:c>
    </x:row>
    <x:row r="549">
      <x:c r="A549" s="55" t="str">
        <x:v>Texas</x:v>
      </x:c>
      <x:c r="B549" s="142" t="str">
        <x:v>TX</x:v>
      </x:c>
      <x:c r="C549" s="142" t="str">
        <x:v>What case, docket, cause, or arrest number appears on the record?</x:v>
      </x:c>
      <x:c r="D549" s="142" t="str">
        <x:v>case_details</x:v>
      </x:c>
      <x:c r="E549" s="142" t="str">
        <x:v>text_or_unknown</x:v>
      </x:c>
      <x:c r="F549" s="142" t="str">
        <x:v>Packet completion: record, court, case, filing, or form detail</x:v>
      </x:c>
      <x:c r="G549" s="56" t="str">
        <x:v>https://github.com/Roger-LegalEase/legalease-partner-dashboard-clean/blob/2f0ef0403f16e57544ad0bc86b2d1b1cd08861b3/src/lib/rcap-engine/compiled/profiles/TX-texas.json</x:v>
      </x:c>
    </x:row>
    <x:row r="550">
      <x:c r="A550" s="55" t="str">
        <x:v>Utah</x:v>
      </x:c>
      <x:c r="B550" s="142" t="str">
        <x:v>UT</x:v>
      </x:c>
      <x:c r="C550" s="142" t="str">
        <x:v>1 Was this case in Utah?</x:v>
      </x:c>
      <x:c r="D550" s="142" t="str">
        <x:v>state_specific_eligibility</x:v>
      </x:c>
      <x:c r="E550" s="142" t="str">
        <x:v>text_or_choice</x:v>
      </x:c>
      <x:c r="F550" s="142" t="str">
        <x:v>Packet completion or final verification: source questionnaire detail is not part of the short free check</x:v>
      </x:c>
      <x:c r="G550" s="56" t="str">
        <x:v>https://github.com/Roger-LegalEase/legalease-partner-dashboard-clean/blob/2f0ef0403f16e57544ad0bc86b2d1b1cd08861b3/src/lib/rcap-engine/compiled/profiles/UT-utah.json</x:v>
      </x:c>
    </x:row>
    <x:row r="551">
      <x:c r="A551" s="55" t="str">
        <x:v>Utah</x:v>
      </x:c>
      <x:c r="B551" s="142" t="str">
        <x:v>UT</x:v>
      </x:c>
      <x:c r="C551" s="142" t="str">
        <x:v>2 Was it handled in adult court, juvenile court, federal court, tribal court, military court, or another state?</x:v>
      </x:c>
      <x:c r="D551" s="142" t="str">
        <x:v>state_specific_eligibility</x:v>
      </x:c>
      <x:c r="E551" s="142" t="str">
        <x:v>text_or_choice</x:v>
      </x:c>
      <x:c r="F551" s="142" t="str">
        <x:v>Packet completion or final verification: source questionnaire detail is not part of the short free check</x:v>
      </x:c>
      <x:c r="G551" s="56" t="str">
        <x:v>https://github.com/Roger-LegalEase/legalease-partner-dashboard-clean/blob/2f0ef0403f16e57544ad0bc86b2d1b1cd08861b3/src/lib/rcap-engine/compiled/profiles/UT-utah.json</x:v>
      </x:c>
    </x:row>
    <x:row r="552">
      <x:c r="A552" s="55" t="str">
        <x:v>Utah</x:v>
      </x:c>
      <x:c r="B552" s="142" t="str">
        <x:v>UT</x:v>
      </x:c>
      <x:c r="C552" s="142" t="str">
        <x:v>3 Which court handled the case?</x:v>
      </x:c>
      <x:c r="D552" s="142" t="str">
        <x:v>state_specific_eligibility</x:v>
      </x:c>
      <x:c r="E552" s="142" t="str">
        <x:v>text_or_choice</x:v>
      </x:c>
      <x:c r="F552" s="142" t="str">
        <x:v>Packet completion or final verification: source questionnaire detail is not part of the short free check</x:v>
      </x:c>
      <x:c r="G552" s="56" t="str">
        <x:v>https://github.com/Roger-LegalEase/legalease-partner-dashboard-clean/blob/2f0ef0403f16e57544ad0bc86b2d1b1cd08861b3/src/lib/rcap-engine/compiled/profiles/UT-utah.json</x:v>
      </x:c>
    </x:row>
    <x:row r="553">
      <x:c r="A553" s="55" t="str">
        <x:v>Utah</x:v>
      </x:c>
      <x:c r="B553" s="142" t="str">
        <x:v>UT</x:v>
      </x:c>
      <x:c r="C553" s="142" t="str">
        <x:v>4 What is the case number?</x:v>
      </x:c>
      <x:c r="D553" s="142" t="str">
        <x:v>state_specific_eligibility</x:v>
      </x:c>
      <x:c r="E553" s="142" t="str">
        <x:v>text_or_choice</x:v>
      </x:c>
      <x:c r="F553" s="142" t="str">
        <x:v>Packet completion or final verification: source questionnaire detail is not part of the short free check</x:v>
      </x:c>
      <x:c r="G553" s="56" t="str">
        <x:v>https://github.com/Roger-LegalEase/legalease-partner-dashboard-clean/blob/2f0ef0403f16e57544ad0bc86b2d1b1cd08861b3/src/lib/rcap-engine/compiled/profiles/UT-utah.json</x:v>
      </x:c>
    </x:row>
    <x:row r="554">
      <x:c r="A554" s="55" t="str">
        <x:v>Utah</x:v>
      </x:c>
      <x:c r="B554" s="142" t="str">
        <x:v>UT</x:v>
      </x:c>
      <x:c r="C554" s="142" t="str">
        <x:v>Arrest only?</x:v>
      </x:c>
      <x:c r="D554" s="142" t="str">
        <x:v>state_specific_eligibility</x:v>
      </x:c>
      <x:c r="E554" s="142" t="str">
        <x:v>text_or_choice</x:v>
      </x:c>
      <x:c r="F554" s="142" t="str">
        <x:v>Packet completion or final verification: source questionnaire detail is not part of the short free check</x:v>
      </x:c>
      <x:c r="G554" s="56" t="str">
        <x:v>https://github.com/Roger-LegalEase/legalease-partner-dashboard-clean/blob/2f0ef0403f16e57544ad0bc86b2d1b1cd08861b3/src/lib/rcap-engine/compiled/profiles/UT-utah.json</x:v>
      </x:c>
    </x:row>
    <x:row r="555">
      <x:c r="A555" s="55" t="str">
        <x:v>Utah</x:v>
      </x:c>
      <x:c r="B555" s="142" t="str">
        <x:v>UT</x:v>
      </x:c>
      <x:c r="C555" s="142" t="str">
        <x:v>No charges filed?</x:v>
      </x:c>
      <x:c r="D555" s="142" t="str">
        <x:v>state_specific_eligibility</x:v>
      </x:c>
      <x:c r="E555" s="142" t="str">
        <x:v>text_or_choice</x:v>
      </x:c>
      <x:c r="F555" s="142" t="str">
        <x:v>Packet completion or final verification: source questionnaire detail is not part of the short free check</x:v>
      </x:c>
      <x:c r="G555" s="56" t="str">
        <x:v>https://github.com/Roger-LegalEase/legalease-partner-dashboard-clean/blob/2f0ef0403f16e57544ad0bc86b2d1b1cd08861b3/src/lib/rcap-engine/compiled/profiles/UT-utah.json</x:v>
      </x:c>
    </x:row>
    <x:row r="556">
      <x:c r="A556" s="55" t="str">
        <x:v>Utah</x:v>
      </x:c>
      <x:c r="B556" s="142" t="str">
        <x:v>UT</x:v>
      </x:c>
      <x:c r="C556" s="142" t="str">
        <x:v>Acquittal?</x:v>
      </x:c>
      <x:c r="D556" s="142" t="str">
        <x:v>state_specific_eligibility</x:v>
      </x:c>
      <x:c r="E556" s="142" t="str">
        <x:v>text_or_choice</x:v>
      </x:c>
      <x:c r="F556" s="142" t="str">
        <x:v>Packet completion or final verification: source questionnaire detail is not part of the short free check</x:v>
      </x:c>
      <x:c r="G556" s="56" t="str">
        <x:v>https://github.com/Roger-LegalEase/legalease-partner-dashboard-clean/blob/2f0ef0403f16e57544ad0bc86b2d1b1cd08861b3/src/lib/rcap-engine/compiled/profiles/UT-utah.json</x:v>
      </x:c>
    </x:row>
    <x:row r="557">
      <x:c r="A557" s="55" t="str">
        <x:v>Utah</x:v>
      </x:c>
      <x:c r="B557" s="142" t="str">
        <x:v>UT</x:v>
      </x:c>
      <x:c r="C557" s="142" t="str">
        <x:v>Dismissal with prejudice?</x:v>
      </x:c>
      <x:c r="D557" s="142" t="str">
        <x:v>state_specific_eligibility</x:v>
      </x:c>
      <x:c r="E557" s="142" t="str">
        <x:v>text_or_choice</x:v>
      </x:c>
      <x:c r="F557" s="142" t="str">
        <x:v>Packet completion or final verification: source questionnaire detail is not part of the short free check</x:v>
      </x:c>
      <x:c r="G557" s="56" t="str">
        <x:v>https://github.com/Roger-LegalEase/legalease-partner-dashboard-clean/blob/2f0ef0403f16e57544ad0bc86b2d1b1cd08861b3/src/lib/rcap-engine/compiled/profiles/UT-utah.json</x:v>
      </x:c>
    </x:row>
    <x:row r="558">
      <x:c r="A558" s="55" t="str">
        <x:v>Utah</x:v>
      </x:c>
      <x:c r="B558" s="142" t="str">
        <x:v>UT</x:v>
      </x:c>
      <x:c r="C558" s="142" t="str">
        <x:v>Dismissal without prejudice?</x:v>
      </x:c>
      <x:c r="D558" s="142" t="str">
        <x:v>state_specific_eligibility</x:v>
      </x:c>
      <x:c r="E558" s="142" t="str">
        <x:v>text_or_choice</x:v>
      </x:c>
      <x:c r="F558" s="142" t="str">
        <x:v>Packet completion or final verification: source questionnaire detail is not part of the short free check</x:v>
      </x:c>
      <x:c r="G558" s="56" t="str">
        <x:v>https://github.com/Roger-LegalEase/legalease-partner-dashboard-clean/blob/2f0ef0403f16e57544ad0bc86b2d1b1cd08861b3/src/lib/rcap-engine/compiled/profiles/UT-utah.json</x:v>
      </x:c>
    </x:row>
    <x:row r="559">
      <x:c r="A559" s="55" t="str">
        <x:v>Utah</x:v>
      </x:c>
      <x:c r="B559" s="142" t="str">
        <x:v>UT</x:v>
      </x:c>
      <x:c r="C559" s="142" t="str">
        <x:v>Plea in abeyance?</x:v>
      </x:c>
      <x:c r="D559" s="142" t="str">
        <x:v>state_specific_eligibility</x:v>
      </x:c>
      <x:c r="E559" s="142" t="str">
        <x:v>text_or_choice</x:v>
      </x:c>
      <x:c r="F559" s="142" t="str">
        <x:v>Packet completion or final verification: source questionnaire detail is not part of the short free check</x:v>
      </x:c>
      <x:c r="G559" s="56" t="str">
        <x:v>https://github.com/Roger-LegalEase/legalease-partner-dashboard-clean/blob/2f0ef0403f16e57544ad0bc86b2d1b1cd08861b3/src/lib/rcap-engine/compiled/profiles/UT-utah.json</x:v>
      </x:c>
    </x:row>
    <x:row r="560">
      <x:c r="A560" s="55" t="str">
        <x:v>Utah</x:v>
      </x:c>
      <x:c r="B560" s="142" t="str">
        <x:v>UT</x:v>
      </x:c>
      <x:c r="C560" s="142" t="str">
        <x:v>Conviction?</x:v>
      </x:c>
      <x:c r="D560" s="142" t="str">
        <x:v>state_specific_eligibility</x:v>
      </x:c>
      <x:c r="E560" s="142" t="str">
        <x:v>text_or_choice</x:v>
      </x:c>
      <x:c r="F560" s="142" t="str">
        <x:v>Packet completion or final verification: source questionnaire detail is not part of the short free check</x:v>
      </x:c>
      <x:c r="G560" s="56" t="str">
        <x:v>https://github.com/Roger-LegalEase/legalease-partner-dashboard-clean/blob/2f0ef0403f16e57544ad0bc86b2d1b1cd08861b3/src/lib/rcap-engine/compiled/profiles/UT-utah.json</x:v>
      </x:c>
    </x:row>
    <x:row r="561">
      <x:c r="A561" s="55" t="str">
        <x:v>Utah</x:v>
      </x:c>
      <x:c r="B561" s="142" t="str">
        <x:v>UT</x:v>
      </x:c>
      <x:c r="C561" s="142" t="str">
        <x:v>6 What was the charge and statute?</x:v>
      </x:c>
      <x:c r="D561" s="142" t="str">
        <x:v>state_specific_eligibility</x:v>
      </x:c>
      <x:c r="E561" s="142" t="str">
        <x:v>text_or_choice</x:v>
      </x:c>
      <x:c r="F561" s="142" t="str">
        <x:v>Packet completion or final verification: source questionnaire detail is not part of the short free check</x:v>
      </x:c>
      <x:c r="G561" s="56" t="str">
        <x:v>https://github.com/Roger-LegalEase/legalease-partner-dashboard-clean/blob/2f0ef0403f16e57544ad0bc86b2d1b1cd08861b3/src/lib/rcap-engine/compiled/profiles/UT-utah.json</x:v>
      </x:c>
    </x:row>
    <x:row r="562">
      <x:c r="A562" s="55" t="str">
        <x:v>Utah</x:v>
      </x:c>
      <x:c r="B562" s="142" t="str">
        <x:v>UT</x:v>
      </x:c>
      <x:c r="C562" s="142" t="str">
        <x:v>7 Was it a felony, Class A misdemeanor, Class B misdemeanor, Class C misdemeanor, infraction, traffic offense, DUI, drug possession, or cannabis possession?</x:v>
      </x:c>
      <x:c r="D562" s="142" t="str">
        <x:v>state_specific_eligibility</x:v>
      </x:c>
      <x:c r="E562" s="142" t="str">
        <x:v>text_or_choice</x:v>
      </x:c>
      <x:c r="F562" s="142" t="str">
        <x:v>Packet completion or final verification: source questionnaire detail is not part of the short free check</x:v>
      </x:c>
      <x:c r="G562" s="56" t="str">
        <x:v>https://github.com/Roger-LegalEase/legalease-partner-dashboard-clean/blob/2f0ef0403f16e57544ad0bc86b2d1b1cd08861b3/src/lib/rcap-engine/compiled/profiles/UT-utah.json</x:v>
      </x:c>
    </x:row>
    <x:row r="563">
      <x:c r="A563" s="55" t="str">
        <x:v>Utah</x:v>
      </x:c>
      <x:c r="B563" s="142" t="str">
        <x:v>UT</x:v>
      </x:c>
      <x:c r="C563" s="142" t="str">
        <x:v>8 Was it domestic violence, assault, sex-related, weapons-related, stalking, child-abuse-related, or registry-related?</x:v>
      </x:c>
      <x:c r="D563" s="142" t="str">
        <x:v>state_specific_eligibility</x:v>
      </x:c>
      <x:c r="E563" s="142" t="str">
        <x:v>text_or_choice</x:v>
      </x:c>
      <x:c r="F563" s="142" t="str">
        <x:v>Packet completion or final verification: source questionnaire detail is not part of the short free check</x:v>
      </x:c>
      <x:c r="G563" s="56" t="str">
        <x:v>https://github.com/Roger-LegalEase/legalease-partner-dashboard-clean/blob/2f0ef0403f16e57544ad0bc86b2d1b1cd08861b3/src/lib/rcap-engine/compiled/profiles/UT-utah.json</x:v>
      </x:c>
    </x:row>
    <x:row r="564">
      <x:c r="A564" s="55" t="str">
        <x:v>Utah</x:v>
      </x:c>
      <x:c r="B564" s="142" t="str">
        <x:v>UT</x:v>
      </x:c>
      <x:c r="C564" s="142" t="str">
        <x:v>9 Was there a victim?</x:v>
      </x:c>
      <x:c r="D564" s="142" t="str">
        <x:v>state_specific_eligibility</x:v>
      </x:c>
      <x:c r="E564" s="142" t="str">
        <x:v>text_or_choice</x:v>
      </x:c>
      <x:c r="F564" s="142" t="str">
        <x:v>Packet completion or final verification: source questionnaire detail is not part of the short free check</x:v>
      </x:c>
      <x:c r="G564" s="56" t="str">
        <x:v>https://github.com/Roger-LegalEase/legalease-partner-dashboard-clean/blob/2f0ef0403f16e57544ad0bc86b2d1b1cd08861b3/src/lib/rcap-engine/compiled/profiles/UT-utah.json</x:v>
      </x:c>
    </x:row>
    <x:row r="565">
      <x:c r="A565" s="55" t="str">
        <x:v>Utah</x:v>
      </x:c>
      <x:c r="B565" s="142" t="str">
        <x:v>UT</x:v>
      </x:c>
      <x:c r="C565" s="142" t="str">
        <x:v>10 Is there a criminal protective order, civil protective order, or stalking injunction still in effect?</x:v>
      </x:c>
      <x:c r="D565" s="142" t="str">
        <x:v>state_specific_eligibility</x:v>
      </x:c>
      <x:c r="E565" s="142" t="str">
        <x:v>text_or_choice</x:v>
      </x:c>
      <x:c r="F565" s="142" t="str">
        <x:v>Packet completion or final verification: source questionnaire detail is not part of the short free check</x:v>
      </x:c>
      <x:c r="G565" s="56" t="str">
        <x:v>https://github.com/Roger-LegalEase/legalease-partner-dashboard-clean/blob/2f0ef0403f16e57544ad0bc86b2d1b1cd08861b3/src/lib/rcap-engine/compiled/profiles/UT-utah.json</x:v>
      </x:c>
    </x:row>
    <x:row r="566">
      <x:c r="A566" s="55" t="str">
        <x:v>Utah</x:v>
      </x:c>
      <x:c r="B566" s="142" t="str">
        <x:v>UT</x:v>
      </x:c>
      <x:c r="C566" s="142" t="str">
        <x:v>11 Are any misdemeanor or felony cases pending?</x:v>
      </x:c>
      <x:c r="D566" s="142" t="str">
        <x:v>state_specific_eligibility</x:v>
      </x:c>
      <x:c r="E566" s="142" t="str">
        <x:v>text_or_choice</x:v>
      </x:c>
      <x:c r="F566" s="142" t="str">
        <x:v>Packet completion or final verification: source questionnaire detail is not part of the short free check</x:v>
      </x:c>
      <x:c r="G566" s="56" t="str">
        <x:v>https://github.com/Roger-LegalEase/legalease-partner-dashboard-clean/blob/2f0ef0403f16e57544ad0bc86b2d1b1cd08861b3/src/lib/rcap-engine/compiled/profiles/UT-utah.json</x:v>
      </x:c>
    </x:row>
    <x:row r="567">
      <x:c r="A567" s="55" t="str">
        <x:v>Utah</x:v>
      </x:c>
      <x:c r="B567" s="142" t="str">
        <x:v>UT</x:v>
      </x:c>
      <x:c r="C567" s="142" t="str">
        <x:v>12 Is any plea in abeyance pending?</x:v>
      </x:c>
      <x:c r="D567" s="142" t="str">
        <x:v>state_specific_eligibility</x:v>
      </x:c>
      <x:c r="E567" s="142" t="str">
        <x:v>text_or_choice</x:v>
      </x:c>
      <x:c r="F567" s="142" t="str">
        <x:v>Packet completion or final verification: source questionnaire detail is not part of the short free check</x:v>
      </x:c>
      <x:c r="G567" s="56" t="str">
        <x:v>https://github.com/Roger-LegalEase/legalease-partner-dashboard-clean/blob/2f0ef0403f16e57544ad0bc86b2d1b1cd08861b3/src/lib/rcap-engine/compiled/profiles/UT-utah.json</x:v>
      </x:c>
    </x:row>
    <x:row r="568">
      <x:c r="A568" s="55" t="str">
        <x:v>Utah</x:v>
      </x:c>
      <x:c r="B568" s="142" t="str">
        <x:v>UT</x:v>
      </x:c>
      <x:c r="C568" s="142" t="str">
        <x:v>13 Is the person currently incarcerated, on parole, or on probation?</x:v>
      </x:c>
      <x:c r="D568" s="142" t="str">
        <x:v>state_specific_eligibility</x:v>
      </x:c>
      <x:c r="E568" s="142" t="str">
        <x:v>text_or_choice</x:v>
      </x:c>
      <x:c r="F568" s="142" t="str">
        <x:v>Packet completion or final verification: source questionnaire detail is not part of the short free check</x:v>
      </x:c>
      <x:c r="G568" s="56" t="str">
        <x:v>https://github.com/Roger-LegalEase/legalease-partner-dashboard-clean/blob/2f0ef0403f16e57544ad0bc86b2d1b1cd08861b3/src/lib/rcap-engine/compiled/profiles/UT-utah.json</x:v>
      </x:c>
    </x:row>
    <x:row r="569">
      <x:c r="A569" s="55" t="str">
        <x:v>Utah</x:v>
      </x:c>
      <x:c r="B569" s="142" t="str">
        <x:v>UT</x:v>
      </x:c>
      <x:c r="C569" s="142" t="str">
        <x:v>14 When were conviction, incarceration, parole, and probation fully completed?</x:v>
      </x:c>
      <x:c r="D569" s="142" t="str">
        <x:v>state_specific_eligibility</x:v>
      </x:c>
      <x:c r="E569" s="142" t="str">
        <x:v>text_or_choice</x:v>
      </x:c>
      <x:c r="F569" s="142" t="str">
        <x:v>Packet completion or final verification: source questionnaire detail is not part of the short free check</x:v>
      </x:c>
      <x:c r="G569" s="56" t="str">
        <x:v>https://github.com/Roger-LegalEase/legalease-partner-dashboard-clean/blob/2f0ef0403f16e57544ad0bc86b2d1b1cd08861b3/src/lib/rcap-engine/compiled/profiles/UT-utah.json</x:v>
      </x:c>
    </x:row>
    <x:row r="570">
      <x:c r="A570" s="55" t="str">
        <x:v>Utah</x:v>
      </x:c>
      <x:c r="B570" s="142" t="str">
        <x:v>UT</x:v>
      </x:c>
      <x:c r="C570" s="142" t="str">
        <x:v>15 Are all fines, interest, and restitution paid?</x:v>
      </x:c>
      <x:c r="D570" s="142" t="str">
        <x:v>state_specific_eligibility</x:v>
      </x:c>
      <x:c r="E570" s="142" t="str">
        <x:v>text_or_choice</x:v>
      </x:c>
      <x:c r="F570" s="142" t="str">
        <x:v>Packet completion or final verification: source questionnaire detail is not part of the short free check</x:v>
      </x:c>
      <x:c r="G570" s="56" t="str">
        <x:v>https://github.com/Roger-LegalEase/legalease-partner-dashboard-clean/blob/2f0ef0403f16e57544ad0bc86b2d1b1cd08861b3/src/lib/rcap-engine/compiled/profiles/UT-utah.json</x:v>
      </x:c>
    </x:row>
    <x:row r="571">
      <x:c r="A571" s="55" t="str">
        <x:v>Utah</x:v>
      </x:c>
      <x:c r="B571" s="142" t="str">
        <x:v>UT</x:v>
      </x:c>
      <x:c r="C571" s="142" t="str">
        <x:v>16 How many total convictions does the person have, including other states and prior expungements?</x:v>
      </x:c>
      <x:c r="D571" s="142" t="str">
        <x:v>state_specific_eligibility</x:v>
      </x:c>
      <x:c r="E571" s="142" t="str">
        <x:v>text_or_choice</x:v>
      </x:c>
      <x:c r="F571" s="142" t="str">
        <x:v>Packet completion or final verification: source questionnaire detail is not part of the short free check</x:v>
      </x:c>
      <x:c r="G571" s="56" t="str">
        <x:v>https://github.com/Roger-LegalEase/legalease-partner-dashboard-clean/blob/2f0ef0403f16e57544ad0bc86b2d1b1cd08861b3/src/lib/rcap-engine/compiled/profiles/UT-utah.json</x:v>
      </x:c>
    </x:row>
    <x:row r="572">
      <x:c r="A572" s="55" t="str">
        <x:v>Utah</x:v>
      </x:c>
      <x:c r="B572" s="142" t="str">
        <x:v>UT</x:v>
      </x:c>
      <x:c r="C572" s="142" t="str">
        <x:v>17 Has the case already been automatically expunged?</x:v>
      </x:c>
      <x:c r="D572" s="142" t="str">
        <x:v>state_specific_eligibility</x:v>
      </x:c>
      <x:c r="E572" s="142" t="str">
        <x:v>text_or_choice</x:v>
      </x:c>
      <x:c r="F572" s="142" t="str">
        <x:v>Packet completion or final verification: source questionnaire detail is not part of the short free check</x:v>
      </x:c>
      <x:c r="G572" s="56" t="str">
        <x:v>https://github.com/Roger-LegalEase/legalease-partner-dashboard-clean/blob/2f0ef0403f16e57544ad0bc86b2d1b1cd08861b3/src/lib/rcap-engine/compiled/profiles/UT-utah.json</x:v>
      </x:c>
    </x:row>
    <x:row r="573">
      <x:c r="A573" s="55" t="str">
        <x:v>Utah</x:v>
      </x:c>
      <x:c r="B573" s="142" t="str">
        <x:v>UT</x:v>
      </x:c>
      <x:c r="C573" s="142" t="str">
        <x:v>18 Is the person a noncitizen or dealing with immigration?</x:v>
      </x:c>
      <x:c r="D573" s="142" t="str">
        <x:v>state_specific_eligibility</x:v>
      </x:c>
      <x:c r="E573" s="142" t="str">
        <x:v>text_or_choice</x:v>
      </x:c>
      <x:c r="F573" s="142" t="str">
        <x:v>Packet completion or final verification: source questionnaire detail is not part of the short free check</x:v>
      </x:c>
      <x:c r="G573" s="56" t="str">
        <x:v>https://github.com/Roger-LegalEase/legalease-partner-dashboard-clean/blob/2f0ef0403f16e57544ad0bc86b2d1b1cd08861b3/src/lib/rcap-engine/compiled/profiles/UT-utah.json</x:v>
      </x:c>
    </x:row>
    <x:row r="574">
      <x:c r="A574" s="55" t="str">
        <x:v>Utah</x:v>
      </x:c>
      <x:c r="B574" s="142" t="str">
        <x:v>UT</x:v>
      </x:c>
      <x:c r="C574" s="142" t="str">
        <x:v>19 Is the expungement needed for employment, housing, school, licensing, education, law enforcement, firearms, immigration, or professional certification?</x:v>
      </x:c>
      <x:c r="D574" s="142" t="str">
        <x:v>state_specific_eligibility</x:v>
      </x:c>
      <x:c r="E574" s="142" t="str">
        <x:v>text_or_choice</x:v>
      </x:c>
      <x:c r="F574" s="142" t="str">
        <x:v>Packet completion or final verification: source questionnaire detail is not part of the short free check</x:v>
      </x:c>
      <x:c r="G574" s="56" t="str">
        <x:v>https://github.com/Roger-LegalEase/legalease-partner-dashboard-clean/blob/2f0ef0403f16e57544ad0bc86b2d1b1cd08861b3/src/lib/rcap-engine/compiled/profiles/UT-utah.json</x:v>
      </x:c>
    </x:row>
    <x:row r="575">
      <x:c r="A575" s="55" t="str">
        <x:v>Utah</x:v>
      </x:c>
      <x:c r="B575" s="142" t="str">
        <x:v>UT</x:v>
      </x:c>
      <x:c r="C575" s="142" t="str">
        <x:v>Check automatic expungement. For qualifying post-May 1, 2020 cases, the statutory goal is 60 days after acquittal.</x:v>
      </x:c>
      <x:c r="D575" s="142" t="str">
        <x:v>state_specific_eligibility</x:v>
      </x:c>
      <x:c r="E575" s="142" t="str">
        <x:v>text_or_choice</x:v>
      </x:c>
      <x:c r="F575" s="142" t="str">
        <x:v>Packet completion or final verification: source questionnaire detail is not part of the short free check</x:v>
      </x:c>
      <x:c r="G575" s="56" t="str">
        <x:v>https://github.com/Roger-LegalEase/legalease-partner-dashboard-clean/blob/2f0ef0403f16e57544ad0bc86b2d1b1cd08861b3/src/lib/rcap-engine/compiled/profiles/UT-utah.json</x:v>
      </x:c>
    </x:row>
    <x:row r="576">
      <x:c r="A576" s="55" t="str">
        <x:v>Utah</x:v>
      </x:c>
      <x:c r="B576" s="142" t="str">
        <x:v>UT</x:v>
      </x:c>
      <x:c r="C576" s="142" t="str">
        <x:v>Check automatic expungement. For qualifying post-May 1, 2020 cases, the statutory goal is 180 days after dismissal or final appeal. If the dismissal was after plea in abeyance, do not use the simple dismissed-with-prejudice automatic path.</x:v>
      </x:c>
      <x:c r="D576" s="142" t="str">
        <x:v>state_specific_eligibility</x:v>
      </x:c>
      <x:c r="E576" s="142" t="str">
        <x:v>text_or_choice</x:v>
      </x:c>
      <x:c r="F576" s="142" t="str">
        <x:v>Packet completion or final verification: source questionnaire detail is not part of the short free check</x:v>
      </x:c>
      <x:c r="G576" s="56" t="str">
        <x:v>https://github.com/Roger-LegalEase/legalease-partner-dashboard-clean/blob/2f0ef0403f16e57544ad0bc86b2d1b1cd08861b3/src/lib/rcap-engine/compiled/profiles/UT-utah.json</x:v>
      </x:c>
    </x:row>
    <x:row r="577">
      <x:c r="A577" s="55" t="str">
        <x:v>Utah</x:v>
      </x:c>
      <x:c r="B577" s="142" t="str">
        <x:v>UT</x:v>
      </x:c>
      <x:c r="C577" s="142" t="str">
        <x:v>Check BCI certificate or Clean Slate pathway. If petition-based, prosecutor consent or 180 days after dismissal may be required.</x:v>
      </x:c>
      <x:c r="D577" s="142" t="str">
        <x:v>state_specific_eligibility</x:v>
      </x:c>
      <x:c r="E577" s="142" t="str">
        <x:v>text_or_choice</x:v>
      </x:c>
      <x:c r="F577" s="142" t="str">
        <x:v>Packet completion or final verification: source questionnaire detail is not part of the short free check</x:v>
      </x:c>
      <x:c r="G577" s="56" t="str">
        <x:v>https://github.com/Roger-LegalEase/legalease-partner-dashboard-clean/blob/2f0ef0403f16e57544ad0bc86b2d1b1cd08861b3/src/lib/rcap-engine/compiled/profiles/UT-utah.json</x:v>
      </x:c>
    </x:row>
    <x:row r="578">
      <x:c r="A578" s="55" t="str">
        <x:v>Utah</x:v>
      </x:c>
      <x:c r="B578" s="142" t="str">
        <x:v>UT</x:v>
      </x:c>
      <x:c r="C578" s="142" t="str">
        <x:v>Check whether the plea was successfully completed and dismissed. Some plea-in-abeyance dismissals may qualify for Clean Slate timing, but others require petition analysis.</x:v>
      </x:c>
      <x:c r="D578" s="142" t="str">
        <x:v>state_specific_eligibility</x:v>
      </x:c>
      <x:c r="E578" s="142" t="str">
        <x:v>text_or_choice</x:v>
      </x:c>
      <x:c r="F578" s="142" t="str">
        <x:v>Packet completion or final verification: source questionnaire detail is not part of the short free check</x:v>
      </x:c>
      <x:c r="G578" s="56" t="str">
        <x:v>https://github.com/Roger-LegalEase/legalease-partner-dashboard-clean/blob/2f0ef0403f16e57544ad0bc86b2d1b1cd08861b3/src/lib/rcap-engine/compiled/profiles/UT-utah.json</x:v>
      </x:c>
    </x:row>
    <x:row r="579">
      <x:c r="A579" s="55" t="str">
        <x:v>Utah</x:v>
      </x:c>
      <x:c r="B579" s="142" t="str">
        <x:v>UT</x:v>
      </x:c>
      <x:c r="C579" s="142" t="str">
        <x:v>Check fines, interest, restitution, sentence completion, offense level, waiting period, disqualifying offense categories, pending cases, protective orders, and criminal-history numerical limits.</x:v>
      </x:c>
      <x:c r="D579" s="142" t="str">
        <x:v>state_specific_eligibility</x:v>
      </x:c>
      <x:c r="E579" s="142" t="str">
        <x:v>text_or_choice</x:v>
      </x:c>
      <x:c r="F579" s="142" t="str">
        <x:v>Packet completion or final verification: source questionnaire detail is not part of the short free check</x:v>
      </x:c>
      <x:c r="G579" s="56" t="str">
        <x:v>https://github.com/Roger-LegalEase/legalease-partner-dashboard-clean/blob/2f0ef0403f16e57544ad0bc86b2d1b1cd08861b3/src/lib/rcap-engine/compiled/profiles/UT-utah.json</x:v>
      </x:c>
    </x:row>
    <x:row r="580">
      <x:c r="A580" s="55" t="str">
        <x:v>Utah</x:v>
      </x:c>
      <x:c r="B580" s="142" t="str">
        <x:v>UT</x:v>
      </x:c>
      <x:c r="C580" s="142" t="str">
        <x:v>Check traffic deletion or traffic petition rules. No BCI certificate is needed for a traffic expungement petition. Do not treat DUI as ordinary traffic.</x:v>
      </x:c>
      <x:c r="D580" s="142" t="str">
        <x:v>state_specific_eligibility</x:v>
      </x:c>
      <x:c r="E580" s="142" t="str">
        <x:v>text_or_choice</x:v>
      </x:c>
      <x:c r="F580" s="142" t="str">
        <x:v>Packet completion or final verification: source questionnaire detail is not part of the short free check</x:v>
      </x:c>
      <x:c r="G580" s="56" t="str">
        <x:v>https://github.com/Roger-LegalEase/legalease-partner-dashboard-clean/blob/2f0ef0403f16e57544ad0bc86b2d1b1cd08861b3/src/lib/rcap-engine/compiled/profiles/UT-utah.json</x:v>
      </x:c>
    </x:row>
    <x:row r="581">
      <x:c r="A581" s="55" t="str">
        <x:v>Virginia</x:v>
      </x:c>
      <x:c r="B581" s="142" t="str">
        <x:v>VA</x:v>
      </x:c>
      <x:c r="C581" s="142" t="str">
        <x:v>When was the case disposed of, dismissed, completed, or discharged?</x:v>
      </x:c>
      <x:c r="D581" s="142" t="str">
        <x:v>timing_and_completion</x:v>
      </x:c>
      <x:c r="E581" s="142" t="str">
        <x:v>date_or_unknown</x:v>
      </x:c>
      <x:c r="F581" s="142" t="str">
        <x:v>Packet completion/final verification: exact date; free check uses approximate timing where appropriate</x:v>
      </x:c>
      <x:c r="G581" s="56" t="str">
        <x:v>https://github.com/Roger-LegalEase/legalease-partner-dashboard-clean/blob/2f0ef0403f16e57544ad0bc86b2d1b1cd08861b3/src/lib/rcap-engine/compiled/profiles/VA-virginia.json</x:v>
      </x:c>
    </x:row>
    <x:row r="582">
      <x:c r="A582" s="55" t="str">
        <x:v>Virginia</x:v>
      </x:c>
      <x:c r="B582" s="142" t="str">
        <x:v>VA</x:v>
      </x:c>
      <x:c r="C582" s="142" t="str">
        <x:v>Which court or agency handled the case?</x:v>
      </x:c>
      <x:c r="D582" s="142" t="str">
        <x:v>case_details</x:v>
      </x:c>
      <x:c r="E582" s="142" t="str">
        <x:v>text</x:v>
      </x:c>
      <x:c r="F582" s="142" t="str">
        <x:v>Packet completion: record, court, case, filing, or form detail</x:v>
      </x:c>
      <x:c r="G582" s="56" t="str">
        <x:v>https://github.com/Roger-LegalEase/legalease-partner-dashboard-clean/blob/2f0ef0403f16e57544ad0bc86b2d1b1cd08861b3/src/lib/rcap-engine/compiled/profiles/VA-virginia.json</x:v>
      </x:c>
    </x:row>
    <x:row r="583">
      <x:c r="A583" s="55" t="str">
        <x:v>Virginia</x:v>
      </x:c>
      <x:c r="B583" s="142" t="str">
        <x:v>VA</x:v>
      </x:c>
      <x:c r="C583" s="142" t="str">
        <x:v>What charge, statute, or record description appears on the record?</x:v>
      </x:c>
      <x:c r="D583" s="142" t="str">
        <x:v>case_details</x:v>
      </x:c>
      <x:c r="E583" s="142" t="str">
        <x:v>text_or_unknown</x:v>
      </x:c>
      <x:c r="F583" s="142" t="str">
        <x:v>Packet completion: record, court, case, filing, or form detail</x:v>
      </x:c>
      <x:c r="G583" s="56" t="str">
        <x:v>https://github.com/Roger-LegalEase/legalease-partner-dashboard-clean/blob/2f0ef0403f16e57544ad0bc86b2d1b1cd08861b3/src/lib/rcap-engine/compiled/profiles/VA-virginia.json</x:v>
      </x:c>
    </x:row>
    <x:row r="584">
      <x:c r="A584" s="55" t="str">
        <x:v>Virginia</x:v>
      </x:c>
      <x:c r="B584" s="142" t="str">
        <x:v>VA</x:v>
      </x:c>
      <x:c r="C584" s="142" t="str">
        <x:v>Do you have court paperwork or a criminal-history record showing the exact charge and outcome?</x:v>
      </x:c>
      <x:c r="D584" s="142" t="str">
        <x:v>record_readiness</x:v>
      </x:c>
      <x:c r="E584" s="142" t="str">
        <x:v>yes_no_unsure</x:v>
      </x:c>
      <x:c r="F584" s="142" t="str">
        <x:v>Packet completion: record, court, case, filing, or form detail</x:v>
      </x:c>
      <x:c r="G584" s="56" t="str">
        <x:v>https://github.com/Roger-LegalEase/legalease-partner-dashboard-clean/blob/2f0ef0403f16e57544ad0bc86b2d1b1cd08861b3/src/lib/rcap-engine/compiled/profiles/VA-virginia.json</x:v>
      </x:c>
    </x:row>
    <x:row r="585">
      <x:c r="A585" s="55" t="str">
        <x:v>Virginia</x:v>
      </x:c>
      <x:c r="B585" s="142" t="str">
        <x:v>VA</x:v>
      </x:c>
      <x:c r="C585" s="142" t="str">
        <x:v>Where in Virginia was the case handled?</x:v>
      </x:c>
      <x:c r="D585" s="142" t="str">
        <x:v>case_details</x:v>
      </x:c>
      <x:c r="E585" s="142" t="str">
        <x:v>text_or_unknown</x:v>
      </x:c>
      <x:c r="F585" s="142" t="str">
        <x:v>Packet completion: record, court, case, filing, or form detail</x:v>
      </x:c>
      <x:c r="G585" s="56" t="str">
        <x:v>https://github.com/Roger-LegalEase/legalease-partner-dashboard-clean/blob/2f0ef0403f16e57544ad0bc86b2d1b1cd08861b3/src/lib/rcap-engine/compiled/profiles/VA-virginia.json</x:v>
      </x:c>
    </x:row>
    <x:row r="586">
      <x:c r="A586" s="55" t="str">
        <x:v>Virginia</x:v>
      </x:c>
      <x:c r="B586" s="142" t="str">
        <x:v>VA</x:v>
      </x:c>
      <x:c r="C586" s="142" t="str">
        <x:v>What case, docket, cause, or arrest number appears on the record?</x:v>
      </x:c>
      <x:c r="D586" s="142" t="str">
        <x:v>case_details</x:v>
      </x:c>
      <x:c r="E586" s="142" t="str">
        <x:v>text_or_unknown</x:v>
      </x:c>
      <x:c r="F586" s="142" t="str">
        <x:v>Packet completion: record, court, case, filing, or form detail</x:v>
      </x:c>
      <x:c r="G586" s="56" t="str">
        <x:v>https://github.com/Roger-LegalEase/legalease-partner-dashboard-clean/blob/2f0ef0403f16e57544ad0bc86b2d1b1cd08861b3/src/lib/rcap-engine/compiled/profiles/VA-virginia.json</x:v>
      </x:c>
    </x:row>
    <x:row r="587">
      <x:c r="A587" s="55" t="str">
        <x:v>Vermont</x:v>
      </x:c>
      <x:c r="B587" s="142" t="str">
        <x:v>VT</x:v>
      </x:c>
      <x:c r="C587" s="142" t="str">
        <x:v>Ask in this order:</x:v>
      </x:c>
      <x:c r="D587" s="142" t="str">
        <x:v>state_specific_eligibility</x:v>
      </x:c>
      <x:c r="E587" s="142" t="str">
        <x:v>text_or_choice</x:v>
      </x:c>
      <x:c r="F587" s="142" t="str">
        <x:v>Packet completion or final verification: source questionnaire detail is not part of the short free check</x:v>
      </x:c>
      <x:c r="G587" s="56" t="str">
        <x:v>https://github.com/Roger-LegalEase/legalease-partner-dashboard-clean/blob/2f0ef0403f16e57544ad0bc86b2d1b1cd08861b3/src/lib/rcap-engine/compiled/profiles/VT-vermont.json</x:v>
      </x:c>
    </x:row>
    <x:row r="588">
      <x:c r="A588" s="55" t="str">
        <x:v>Vermont</x:v>
      </x:c>
      <x:c r="B588" s="142" t="str">
        <x:v>VT</x:v>
      </x:c>
      <x:c r="C588" s="142" t="str">
        <x:v>Was this a Vermont case, federal case, or out-of-state case?</x:v>
      </x:c>
      <x:c r="D588" s="142" t="str">
        <x:v>state_specific_eligibility</x:v>
      </x:c>
      <x:c r="E588" s="142" t="str">
        <x:v>yes_no_unsure</x:v>
      </x:c>
      <x:c r="F588" s="142" t="str">
        <x:v>Packet completion or final verification: source questionnaire detail is not part of the short free check</x:v>
      </x:c>
      <x:c r="G588" s="56" t="str">
        <x:v>https://github.com/Roger-LegalEase/legalease-partner-dashboard-clean/blob/2f0ef0403f16e57544ad0bc86b2d1b1cd08861b3/src/lib/rcap-engine/compiled/profiles/VT-vermont.json</x:v>
      </x:c>
    </x:row>
    <x:row r="589">
      <x:c r="A589" s="55" t="str">
        <x:v>Vermont</x:v>
      </x:c>
      <x:c r="B589" s="142" t="str">
        <x:v>VT</x:v>
      </x:c>
      <x:c r="C589" s="142" t="str">
        <x:v>Was there a conviction, or was it dismissed, acquitted, no probable cause, or never charged?</x:v>
      </x:c>
      <x:c r="D589" s="142" t="str">
        <x:v>state_specific_eligibility</x:v>
      </x:c>
      <x:c r="E589" s="142" t="str">
        <x:v>yes_no_unsure</x:v>
      </x:c>
      <x:c r="F589" s="142" t="str">
        <x:v>Packet completion or final verification: source questionnaire detail is not part of the short free check</x:v>
      </x:c>
      <x:c r="G589" s="56" t="str">
        <x:v>https://github.com/Roger-LegalEase/legalease-partner-dashboard-clean/blob/2f0ef0403f16e57544ad0bc86b2d1b1cd08861b3/src/lib/rcap-engine/compiled/profiles/VT-vermont.json</x:v>
      </x:c>
    </x:row>
    <x:row r="590">
      <x:c r="A590" s="55" t="str">
        <x:v>Vermont</x:v>
      </x:c>
      <x:c r="B590" s="142" t="str">
        <x:v>VT</x:v>
      </x:c>
      <x:c r="C590" s="142" t="str">
        <x:v>What county and court handled it?</x:v>
      </x:c>
      <x:c r="D590" s="142" t="str">
        <x:v>state_specific_eligibility</x:v>
      </x:c>
      <x:c r="E590" s="142" t="str">
        <x:v>text_or_choice</x:v>
      </x:c>
      <x:c r="F590" s="142" t="str">
        <x:v>Packet completion or final verification: source questionnaire detail is not part of the short free check</x:v>
      </x:c>
      <x:c r="G590" s="56" t="str">
        <x:v>https://github.com/Roger-LegalEase/legalease-partner-dashboard-clean/blob/2f0ef0403f16e57544ad0bc86b2d1b1cd08861b3/src/lib/rcap-engine/compiled/profiles/VT-vermont.json</x:v>
      </x:c>
    </x:row>
    <x:row r="591">
      <x:c r="A591" s="55" t="str">
        <x:v>Vermont</x:v>
      </x:c>
      <x:c r="B591" s="142" t="str">
        <x:v>VT</x:v>
      </x:c>
      <x:c r="C591" s="142" t="str">
        <x:v>What is the docket number?</x:v>
      </x:c>
      <x:c r="D591" s="142" t="str">
        <x:v>state_specific_eligibility</x:v>
      </x:c>
      <x:c r="E591" s="142" t="str">
        <x:v>text_or_choice</x:v>
      </x:c>
      <x:c r="F591" s="142" t="str">
        <x:v>Packet completion or final verification: source questionnaire detail is not part of the short free check</x:v>
      </x:c>
      <x:c r="G591" s="56" t="str">
        <x:v>https://github.com/Roger-LegalEase/legalease-partner-dashboard-clean/blob/2f0ef0403f16e57544ad0bc86b2d1b1cd08861b3/src/lib/rcap-engine/compiled/profiles/VT-vermont.json</x:v>
      </x:c>
    </x:row>
    <x:row r="592">
      <x:c r="A592" s="55" t="str">
        <x:v>Vermont</x:v>
      </x:c>
      <x:c r="B592" s="142" t="str">
        <x:v>VT</x:v>
      </x:c>
      <x:c r="C592" s="142" t="str">
        <x:v>What was the exact offense and statute?</x:v>
      </x:c>
      <x:c r="D592" s="142" t="str">
        <x:v>state_specific_eligibility</x:v>
      </x:c>
      <x:c r="E592" s="142" t="str">
        <x:v>text_or_choice</x:v>
      </x:c>
      <x:c r="F592" s="142" t="str">
        <x:v>Packet completion or final verification: source questionnaire detail is not part of the short free check</x:v>
      </x:c>
      <x:c r="G592" s="56" t="str">
        <x:v>https://github.com/Roger-LegalEase/legalease-partner-dashboard-clean/blob/2f0ef0403f16e57544ad0bc86b2d1b1cd08861b3/src/lib/rcap-engine/compiled/profiles/VT-vermont.json</x:v>
      </x:c>
    </x:row>
    <x:row r="593">
      <x:c r="A593" s="55" t="str">
        <x:v>Vermont</x:v>
      </x:c>
      <x:c r="B593" s="142" t="str">
        <x:v>VT</x:v>
      </x:c>
      <x:c r="C593" s="142" t="str">
        <x:v>Were all charges from the same incident?</x:v>
      </x:c>
      <x:c r="D593" s="142" t="str">
        <x:v>state_specific_eligibility</x:v>
      </x:c>
      <x:c r="E593" s="142" t="str">
        <x:v>yes_no_unsure</x:v>
      </x:c>
      <x:c r="F593" s="142" t="str">
        <x:v>Packet completion or final verification: source questionnaire detail is not part of the short free check</x:v>
      </x:c>
      <x:c r="G593" s="56" t="str">
        <x:v>https://github.com/Roger-LegalEase/legalease-partner-dashboard-clean/blob/2f0ef0403f16e57544ad0bc86b2d1b1cd08861b3/src/lib/rcap-engine/compiled/profiles/VT-vermont.json</x:v>
      </x:c>
    </x:row>
    <x:row r="594">
      <x:c r="A594" s="55" t="str">
        <x:v>Vermont</x:v>
      </x:c>
      <x:c r="B594" s="142" t="str">
        <x:v>VT</x:v>
      </x:c>
      <x:c r="C594" s="142" t="str">
        <x:v>How old were you when the offense happened?</x:v>
      </x:c>
      <x:c r="D594" s="142" t="str">
        <x:v>state_specific_eligibility</x:v>
      </x:c>
      <x:c r="E594" s="142" t="str">
        <x:v>text_or_choice</x:v>
      </x:c>
      <x:c r="F594" s="142" t="str">
        <x:v>Packet completion or final verification: source questionnaire detail is not part of the short free check</x:v>
      </x:c>
      <x:c r="G594" s="56" t="str">
        <x:v>https://github.com/Roger-LegalEase/legalease-partner-dashboard-clean/blob/2f0ef0403f16e57544ad0bc86b2d1b1cd08861b3/src/lib/rcap-engine/compiled/profiles/VT-vermont.json</x:v>
      </x:c>
    </x:row>
    <x:row r="595">
      <x:c r="A595" s="55" t="str">
        <x:v>Vermont</x:v>
      </x:c>
      <x:c r="B595" s="142" t="str">
        <x:v>VT</x:v>
      </x:c>
      <x:c r="C595" s="142" t="str">
        <x:v>When did you complete every part of the sentence, including probation, supervision, jail, fines, restitution, and surcharges?</x:v>
      </x:c>
      <x:c r="D595" s="142" t="str">
        <x:v>state_specific_eligibility</x:v>
      </x:c>
      <x:c r="E595" s="142" t="str">
        <x:v>text_or_choice</x:v>
      </x:c>
      <x:c r="F595" s="142" t="str">
        <x:v>Packet completion or final verification: source questionnaire detail is not part of the short free check</x:v>
      </x:c>
      <x:c r="G595" s="56" t="str">
        <x:v>https://github.com/Roger-LegalEase/legalease-partner-dashboard-clean/blob/2f0ef0403f16e57544ad0bc86b2d1b1cd08861b3/src/lib/rcap-engine/compiled/profiles/VT-vermont.json</x:v>
      </x:c>
    </x:row>
    <x:row r="596">
      <x:c r="A596" s="55" t="str">
        <x:v>Vermont</x:v>
      </x:c>
      <x:c r="B596" s="142" t="str">
        <x:v>VT</x:v>
      </x:c>
      <x:c r="C596" s="142" t="str">
        <x:v>Do you owe restitution, surcharges, public defender fees, or court-ordered payments?</x:v>
      </x:c>
      <x:c r="D596" s="142" t="str">
        <x:v>state_specific_eligibility</x:v>
      </x:c>
      <x:c r="E596" s="142" t="str">
        <x:v>yes_no_unsure</x:v>
      </x:c>
      <x:c r="F596" s="142" t="str">
        <x:v>Packet completion or final verification: source questionnaire detail is not part of the short free check</x:v>
      </x:c>
      <x:c r="G596" s="56" t="str">
        <x:v>https://github.com/Roger-LegalEase/legalease-partner-dashboard-clean/blob/2f0ef0403f16e57544ad0bc86b2d1b1cd08861b3/src/lib/rcap-engine/compiled/profiles/VT-vermont.json</x:v>
      </x:c>
    </x:row>
    <x:row r="597">
      <x:c r="A597" s="55" t="str">
        <x:v>Vermont</x:v>
      </x:c>
      <x:c r="B597" s="142" t="str">
        <x:v>VT</x:v>
      </x:c>
      <x:c r="C597" s="142" t="str">
        <x:v>Do you have any pending criminal charges?</x:v>
      </x:c>
      <x:c r="D597" s="142" t="str">
        <x:v>state_specific_eligibility</x:v>
      </x:c>
      <x:c r="E597" s="142" t="str">
        <x:v>yes_no_unsure</x:v>
      </x:c>
      <x:c r="F597" s="142" t="str">
        <x:v>Packet completion or final verification: source questionnaire detail is not part of the short free check</x:v>
      </x:c>
      <x:c r="G597" s="56" t="str">
        <x:v>https://github.com/Roger-LegalEase/legalease-partner-dashboard-clean/blob/2f0ef0403f16e57544ad0bc86b2d1b1cd08861b3/src/lib/rcap-engine/compiled/profiles/VT-vermont.json</x:v>
      </x:c>
    </x:row>
    <x:row r="598">
      <x:c r="A598" s="55" t="str">
        <x:v>Vermont</x:v>
      </x:c>
      <x:c r="B598" s="142" t="str">
        <x:v>VT</x:v>
      </x:c>
      <x:c r="C598" s="142" t="str">
        <x:v>Have you had any later convictions?</x:v>
      </x:c>
      <x:c r="D598" s="142" t="str">
        <x:v>state_specific_eligibility</x:v>
      </x:c>
      <x:c r="E598" s="142" t="str">
        <x:v>yes_no_unsure</x:v>
      </x:c>
      <x:c r="F598" s="142" t="str">
        <x:v>Packet completion or final verification: source questionnaire detail is not part of the short free check</x:v>
      </x:c>
      <x:c r="G598" s="56" t="str">
        <x:v>https://github.com/Roger-LegalEase/legalease-partner-dashboard-clean/blob/2f0ef0403f16e57544ad0bc86b2d1b1cd08861b3/src/lib/rcap-engine/compiled/profiles/VT-vermont.json</x:v>
      </x:c>
    </x:row>
    <x:row r="599">
      <x:c r="A599" s="55" t="str">
        <x:v>Vermont</x:v>
      </x:c>
      <x:c r="B599" s="142" t="str">
        <x:v>VT</x:v>
      </x:c>
      <x:c r="C599" s="142" t="str">
        <x:v>Was the offense a DUI?</x:v>
      </x:c>
      <x:c r="D599" s="142" t="str">
        <x:v>state_specific_eligibility</x:v>
      </x:c>
      <x:c r="E599" s="142" t="str">
        <x:v>yes_no_unsure</x:v>
      </x:c>
      <x:c r="F599" s="142" t="str">
        <x:v>Packet completion or final verification: source questionnaire detail is not part of the short free check</x:v>
      </x:c>
      <x:c r="G599" s="56" t="str">
        <x:v>https://github.com/Roger-LegalEase/legalease-partner-dashboard-clean/blob/2f0ef0403f16e57544ad0bc86b2d1b1cd08861b3/src/lib/rcap-engine/compiled/profiles/VT-vermont.json</x:v>
      </x:c>
    </x:row>
    <x:row r="600">
      <x:c r="A600" s="55" t="str">
        <x:v>Vermont</x:v>
      </x:c>
      <x:c r="B600" s="142" t="str">
        <x:v>VT</x:v>
      </x:c>
      <x:c r="C600" s="142" t="str">
        <x:v>Do you have a commercial driver's license or permit?</x:v>
      </x:c>
      <x:c r="D600" s="142" t="str">
        <x:v>state_specific_eligibility</x:v>
      </x:c>
      <x:c r="E600" s="142" t="str">
        <x:v>yes_no_unsure</x:v>
      </x:c>
      <x:c r="F600" s="142" t="str">
        <x:v>Packet completion or final verification: source questionnaire detail is not part of the short free check</x:v>
      </x:c>
      <x:c r="G600" s="56" t="str">
        <x:v>https://github.com/Roger-LegalEase/legalease-partner-dashboard-clean/blob/2f0ef0403f16e57544ad0bc86b2d1b1cd08861b3/src/lib/rcap-engine/compiled/profiles/VT-vermont.json</x:v>
      </x:c>
    </x:row>
    <x:row r="601">
      <x:c r="A601" s="55" t="str">
        <x:v>Vermont</x:v>
      </x:c>
      <x:c r="B601" s="142" t="str">
        <x:v>VT</x:v>
      </x:c>
      <x:c r="C601" s="142" t="str">
        <x:v>Was the conviction for conduct that is no longer a crime, like certain cannabis conduct?</x:v>
      </x:c>
      <x:c r="D601" s="142" t="str">
        <x:v>state_specific_eligibility</x:v>
      </x:c>
      <x:c r="E601" s="142" t="str">
        <x:v>yes_no_unsure</x:v>
      </x:c>
      <x:c r="F601" s="142" t="str">
        <x:v>Packet completion or final verification: source questionnaire detail is not part of the short free check</x:v>
      </x:c>
      <x:c r="G601" s="56" t="str">
        <x:v>https://github.com/Roger-LegalEase/legalease-partner-dashboard-clean/blob/2f0ef0403f16e57544ad0bc86b2d1b1cd08861b3/src/lib/rcap-engine/compiled/profiles/VT-vermont.json</x:v>
      </x:c>
    </x:row>
    <x:row r="602">
      <x:c r="A602" s="55" t="str">
        <x:v>Vermont</x:v>
      </x:c>
      <x:c r="B602" s="142" t="str">
        <x:v>VT</x:v>
      </x:c>
      <x:c r="C602" s="142" t="str">
        <x:v>Was the offense a listed crime, sex offense, domestic/protective-order offense, vulnerable-adult offense, child offense, animal-cruelty offense, hate-motivated offense, or registry-related offense?</x:v>
      </x:c>
      <x:c r="D602" s="142" t="str">
        <x:v>state_specific_eligibility</x:v>
      </x:c>
      <x:c r="E602" s="142" t="str">
        <x:v>yes_no_unsure</x:v>
      </x:c>
      <x:c r="F602" s="142" t="str">
        <x:v>Packet completion or final verification: source questionnaire detail is not part of the short free check</x:v>
      </x:c>
      <x:c r="G602" s="56" t="str">
        <x:v>https://github.com/Roger-LegalEase/legalease-partner-dashboard-clean/blob/2f0ef0403f16e57544ad0bc86b2d1b1cd08861b3/src/lib/rcap-engine/compiled/profiles/VT-vermont.json</x:v>
      </x:c>
    </x:row>
    <x:row r="603">
      <x:c r="A603" s="55" t="str">
        <x:v>Vermont</x:v>
      </x:c>
      <x:c r="B603" s="142" t="str">
        <x:v>VT</x:v>
      </x:c>
      <x:c r="C603" s="142" t="str">
        <x:v>Would the prosecutor stipulate?</x:v>
      </x:c>
      <x:c r="D603" s="142" t="str">
        <x:v>state_specific_eligibility</x:v>
      </x:c>
      <x:c r="E603" s="142" t="str">
        <x:v>yes_no_unsure</x:v>
      </x:c>
      <x:c r="F603" s="142" t="str">
        <x:v>Packet completion or final verification: source questionnaire detail is not part of the short free check</x:v>
      </x:c>
      <x:c r="G603" s="56" t="str">
        <x:v>https://github.com/Roger-LegalEase/legalease-partner-dashboard-clean/blob/2f0ef0403f16e57544ad0bc86b2d1b1cd08861b3/src/lib/rcap-engine/compiled/profiles/VT-vermont.json</x:v>
      </x:c>
    </x:row>
    <x:row r="604">
      <x:c r="A604" s="55" t="str">
        <x:v>Vermont</x:v>
      </x:c>
      <x:c r="B604" s="142" t="str">
        <x:v>VT</x:v>
      </x:c>
      <x:c r="C604" s="142" t="str">
        <x:v>When was the case disposed of, dismissed, completed, or discharged?</x:v>
      </x:c>
      <x:c r="D604" s="142" t="str">
        <x:v>timing_and_completion</x:v>
      </x:c>
      <x:c r="E604" s="142" t="str">
        <x:v>date_or_unknown</x:v>
      </x:c>
      <x:c r="F604" s="142" t="str">
        <x:v>Packet completion/final verification: exact date; free check uses approximate timing where appropriate</x:v>
      </x:c>
      <x:c r="G604" s="56" t="str">
        <x:v>https://github.com/Roger-LegalEase/legalease-partner-dashboard-clean/blob/2f0ef0403f16e57544ad0bc86b2d1b1cd08861b3/src/lib/rcap-engine/compiled/profiles/VT-vermont.json</x:v>
      </x:c>
    </x:row>
    <x:row r="605">
      <x:c r="A605" s="55" t="str">
        <x:v>Vermont</x:v>
      </x:c>
      <x:c r="B605" s="142" t="str">
        <x:v>VT</x:v>
      </x:c>
      <x:c r="C605" s="142" t="str">
        <x:v>Which court or agency handled the case?</x:v>
      </x:c>
      <x:c r="D605" s="142" t="str">
        <x:v>case_details</x:v>
      </x:c>
      <x:c r="E605" s="142" t="str">
        <x:v>text</x:v>
      </x:c>
      <x:c r="F605" s="142" t="str">
        <x:v>Packet completion: record, court, case, filing, or form detail</x:v>
      </x:c>
      <x:c r="G605" s="56" t="str">
        <x:v>https://github.com/Roger-LegalEase/legalease-partner-dashboard-clean/blob/2f0ef0403f16e57544ad0bc86b2d1b1cd08861b3/src/lib/rcap-engine/compiled/profiles/VT-vermont.json</x:v>
      </x:c>
    </x:row>
    <x:row r="606">
      <x:c r="A606" s="55" t="str">
        <x:v>Vermont</x:v>
      </x:c>
      <x:c r="B606" s="142" t="str">
        <x:v>VT</x:v>
      </x:c>
      <x:c r="C606" s="142" t="str">
        <x:v>What charge, statute, or record description appears on the record?</x:v>
      </x:c>
      <x:c r="D606" s="142" t="str">
        <x:v>case_details</x:v>
      </x:c>
      <x:c r="E606" s="142" t="str">
        <x:v>text_or_unknown</x:v>
      </x:c>
      <x:c r="F606" s="142" t="str">
        <x:v>Packet completion: record, court, case, filing, or form detail</x:v>
      </x:c>
      <x:c r="G606" s="56" t="str">
        <x:v>https://github.com/Roger-LegalEase/legalease-partner-dashboard-clean/blob/2f0ef0403f16e57544ad0bc86b2d1b1cd08861b3/src/lib/rcap-engine/compiled/profiles/VT-vermont.json</x:v>
      </x:c>
    </x:row>
    <x:row r="607">
      <x:c r="A607" s="55" t="str">
        <x:v>Vermont</x:v>
      </x:c>
      <x:c r="B607" s="142" t="str">
        <x:v>VT</x:v>
      </x:c>
      <x:c r="C607" s="142" t="str">
        <x:v>Do you have court paperwork or a criminal-history record showing the exact charge and outcome?</x:v>
      </x:c>
      <x:c r="D607" s="142" t="str">
        <x:v>record_readiness</x:v>
      </x:c>
      <x:c r="E607" s="142" t="str">
        <x:v>yes_no_unsure</x:v>
      </x:c>
      <x:c r="F607" s="142" t="str">
        <x:v>Packet completion: record, court, case, filing, or form detail</x:v>
      </x:c>
      <x:c r="G607" s="56" t="str">
        <x:v>https://github.com/Roger-LegalEase/legalease-partner-dashboard-clean/blob/2f0ef0403f16e57544ad0bc86b2d1b1cd08861b3/src/lib/rcap-engine/compiled/profiles/VT-vermont.json</x:v>
      </x:c>
    </x:row>
    <x:row r="608">
      <x:c r="A608" s="55" t="str">
        <x:v>Vermont</x:v>
      </x:c>
      <x:c r="B608" s="142" t="str">
        <x:v>VT</x:v>
      </x:c>
      <x:c r="C608" s="142" t="str">
        <x:v>Where in Vermont was the case handled?</x:v>
      </x:c>
      <x:c r="D608" s="142" t="str">
        <x:v>case_details</x:v>
      </x:c>
      <x:c r="E608" s="142" t="str">
        <x:v>text_or_unknown</x:v>
      </x:c>
      <x:c r="F608" s="142" t="str">
        <x:v>Packet completion: record, court, case, filing, or form detail</x:v>
      </x:c>
      <x:c r="G608" s="56" t="str">
        <x:v>https://github.com/Roger-LegalEase/legalease-partner-dashboard-clean/blob/2f0ef0403f16e57544ad0bc86b2d1b1cd08861b3/src/lib/rcap-engine/compiled/profiles/VT-vermont.json</x:v>
      </x:c>
    </x:row>
    <x:row r="609">
      <x:c r="A609" s="55" t="str">
        <x:v>Vermont</x:v>
      </x:c>
      <x:c r="B609" s="142" t="str">
        <x:v>VT</x:v>
      </x:c>
      <x:c r="C609" s="142" t="str">
        <x:v>What case, docket, cause, or arrest number appears on the record?</x:v>
      </x:c>
      <x:c r="D609" s="142" t="str">
        <x:v>case_details</x:v>
      </x:c>
      <x:c r="E609" s="142" t="str">
        <x:v>text_or_unknown</x:v>
      </x:c>
      <x:c r="F609" s="142" t="str">
        <x:v>Packet completion: record, court, case, filing, or form detail</x:v>
      </x:c>
      <x:c r="G609" s="56" t="str">
        <x:v>https://github.com/Roger-LegalEase/legalease-partner-dashboard-clean/blob/2f0ef0403f16e57544ad0bc86b2d1b1cd08861b3/src/lib/rcap-engine/compiled/profiles/VT-vermont.json</x:v>
      </x:c>
    </x:row>
    <x:row r="610">
      <x:c r="A610" s="55" t="str">
        <x:v>Washington</x:v>
      </x:c>
      <x:c r="B610" s="142" t="str">
        <x:v>WA</x:v>
      </x:c>
      <x:c r="C610" s="142" t="str">
        <x:v>Ask in this order:</x:v>
      </x:c>
      <x:c r="D610" s="142" t="str">
        <x:v>state_specific_eligibility</x:v>
      </x:c>
      <x:c r="E610" s="142" t="str">
        <x:v>text_or_choice</x:v>
      </x:c>
      <x:c r="F610" s="142" t="str">
        <x:v>Packet completion or final verification: source questionnaire detail is not part of the short free check</x:v>
      </x:c>
      <x:c r="G610" s="56" t="str">
        <x:v>https://github.com/Roger-LegalEase/legalease-partner-dashboard-clean/blob/2f0ef0403f16e57544ad0bc86b2d1b1cd08861b3/src/lib/rcap-engine/compiled/profiles/WA-washington.json</x:v>
      </x:c>
    </x:row>
    <x:row r="611">
      <x:c r="A611" s="55" t="str">
        <x:v>Washington</x:v>
      </x:c>
      <x:c r="B611" s="142" t="str">
        <x:v>WA</x:v>
      </x:c>
      <x:c r="C611" s="142" t="str">
        <x:v>Was this an adult case or juvenile case?</x:v>
      </x:c>
      <x:c r="D611" s="142" t="str">
        <x:v>state_specific_eligibility</x:v>
      </x:c>
      <x:c r="E611" s="142" t="str">
        <x:v>yes_no_unsure</x:v>
      </x:c>
      <x:c r="F611" s="142" t="str">
        <x:v>Packet completion or final verification: source questionnaire detail is not part of the short free check</x:v>
      </x:c>
      <x:c r="G611" s="56" t="str">
        <x:v>https://github.com/Roger-LegalEase/legalease-partner-dashboard-clean/blob/2f0ef0403f16e57544ad0bc86b2d1b1cd08861b3/src/lib/rcap-engine/compiled/profiles/WA-washington.json</x:v>
      </x:c>
    </x:row>
    <x:row r="612">
      <x:c r="A612" s="55" t="str">
        <x:v>Washington</x:v>
      </x:c>
      <x:c r="B612" s="142" t="str">
        <x:v>WA</x:v>
      </x:c>
      <x:c r="C612" s="142" t="str">
        <x:v>Was it a conviction, dismissal, acquittal, no-charge arrest, diversion/deferred prosecution, or still pending?</x:v>
      </x:c>
      <x:c r="D612" s="142" t="str">
        <x:v>state_specific_eligibility</x:v>
      </x:c>
      <x:c r="E612" s="142" t="str">
        <x:v>yes_no_unsure</x:v>
      </x:c>
      <x:c r="F612" s="142" t="str">
        <x:v>Packet completion or final verification: source questionnaire detail is not part of the short free check</x:v>
      </x:c>
      <x:c r="G612" s="56" t="str">
        <x:v>https://github.com/Roger-LegalEase/legalease-partner-dashboard-clean/blob/2f0ef0403f16e57544ad0bc86b2d1b1cd08861b3/src/lib/rcap-engine/compiled/profiles/WA-washington.json</x:v>
      </x:c>
    </x:row>
    <x:row r="613">
      <x:c r="A613" s="55" t="str">
        <x:v>Washington</x:v>
      </x:c>
      <x:c r="B613" s="142" t="str">
        <x:v>WA</x:v>
      </x:c>
      <x:c r="C613" s="142" t="str">
        <x:v>What court handled it: district, municipal, superior, or juvenile?</x:v>
      </x:c>
      <x:c r="D613" s="142" t="str">
        <x:v>state_specific_eligibility</x:v>
      </x:c>
      <x:c r="E613" s="142" t="str">
        <x:v>text_or_choice</x:v>
      </x:c>
      <x:c r="F613" s="142" t="str">
        <x:v>Packet completion or final verification: source questionnaire detail is not part of the short free check</x:v>
      </x:c>
      <x:c r="G613" s="56" t="str">
        <x:v>https://github.com/Roger-LegalEase/legalease-partner-dashboard-clean/blob/2f0ef0403f16e57544ad0bc86b2d1b1cd08861b3/src/lib/rcap-engine/compiled/profiles/WA-washington.json</x:v>
      </x:c>
    </x:row>
    <x:row r="614">
      <x:c r="A614" s="55" t="str">
        <x:v>Washington</x:v>
      </x:c>
      <x:c r="B614" s="142" t="str">
        <x:v>WA</x:v>
      </x:c>
      <x:c r="C614" s="142" t="str">
        <x:v>What county and case number?</x:v>
      </x:c>
      <x:c r="D614" s="142" t="str">
        <x:v>state_specific_eligibility</x:v>
      </x:c>
      <x:c r="E614" s="142" t="str">
        <x:v>text_or_choice</x:v>
      </x:c>
      <x:c r="F614" s="142" t="str">
        <x:v>Packet completion or final verification: source questionnaire detail is not part of the short free check</x:v>
      </x:c>
      <x:c r="G614" s="56" t="str">
        <x:v>https://github.com/Roger-LegalEase/legalease-partner-dashboard-clean/blob/2f0ef0403f16e57544ad0bc86b2d1b1cd08861b3/src/lib/rcap-engine/compiled/profiles/WA-washington.json</x:v>
      </x:c>
    </x:row>
    <x:row r="615">
      <x:c r="A615" s="55" t="str">
        <x:v>Washington</x:v>
      </x:c>
      <x:c r="B615" s="142" t="str">
        <x:v>WA</x:v>
      </x:c>
      <x:c r="C615" s="142" t="str">
        <x:v>What was the exact charge and RCW/statute?</x:v>
      </x:c>
      <x:c r="D615" s="142" t="str">
        <x:v>state_specific_eligibility</x:v>
      </x:c>
      <x:c r="E615" s="142" t="str">
        <x:v>text_or_choice</x:v>
      </x:c>
      <x:c r="F615" s="142" t="str">
        <x:v>Packet completion or final verification: source questionnaire detail is not part of the short free check</x:v>
      </x:c>
      <x:c r="G615" s="56" t="str">
        <x:v>https://github.com/Roger-LegalEase/legalease-partner-dashboard-clean/blob/2f0ef0403f16e57544ad0bc86b2d1b1cd08861b3/src/lib/rcap-engine/compiled/profiles/WA-washington.json</x:v>
      </x:c>
    </x:row>
    <x:row r="616">
      <x:c r="A616" s="55" t="str">
        <x:v>Washington</x:v>
      </x:c>
      <x:c r="B616" s="142" t="str">
        <x:v>WA</x:v>
      </x:c>
      <x:c r="C616" s="142" t="str">
        <x:v>Was it a misdemeanor, gross misdemeanor, Class B felony, Class C felony, or something else?</x:v>
      </x:c>
      <x:c r="D616" s="142" t="str">
        <x:v>state_specific_eligibility</x:v>
      </x:c>
      <x:c r="E616" s="142" t="str">
        <x:v>yes_no_unsure</x:v>
      </x:c>
      <x:c r="F616" s="142" t="str">
        <x:v>Packet completion or final verification: source questionnaire detail is not part of the short free check</x:v>
      </x:c>
      <x:c r="G616" s="56" t="str">
        <x:v>https://github.com/Roger-LegalEase/legalease-partner-dashboard-clean/blob/2f0ef0403f16e57544ad0bc86b2d1b1cd08861b3/src/lib/rcap-engine/compiled/profiles/WA-washington.json</x:v>
      </x:c>
    </x:row>
    <x:row r="617">
      <x:c r="A617" s="55" t="str">
        <x:v>Washington</x:v>
      </x:c>
      <x:c r="B617" s="142" t="str">
        <x:v>WA</x:v>
      </x:c>
      <x:c r="C617" s="142" t="str">
        <x:v>When were you sentenced?</x:v>
      </x:c>
      <x:c r="D617" s="142" t="str">
        <x:v>state_specific_eligibility</x:v>
      </x:c>
      <x:c r="E617" s="142" t="str">
        <x:v>text_or_choice</x:v>
      </x:c>
      <x:c r="F617" s="142" t="str">
        <x:v>Packet completion or final verification: source questionnaire detail is not part of the short free check</x:v>
      </x:c>
      <x:c r="G617" s="56" t="str">
        <x:v>https://github.com/Roger-LegalEase/legalease-partner-dashboard-clean/blob/2f0ef0403f16e57544ad0bc86b2d1b1cd08861b3/src/lib/rcap-engine/compiled/profiles/WA-washington.json</x:v>
      </x:c>
    </x:row>
    <x:row r="618">
      <x:c r="A618" s="55" t="str">
        <x:v>Washington</x:v>
      </x:c>
      <x:c r="B618" s="142" t="str">
        <x:v>WA</x:v>
      </x:c>
      <x:c r="C618" s="142" t="str">
        <x:v>When were you released from jail/prison/confinement?</x:v>
      </x:c>
      <x:c r="D618" s="142" t="str">
        <x:v>state_specific_eligibility</x:v>
      </x:c>
      <x:c r="E618" s="142" t="str">
        <x:v>text_or_choice</x:v>
      </x:c>
      <x:c r="F618" s="142" t="str">
        <x:v>Packet completion or final verification: source questionnaire detail is not part of the short free check</x:v>
      </x:c>
      <x:c r="G618" s="56" t="str">
        <x:v>https://github.com/Roger-LegalEase/legalease-partner-dashboard-clean/blob/2f0ef0403f16e57544ad0bc86b2d1b1cd08861b3/src/lib/rcap-engine/compiled/profiles/WA-washington.json</x:v>
      </x:c>
    </x:row>
    <x:row r="619">
      <x:c r="A619" s="55" t="str">
        <x:v>Washington</x:v>
      </x:c>
      <x:c r="B619" s="142" t="str">
        <x:v>WA</x:v>
      </x:c>
      <x:c r="C619" s="142" t="str">
        <x:v>When did probation/supervision/community custody end?</x:v>
      </x:c>
      <x:c r="D619" s="142" t="str">
        <x:v>state_specific_eligibility</x:v>
      </x:c>
      <x:c r="E619" s="142" t="str">
        <x:v>text_or_choice</x:v>
      </x:c>
      <x:c r="F619" s="142" t="str">
        <x:v>Packet completion or final verification: source questionnaire detail is not part of the short free check</x:v>
      </x:c>
      <x:c r="G619" s="56" t="str">
        <x:v>https://github.com/Roger-LegalEase/legalease-partner-dashboard-clean/blob/2f0ef0403f16e57544ad0bc86b2d1b1cd08861b3/src/lib/rcap-engine/compiled/profiles/WA-washington.json</x:v>
      </x:c>
    </x:row>
    <x:row r="620">
      <x:c r="A620" s="55" t="str">
        <x:v>Washington</x:v>
      </x:c>
      <x:c r="B620" s="142" t="str">
        <x:v>WA</x:v>
      </x:c>
      <x:c r="C620" s="142" t="str">
        <x:v>Are all sentence terms complete, including treatment and required obligations?</x:v>
      </x:c>
      <x:c r="D620" s="142" t="str">
        <x:v>state_specific_eligibility</x:v>
      </x:c>
      <x:c r="E620" s="142" t="str">
        <x:v>yes_no_unsure</x:v>
      </x:c>
      <x:c r="F620" s="142" t="str">
        <x:v>Packet completion or final verification: source questionnaire detail is not part of the short free check</x:v>
      </x:c>
      <x:c r="G620" s="56" t="str">
        <x:v>https://github.com/Roger-LegalEase/legalease-partner-dashboard-clean/blob/2f0ef0403f16e57544ad0bc86b2d1b1cd08861b3/src/lib/rcap-engine/compiled/profiles/WA-washington.json</x:v>
      </x:c>
    </x:row>
    <x:row r="621">
      <x:c r="A621" s="55" t="str">
        <x:v>Washington</x:v>
      </x:c>
      <x:c r="B621" s="142" t="str">
        <x:v>WA</x:v>
      </x:c>
      <x:c r="C621" s="142" t="str">
        <x:v>Do you owe restitution to an individual victim?</x:v>
      </x:c>
      <x:c r="D621" s="142" t="str">
        <x:v>state_specific_eligibility</x:v>
      </x:c>
      <x:c r="E621" s="142" t="str">
        <x:v>yes_no_unsure</x:v>
      </x:c>
      <x:c r="F621" s="142" t="str">
        <x:v>Packet completion or final verification: source questionnaire detail is not part of the short free check</x:v>
      </x:c>
      <x:c r="G621" s="56" t="str">
        <x:v>https://github.com/Roger-LegalEase/legalease-partner-dashboard-clean/blob/2f0ef0403f16e57544ad0bc86b2d1b1cd08861b3/src/lib/rcap-engine/compiled/profiles/WA-washington.json</x:v>
      </x:c>
    </x:row>
    <x:row r="622">
      <x:c r="A622" s="55" t="str">
        <x:v>Washington</x:v>
      </x:c>
      <x:c r="B622" s="142" t="str">
        <x:v>WA</x:v>
      </x:c>
      <x:c r="C622" s="142" t="str">
        <x:v>Do you have any pending charges in Washington, another state, federal court, or tribal court?</x:v>
      </x:c>
      <x:c r="D622" s="142" t="str">
        <x:v>state_specific_eligibility</x:v>
      </x:c>
      <x:c r="E622" s="142" t="str">
        <x:v>yes_no_unsure</x:v>
      </x:c>
      <x:c r="F622" s="142" t="str">
        <x:v>Packet completion or final verification: source questionnaire detail is not part of the short free check</x:v>
      </x:c>
      <x:c r="G622" s="56" t="str">
        <x:v>https://github.com/Roger-LegalEase/legalease-partner-dashboard-clean/blob/2f0ef0403f16e57544ad0bc86b2d1b1cd08861b3/src/lib/rcap-engine/compiled/profiles/WA-washington.json</x:v>
      </x:c>
    </x:row>
    <x:row r="623">
      <x:c r="A623" s="55" t="str">
        <x:v>Washington</x:v>
      </x:c>
      <x:c r="B623" s="142" t="str">
        <x:v>WA</x:v>
      </x:c>
      <x:c r="C623" s="142" t="str">
        <x:v>Have you had any new convictions in the relevant 3-, 5-, or 10-year period?</x:v>
      </x:c>
      <x:c r="D623" s="142" t="str">
        <x:v>state_specific_eligibility</x:v>
      </x:c>
      <x:c r="E623" s="142" t="str">
        <x:v>yes_no_unsure</x:v>
      </x:c>
      <x:c r="F623" s="142" t="str">
        <x:v>Packet completion or final verification: source questionnaire detail is not part of the short free check</x:v>
      </x:c>
      <x:c r="G623" s="56" t="str">
        <x:v>https://github.com/Roger-LegalEase/legalease-partner-dashboard-clean/blob/2f0ef0403f16e57544ad0bc86b2d1b1cd08861b3/src/lib/rcap-engine/compiled/profiles/WA-washington.json</x:v>
      </x:c>
    </x:row>
    <x:row r="624">
      <x:c r="A624" s="55" t="str">
        <x:v>Washington</x:v>
      </x:c>
      <x:c r="B624" s="142" t="str">
        <x:v>WA</x:v>
      </x:c>
      <x:c r="C624" s="142" t="str">
        <x:v>Was the case DUI, physical control, reckless/negligent driving connected to alcohol/drugs, or another 'prior offense'?</x:v>
      </x:c>
      <x:c r="D624" s="142" t="str">
        <x:v>state_specific_eligibility</x:v>
      </x:c>
      <x:c r="E624" s="142" t="str">
        <x:v>yes_no_unsure</x:v>
      </x:c>
      <x:c r="F624" s="142" t="str">
        <x:v>Packet completion or final verification: source questionnaire detail is not part of the short free check</x:v>
      </x:c>
      <x:c r="G624" s="56" t="str">
        <x:v>https://github.com/Roger-LegalEase/legalease-partner-dashboard-clean/blob/2f0ef0403f16e57544ad0bc86b2d1b1cd08861b3/src/lib/rcap-engine/compiled/profiles/WA-washington.json</x:v>
      </x:c>
    </x:row>
    <x:row r="625">
      <x:c r="A625" s="55" t="str">
        <x:v>Washington</x:v>
      </x:c>
      <x:c r="B625" s="142" t="str">
        <x:v>WA</x:v>
      </x:c>
      <x:c r="C625" s="142" t="str">
        <x:v>Was the offense domestic violence, sex-related, violent, crime against persons, child exploitation, obscenity/pornography, firearm/deadly weapon-enhanced, or sexually motivated?</x:v>
      </x:c>
      <x:c r="D625" s="142" t="str">
        <x:v>state_specific_eligibility</x:v>
      </x:c>
      <x:c r="E625" s="142" t="str">
        <x:v>yes_no_unsure</x:v>
      </x:c>
      <x:c r="F625" s="142" t="str">
        <x:v>Packet completion or final verification: source questionnaire detail is not part of the short free check</x:v>
      </x:c>
      <x:c r="G625" s="56" t="str">
        <x:v>https://github.com/Roger-LegalEase/legalease-partner-dashboard-clean/blob/2f0ef0403f16e57544ad0bc86b2d1b1cd08861b3/src/lib/rcap-engine/compiled/profiles/WA-washington.json</x:v>
      </x:c>
    </x:row>
    <x:row r="626">
      <x:c r="A626" s="55" t="str">
        <x:v>Washington</x:v>
      </x:c>
      <x:c r="B626" s="142" t="str">
        <x:v>WA</x:v>
      </x:c>
      <x:c r="C626" s="142" t="str">
        <x:v>Was this conviction connected to trafficking, sexual assault, domestic violence, coercion, or exploitation?</x:v>
      </x:c>
      <x:c r="D626" s="142" t="str">
        <x:v>state_specific_eligibility</x:v>
      </x:c>
      <x:c r="E626" s="142" t="str">
        <x:v>yes_no_unsure</x:v>
      </x:c>
      <x:c r="F626" s="142" t="str">
        <x:v>Packet completion or final verification: source questionnaire detail is not part of the short free check</x:v>
      </x:c>
      <x:c r="G626" s="56" t="str">
        <x:v>https://github.com/Roger-LegalEase/legalease-partner-dashboard-clean/blob/2f0ef0403f16e57544ad0bc86b2d1b1cd08861b3/src/lib/rcap-engine/compiled/profiles/WA-washington.json</x:v>
      </x:c>
    </x:row>
    <x:row r="627">
      <x:c r="A627" s="55" t="str">
        <x:v>Washington</x:v>
      </x:c>
      <x:c r="B627" s="142" t="str">
        <x:v>WA</x:v>
      </x:c>
      <x:c r="C627" s="142" t="str">
        <x:v>Was it cannabis-only, simple drug possession, or affected by Blake?</x:v>
      </x:c>
      <x:c r="D627" s="142" t="str">
        <x:v>state_specific_eligibility</x:v>
      </x:c>
      <x:c r="E627" s="142" t="str">
        <x:v>yes_no_unsure</x:v>
      </x:c>
      <x:c r="F627" s="142" t="str">
        <x:v>Packet completion or final verification: source questionnaire detail is not part of the short free check</x:v>
      </x:c>
      <x:c r="G627" s="56" t="str">
        <x:v>https://github.com/Roger-LegalEase/legalease-partner-dashboard-clean/blob/2f0ef0403f16e57544ad0bc86b2d1b1cd08861b3/src/lib/rcap-engine/compiled/profiles/WA-washington.json</x:v>
      </x:c>
    </x:row>
    <x:row r="628">
      <x:c r="A628" s="55" t="str">
        <x:v>Washington</x:v>
      </x:c>
      <x:c r="B628" s="142" t="str">
        <x:v>WA</x:v>
      </x:c>
      <x:c r="C628" s="142" t="str">
        <x:v>Do you need a firearm-rights restoration separately?</x:v>
      </x:c>
      <x:c r="D628" s="142" t="str">
        <x:v>state_specific_eligibility</x:v>
      </x:c>
      <x:c r="E628" s="142" t="str">
        <x:v>yes_no_unsure</x:v>
      </x:c>
      <x:c r="F628" s="142" t="str">
        <x:v>Packet completion or final verification: source questionnaire detail is not part of the short free check</x:v>
      </x:c>
      <x:c r="G628" s="56" t="str">
        <x:v>https://github.com/Roger-LegalEase/legalease-partner-dashboard-clean/blob/2f0ef0403f16e57544ad0bc86b2d1b1cd08861b3/src/lib/rcap-engine/compiled/profiles/WA-washington.json</x:v>
      </x:c>
    </x:row>
    <x:row r="629">
      <x:c r="A629" s="55" t="str">
        <x:v>Washington</x:v>
      </x:c>
      <x:c r="B629" s="142" t="str">
        <x:v>WA</x:v>
      </x:c>
      <x:c r="C629" s="142" t="str">
        <x:v>Which court or agency handled the case?</x:v>
      </x:c>
      <x:c r="D629" s="142" t="str">
        <x:v>case_details</x:v>
      </x:c>
      <x:c r="E629" s="142" t="str">
        <x:v>text</x:v>
      </x:c>
      <x:c r="F629" s="142" t="str">
        <x:v>Packet completion: record, court, case, filing, or form detail</x:v>
      </x:c>
      <x:c r="G629" s="56" t="str">
        <x:v>https://github.com/Roger-LegalEase/legalease-partner-dashboard-clean/blob/2f0ef0403f16e57544ad0bc86b2d1b1cd08861b3/src/lib/rcap-engine/compiled/profiles/WA-washington.json</x:v>
      </x:c>
    </x:row>
    <x:row r="630">
      <x:c r="A630" s="55" t="str">
        <x:v>Washington</x:v>
      </x:c>
      <x:c r="B630" s="142" t="str">
        <x:v>WA</x:v>
      </x:c>
      <x:c r="C630" s="142" t="str">
        <x:v>What charge, statute, or record description appears on the record?</x:v>
      </x:c>
      <x:c r="D630" s="142" t="str">
        <x:v>case_details</x:v>
      </x:c>
      <x:c r="E630" s="142" t="str">
        <x:v>text_or_unknown</x:v>
      </x:c>
      <x:c r="F630" s="142" t="str">
        <x:v>Packet completion: record, court, case, filing, or form detail</x:v>
      </x:c>
      <x:c r="G630" s="56" t="str">
        <x:v>https://github.com/Roger-LegalEase/legalease-partner-dashboard-clean/blob/2f0ef0403f16e57544ad0bc86b2d1b1cd08861b3/src/lib/rcap-engine/compiled/profiles/WA-washington.json</x:v>
      </x:c>
    </x:row>
    <x:row r="631">
      <x:c r="A631" s="55" t="str">
        <x:v>Washington</x:v>
      </x:c>
      <x:c r="B631" s="142" t="str">
        <x:v>WA</x:v>
      </x:c>
      <x:c r="C631" s="142" t="str">
        <x:v>Do you have court paperwork or a criminal-history record showing the exact charge and outcome?</x:v>
      </x:c>
      <x:c r="D631" s="142" t="str">
        <x:v>record_readiness</x:v>
      </x:c>
      <x:c r="E631" s="142" t="str">
        <x:v>yes_no_unsure</x:v>
      </x:c>
      <x:c r="F631" s="142" t="str">
        <x:v>Packet completion: record, court, case, filing, or form detail</x:v>
      </x:c>
      <x:c r="G631" s="56" t="str">
        <x:v>https://github.com/Roger-LegalEase/legalease-partner-dashboard-clean/blob/2f0ef0403f16e57544ad0bc86b2d1b1cd08861b3/src/lib/rcap-engine/compiled/profiles/WA-washington.json</x:v>
      </x:c>
    </x:row>
    <x:row r="632">
      <x:c r="A632" s="55" t="str">
        <x:v>Washington</x:v>
      </x:c>
      <x:c r="B632" s="142" t="str">
        <x:v>WA</x:v>
      </x:c>
      <x:c r="C632" s="142" t="str">
        <x:v>Where in Washington was the case handled?</x:v>
      </x:c>
      <x:c r="D632" s="142" t="str">
        <x:v>case_details</x:v>
      </x:c>
      <x:c r="E632" s="142" t="str">
        <x:v>text_or_unknown</x:v>
      </x:c>
      <x:c r="F632" s="142" t="str">
        <x:v>Packet completion: record, court, case, filing, or form detail</x:v>
      </x:c>
      <x:c r="G632" s="56" t="str">
        <x:v>https://github.com/Roger-LegalEase/legalease-partner-dashboard-clean/blob/2f0ef0403f16e57544ad0bc86b2d1b1cd08861b3/src/lib/rcap-engine/compiled/profiles/WA-washington.json</x:v>
      </x:c>
    </x:row>
    <x:row r="633">
      <x:c r="A633" s="55" t="str">
        <x:v>Washington</x:v>
      </x:c>
      <x:c r="B633" s="142" t="str">
        <x:v>WA</x:v>
      </x:c>
      <x:c r="C633" s="142" t="str">
        <x:v>What case, docket, cause, or arrest number appears on the record?</x:v>
      </x:c>
      <x:c r="D633" s="142" t="str">
        <x:v>case_details</x:v>
      </x:c>
      <x:c r="E633" s="142" t="str">
        <x:v>text_or_unknown</x:v>
      </x:c>
      <x:c r="F633" s="142" t="str">
        <x:v>Packet completion: record, court, case, filing, or form detail</x:v>
      </x:c>
      <x:c r="G633" s="56" t="str">
        <x:v>https://github.com/Roger-LegalEase/legalease-partner-dashboard-clean/blob/2f0ef0403f16e57544ad0bc86b2d1b1cd08861b3/src/lib/rcap-engine/compiled/profiles/WA-washington.json</x:v>
      </x:c>
    </x:row>
    <x:row r="634">
      <x:c r="A634" s="55" t="str">
        <x:v>Wisconsin</x:v>
      </x:c>
      <x:c r="B634" s="142" t="str">
        <x:v>WI</x:v>
      </x:c>
      <x:c r="C634" s="142" t="str">
        <x:v>Step 1 - Adult conviction, juvenile adjudication, or non-conviction?</x:v>
      </x:c>
      <x:c r="D634" s="142" t="str">
        <x:v>state_specific_eligibility</x:v>
      </x:c>
      <x:c r="E634" s="142" t="str">
        <x:v>text_or_choice</x:v>
      </x:c>
      <x:c r="F634" s="142" t="str">
        <x:v>Packet completion or final verification: source questionnaire detail is not part of the short free check</x:v>
      </x:c>
      <x:c r="G634" s="56" t="str">
        <x:v>https://github.com/Roger-LegalEase/legalease-partner-dashboard-clean/blob/2f0ef0403f16e57544ad0bc86b2d1b1cd08861b3/src/lib/rcap-engine/compiled/profiles/WI-wisconsin.json</x:v>
      </x:c>
    </x:row>
    <x:row r="635">
      <x:c r="A635" s="55" t="str">
        <x:v>Wisconsin</x:v>
      </x:c>
      <x:c r="B635" s="142" t="str">
        <x:v>WI</x:v>
      </x:c>
      <x:c r="C635" s="142" t="str">
        <x:v>Was this an adult conviction, juvenile adjudication, dismissed/no-file/not-guilty arrest, or are you not sure?</x:v>
      </x:c>
      <x:c r="D635" s="142" t="str">
        <x:v>state_specific_eligibility</x:v>
      </x:c>
      <x:c r="E635" s="142" t="str">
        <x:v>yes_no_unsure</x:v>
      </x:c>
      <x:c r="F635" s="142" t="str">
        <x:v>Packet completion or final verification: source questionnaire detail is not part of the short free check</x:v>
      </x:c>
      <x:c r="G635" s="56" t="str">
        <x:v>https://github.com/Roger-LegalEase/legalease-partner-dashboard-clean/blob/2f0ef0403f16e57544ad0bc86b2d1b1cd08861b3/src/lib/rcap-engine/compiled/profiles/WI-wisconsin.json</x:v>
      </x:c>
    </x:row>
    <x:row r="636">
      <x:c r="A636" s="55" t="str">
        <x:v>Wisconsin</x:v>
      </x:c>
      <x:c r="B636" s="142" t="str">
        <x:v>WI</x:v>
      </x:c>
      <x:c r="C636" s="142" t="str">
        <x:v>Were you under 25 when the offense happened, and did the judge order expungement at sentencing?</x:v>
      </x:c>
      <x:c r="D636" s="142" t="str">
        <x:v>state_specific_eligibility</x:v>
      </x:c>
      <x:c r="E636" s="142" t="str">
        <x:v>yes_no_unsure</x:v>
      </x:c>
      <x:c r="F636" s="142" t="str">
        <x:v>Packet completion or final verification: source questionnaire detail is not part of the short free check</x:v>
      </x:c>
      <x:c r="G636" s="56" t="str">
        <x:v>https://github.com/Roger-LegalEase/legalease-partner-dashboard-clean/blob/2f0ef0403f16e57544ad0bc86b2d1b1cd08861b3/src/lib/rcap-engine/compiled/profiles/WI-wisconsin.json</x:v>
      </x:c>
    </x:row>
    <x:row r="637">
      <x:c r="A637" s="55" t="str">
        <x:v>Wisconsin</x:v>
      </x:c>
      <x:c r="B637" s="142" t="str">
        <x:v>WI</x:v>
      </x:c>
      <x:c r="C637" s="142" t="str">
        <x:v>Were all charges from that arrest dismissed, not filed, or resolved not guilty?</x:v>
      </x:c>
      <x:c r="D637" s="142" t="str">
        <x:v>state_specific_eligibility</x:v>
      </x:c>
      <x:c r="E637" s="142" t="str">
        <x:v>yes_no_unsure</x:v>
      </x:c>
      <x:c r="F637" s="142" t="str">
        <x:v>Packet completion or final verification: source questionnaire detail is not part of the short free check</x:v>
      </x:c>
      <x:c r="G637" s="56" t="str">
        <x:v>https://github.com/Roger-LegalEase/legalease-partner-dashboard-clean/blob/2f0ef0403f16e57544ad0bc86b2d1b1cd08861b3/src/lib/rcap-engine/compiled/profiles/WI-wisconsin.json</x:v>
      </x:c>
    </x:row>
    <x:row r="638">
      <x:c r="A638" s="55" t="str">
        <x:v>Wisconsin</x:v>
      </x:c>
      <x:c r="B638" s="142" t="str">
        <x:v>WI</x:v>
      </x:c>
      <x:c r="C638" s="142" t="str">
        <x:v>Are you at least 17, and did you complete the dispositional order?</x:v>
      </x:c>
      <x:c r="D638" s="142" t="str">
        <x:v>state_specific_eligibility</x:v>
      </x:c>
      <x:c r="E638" s="142" t="str">
        <x:v>yes_no_unsure</x:v>
      </x:c>
      <x:c r="F638" s="142" t="str">
        <x:v>Packet completion or final verification: source questionnaire detail is not part of the short free check</x:v>
      </x:c>
      <x:c r="G638" s="56" t="str">
        <x:v>https://github.com/Roger-LegalEase/legalease-partner-dashboard-clean/blob/2f0ef0403f16e57544ad0bc86b2d1b1cd08861b3/src/lib/rcap-engine/compiled/profiles/WI-wisconsin.json</x:v>
      </x:c>
    </x:row>
    <x:row r="639">
      <x:c r="A639" s="55" t="str">
        <x:v>Wisconsin</x:v>
      </x:c>
      <x:c r="B639" s="142" t="str">
        <x:v>WI</x:v>
      </x:c>
      <x:c r="C639" s="142" t="str">
        <x:v>Ask gently:</x:v>
      </x:c>
      <x:c r="D639" s="142" t="str">
        <x:v>state_specific_eligibility</x:v>
      </x:c>
      <x:c r="E639" s="142" t="str">
        <x:v>text_or_choice</x:v>
      </x:c>
      <x:c r="F639" s="142" t="str">
        <x:v>Packet completion or final verification: source questionnaire detail is not part of the short free check</x:v>
      </x:c>
      <x:c r="G639" s="56" t="str">
        <x:v>https://github.com/Roger-LegalEase/legalease-partner-dashboard-clean/blob/2f0ef0403f16e57544ad0bc86b2d1b1cd08861b3/src/lib/rcap-engine/compiled/profiles/WI-wisconsin.json</x:v>
      </x:c>
    </x:row>
    <x:row r="640">
      <x:c r="A640" s="55" t="str">
        <x:v>Wisconsin</x:v>
      </x:c>
      <x:c r="B640" s="142" t="str">
        <x:v>WI</x:v>
      </x:c>
      <x:c r="C640" s="142" t="str">
        <x:v>Was the prostitution-related case connected to trafficking, coercion, exploitation, or someone forcing or directing what happened?</x:v>
      </x:c>
      <x:c r="D640" s="142" t="str">
        <x:v>state_specific_eligibility</x:v>
      </x:c>
      <x:c r="E640" s="142" t="str">
        <x:v>yes_no_unsure</x:v>
      </x:c>
      <x:c r="F640" s="142" t="str">
        <x:v>Packet completion or final verification: source questionnaire detail is not part of the short free check</x:v>
      </x:c>
      <x:c r="G640" s="56" t="str">
        <x:v>https://github.com/Roger-LegalEase/legalease-partner-dashboard-clean/blob/2f0ef0403f16e57544ad0bc86b2d1b1cd08861b3/src/lib/rcap-engine/compiled/profiles/WI-wisconsin.json</x:v>
      </x:c>
    </x:row>
    <x:row r="641">
      <x:c r="A641" s="55" t="str">
        <x:v>Wisconsin</x:v>
      </x:c>
      <x:c r="B641" s="142" t="str">
        <x:v>WI</x:v>
      </x:c>
      <x:c r="C641" s="142" t="str">
        <x:v>Do you have the Wisconsin criminal-history report, court docket, or certified disposition needed to verify the record?</x:v>
      </x:c>
      <x:c r="D641" s="142" t="str">
        <x:v>record_readiness</x:v>
      </x:c>
      <x:c r="E641" s="142" t="str">
        <x:v>yes_no_unsure</x:v>
      </x:c>
      <x:c r="F641" s="142" t="str">
        <x:v>Packet completion: record, court, case, filing, or form detail</x:v>
      </x:c>
      <x:c r="G641" s="56" t="str">
        <x:v>https://github.com/Roger-LegalEase/legalease-partner-dashboard-clean/blob/2f0ef0403f16e57544ad0bc86b2d1b1cd08861b3/src/lib/rcap-engine/compiled/profiles/WI-wisconsin.json</x:v>
      </x:c>
    </x:row>
    <x:row r="642">
      <x:c r="A642" s="55" t="str">
        <x:v>Wisconsin</x:v>
      </x:c>
      <x:c r="B642" s="142" t="str">
        <x:v>WI</x:v>
      </x:c>
      <x:c r="C642" s="142" t="str">
        <x:v>When was the case disposed of, dismissed, completed, or discharged?</x:v>
      </x:c>
      <x:c r="D642" s="142" t="str">
        <x:v>timing_and_completion</x:v>
      </x:c>
      <x:c r="E642" s="142" t="str">
        <x:v>date_or_unknown</x:v>
      </x:c>
      <x:c r="F642" s="142" t="str">
        <x:v>Packet completion/final verification: exact date; free check uses approximate timing where appropriate</x:v>
      </x:c>
      <x:c r="G642" s="56" t="str">
        <x:v>https://github.com/Roger-LegalEase/legalease-partner-dashboard-clean/blob/2f0ef0403f16e57544ad0bc86b2d1b1cd08861b3/src/lib/rcap-engine/compiled/profiles/WI-wisconsin.json</x:v>
      </x:c>
    </x:row>
    <x:row r="643">
      <x:c r="A643" s="55" t="str">
        <x:v>Wisconsin</x:v>
      </x:c>
      <x:c r="B643" s="142" t="str">
        <x:v>WI</x:v>
      </x:c>
      <x:c r="C643" s="142" t="str">
        <x:v>Which court or agency handled the case?</x:v>
      </x:c>
      <x:c r="D643" s="142" t="str">
        <x:v>case_details</x:v>
      </x:c>
      <x:c r="E643" s="142" t="str">
        <x:v>text</x:v>
      </x:c>
      <x:c r="F643" s="142" t="str">
        <x:v>Packet completion: record, court, case, filing, or form detail</x:v>
      </x:c>
      <x:c r="G643" s="56" t="str">
        <x:v>https://github.com/Roger-LegalEase/legalease-partner-dashboard-clean/blob/2f0ef0403f16e57544ad0bc86b2d1b1cd08861b3/src/lib/rcap-engine/compiled/profiles/WI-wisconsin.json</x:v>
      </x:c>
    </x:row>
    <x:row r="644">
      <x:c r="A644" s="55" t="str">
        <x:v>Wisconsin</x:v>
      </x:c>
      <x:c r="B644" s="142" t="str">
        <x:v>WI</x:v>
      </x:c>
      <x:c r="C644" s="142" t="str">
        <x:v>What charge, statute, or record description appears on the record?</x:v>
      </x:c>
      <x:c r="D644" s="142" t="str">
        <x:v>case_details</x:v>
      </x:c>
      <x:c r="E644" s="142" t="str">
        <x:v>text_or_unknown</x:v>
      </x:c>
      <x:c r="F644" s="142" t="str">
        <x:v>Packet completion: record, court, case, filing, or form detail</x:v>
      </x:c>
      <x:c r="G644" s="56" t="str">
        <x:v>https://github.com/Roger-LegalEase/legalease-partner-dashboard-clean/blob/2f0ef0403f16e57544ad0bc86b2d1b1cd08861b3/src/lib/rcap-engine/compiled/profiles/WI-wisconsin.json</x:v>
      </x:c>
    </x:row>
    <x:row r="645">
      <x:c r="A645" s="55" t="str">
        <x:v>Wisconsin</x:v>
      </x:c>
      <x:c r="B645" s="142" t="str">
        <x:v>WI</x:v>
      </x:c>
      <x:c r="C645" s="142" t="str">
        <x:v>Do you have court paperwork or a criminal-history record showing the exact charge and outcome?</x:v>
      </x:c>
      <x:c r="D645" s="142" t="str">
        <x:v>record_readiness</x:v>
      </x:c>
      <x:c r="E645" s="142" t="str">
        <x:v>yes_no_unsure</x:v>
      </x:c>
      <x:c r="F645" s="142" t="str">
        <x:v>Packet completion: record, court, case, filing, or form detail</x:v>
      </x:c>
      <x:c r="G645" s="56" t="str">
        <x:v>https://github.com/Roger-LegalEase/legalease-partner-dashboard-clean/blob/2f0ef0403f16e57544ad0bc86b2d1b1cd08861b3/src/lib/rcap-engine/compiled/profiles/WI-wisconsin.json</x:v>
      </x:c>
    </x:row>
    <x:row r="646">
      <x:c r="A646" s="55" t="str">
        <x:v>Wisconsin</x:v>
      </x:c>
      <x:c r="B646" s="142" t="str">
        <x:v>WI</x:v>
      </x:c>
      <x:c r="C646" s="142" t="str">
        <x:v>Where in Wisconsin was the case handled?</x:v>
      </x:c>
      <x:c r="D646" s="142" t="str">
        <x:v>case_details</x:v>
      </x:c>
      <x:c r="E646" s="142" t="str">
        <x:v>text_or_unknown</x:v>
      </x:c>
      <x:c r="F646" s="142" t="str">
        <x:v>Packet completion: record, court, case, filing, or form detail</x:v>
      </x:c>
      <x:c r="G646" s="56" t="str">
        <x:v>https://github.com/Roger-LegalEase/legalease-partner-dashboard-clean/blob/2f0ef0403f16e57544ad0bc86b2d1b1cd08861b3/src/lib/rcap-engine/compiled/profiles/WI-wisconsin.json</x:v>
      </x:c>
    </x:row>
    <x:row r="647">
      <x:c r="A647" s="55" t="str">
        <x:v>Wisconsin</x:v>
      </x:c>
      <x:c r="B647" s="142" t="str">
        <x:v>WI</x:v>
      </x:c>
      <x:c r="C647" s="142" t="str">
        <x:v>What case, docket, cause, or arrest number appears on the record?</x:v>
      </x:c>
      <x:c r="D647" s="142" t="str">
        <x:v>case_details</x:v>
      </x:c>
      <x:c r="E647" s="142" t="str">
        <x:v>text_or_unknown</x:v>
      </x:c>
      <x:c r="F647" s="142" t="str">
        <x:v>Packet completion: record, court, case, filing, or form detail</x:v>
      </x:c>
      <x:c r="G647" s="56" t="str">
        <x:v>https://github.com/Roger-LegalEase/legalease-partner-dashboard-clean/blob/2f0ef0403f16e57544ad0bc86b2d1b1cd08861b3/src/lib/rcap-engine/compiled/profiles/WI-wisconsin.json</x:v>
      </x:c>
    </x:row>
    <x:row r="648">
      <x:c r="A648" s="55" t="str">
        <x:v>West Virginia</x:v>
      </x:c>
      <x:c r="B648" s="142" t="str">
        <x:v>WV</x:v>
      </x:c>
      <x:c r="C648" s="142" t="str">
        <x:v>When was the case disposed of, dismissed, completed, or discharged?</x:v>
      </x:c>
      <x:c r="D648" s="142" t="str">
        <x:v>timing_and_completion</x:v>
      </x:c>
      <x:c r="E648" s="142" t="str">
        <x:v>date_or_unknown</x:v>
      </x:c>
      <x:c r="F648" s="142" t="str">
        <x:v>Packet completion/final verification: exact date; free check uses approximate timing where appropriate</x:v>
      </x:c>
      <x:c r="G648" s="56" t="str">
        <x:v>https://github.com/Roger-LegalEase/legalease-partner-dashboard-clean/blob/2f0ef0403f16e57544ad0bc86b2d1b1cd08861b3/src/lib/rcap-engine/compiled/profiles/WV-west-virginia.json</x:v>
      </x:c>
    </x:row>
    <x:row r="649">
      <x:c r="A649" s="55" t="str">
        <x:v>West Virginia</x:v>
      </x:c>
      <x:c r="B649" s="142" t="str">
        <x:v>WV</x:v>
      </x:c>
      <x:c r="C649" s="142" t="str">
        <x:v>When did the arrest or citation occur?</x:v>
      </x:c>
      <x:c r="D649" s="142" t="str">
        <x:v>case_details</x:v>
      </x:c>
      <x:c r="E649" s="142" t="str">
        <x:v>date_or_unknown</x:v>
      </x:c>
      <x:c r="F649" s="142" t="str">
        <x:v>Packet completion: record, court, case, filing, or form detail</x:v>
      </x:c>
      <x:c r="G649" s="56" t="str">
        <x:v>https://github.com/Roger-LegalEase/legalease-partner-dashboard-clean/blob/2f0ef0403f16e57544ad0bc86b2d1b1cd08861b3/src/lib/rcap-engine/compiled/profiles/WV-west-virginia.json</x:v>
      </x:c>
    </x:row>
    <x:row r="650">
      <x:c r="A650" s="55" t="str">
        <x:v>West Virginia</x:v>
      </x:c>
      <x:c r="B650" s="142" t="str">
        <x:v>WV</x:v>
      </x:c>
      <x:c r="C650" s="142" t="str">
        <x:v>What West Virginia county, parish, borough, district, or local filing area handled the case?</x:v>
      </x:c>
      <x:c r="D650" s="142" t="str">
        <x:v>case_details</x:v>
      </x:c>
      <x:c r="E650" s="142" t="str">
        <x:v>text</x:v>
      </x:c>
      <x:c r="F650" s="142" t="str">
        <x:v>Packet completion: record, court, case, filing, or form detail</x:v>
      </x:c>
      <x:c r="G650" s="56" t="str">
        <x:v>https://github.com/Roger-LegalEase/legalease-partner-dashboard-clean/blob/2f0ef0403f16e57544ad0bc86b2d1b1cd08861b3/src/lib/rcap-engine/compiled/profiles/WV-west-virginia.json</x:v>
      </x:c>
    </x:row>
    <x:row r="651">
      <x:c r="A651" s="55" t="str">
        <x:v>West Virginia</x:v>
      </x:c>
      <x:c r="B651" s="142" t="str">
        <x:v>WV</x:v>
      </x:c>
      <x:c r="C651" s="142" t="str">
        <x:v>Which court or agency handled the case?</x:v>
      </x:c>
      <x:c r="D651" s="142" t="str">
        <x:v>case_details</x:v>
      </x:c>
      <x:c r="E651" s="142" t="str">
        <x:v>text</x:v>
      </x:c>
      <x:c r="F651" s="142" t="str">
        <x:v>Packet completion: record, court, case, filing, or form detail</x:v>
      </x:c>
      <x:c r="G651" s="56" t="str">
        <x:v>https://github.com/Roger-LegalEase/legalease-partner-dashboard-clean/blob/2f0ef0403f16e57544ad0bc86b2d1b1cd08861b3/src/lib/rcap-engine/compiled/profiles/WV-west-virginia.json</x:v>
      </x:c>
    </x:row>
    <x:row r="652">
      <x:c r="A652" s="55" t="str">
        <x:v>West Virginia</x:v>
      </x:c>
      <x:c r="B652" s="142" t="str">
        <x:v>WV</x:v>
      </x:c>
      <x:c r="C652" s="142" t="str">
        <x:v>What is the case, cause, docket, or arrest number?</x:v>
      </x:c>
      <x:c r="D652" s="142" t="str">
        <x:v>case_details</x:v>
      </x:c>
      <x:c r="E652" s="142" t="str">
        <x:v>text_or_unknown</x:v>
      </x:c>
      <x:c r="F652" s="142" t="str">
        <x:v>Packet completion: record, court, case, filing, or form detail</x:v>
      </x:c>
      <x:c r="G652" s="56" t="str">
        <x:v>https://github.com/Roger-LegalEase/legalease-partner-dashboard-clean/blob/2f0ef0403f16e57544ad0bc86b2d1b1cd08861b3/src/lib/rcap-engine/compiled/profiles/WV-west-virginia.json</x:v>
      </x:c>
    </x:row>
    <x:row r="653">
      <x:c r="A653" s="55" t="str">
        <x:v>West Virginia</x:v>
      </x:c>
      <x:c r="B653" s="142" t="str">
        <x:v>WV</x:v>
      </x:c>
      <x:c r="C653" s="142" t="str">
        <x:v>What charge, statute, or record description appears on the record?</x:v>
      </x:c>
      <x:c r="D653" s="142" t="str">
        <x:v>case_details</x:v>
      </x:c>
      <x:c r="E653" s="142" t="str">
        <x:v>text_or_unknown</x:v>
      </x:c>
      <x:c r="F653" s="142" t="str">
        <x:v>Packet completion: record, court, case, filing, or form detail</x:v>
      </x:c>
      <x:c r="G653" s="56" t="str">
        <x:v>https://github.com/Roger-LegalEase/legalease-partner-dashboard-clean/blob/2f0ef0403f16e57544ad0bc86b2d1b1cd08861b3/src/lib/rcap-engine/compiled/profiles/WV-west-virginia.json</x:v>
      </x:c>
    </x:row>
    <x:row r="654">
      <x:c r="A654" s="55" t="str">
        <x:v>West Virginia</x:v>
      </x:c>
      <x:c r="B654" s="142" t="str">
        <x:v>WV</x:v>
      </x:c>
      <x:c r="C654" s="142" t="str">
        <x:v>Do you have court paperwork or a criminal-history record showing the exact charge and outcome?</x:v>
      </x:c>
      <x:c r="D654" s="142" t="str">
        <x:v>record_readiness</x:v>
      </x:c>
      <x:c r="E654" s="142" t="str">
        <x:v>yes_no_unsure</x:v>
      </x:c>
      <x:c r="F654" s="142" t="str">
        <x:v>Packet completion: record, court, case, filing, or form detail</x:v>
      </x:c>
      <x:c r="G654" s="56" t="str">
        <x:v>https://github.com/Roger-LegalEase/legalease-partner-dashboard-clean/blob/2f0ef0403f16e57544ad0bc86b2d1b1cd08861b3/src/lib/rcap-engine/compiled/profiles/WV-west-virginia.json</x:v>
      </x:c>
    </x:row>
    <x:row r="655">
      <x:c r="A655" s="55" t="str">
        <x:v>West Virginia</x:v>
      </x:c>
      <x:c r="B655" s="142" t="str">
        <x:v>WV</x:v>
      </x:c>
      <x:c r="C655" s="142" t="str">
        <x:v>Where in West Virginia was the case handled?</x:v>
      </x:c>
      <x:c r="D655" s="142" t="str">
        <x:v>case_details</x:v>
      </x:c>
      <x:c r="E655" s="142" t="str">
        <x:v>text_or_unknown</x:v>
      </x:c>
      <x:c r="F655" s="142" t="str">
        <x:v>Packet completion: record, court, case, filing, or form detail</x:v>
      </x:c>
      <x:c r="G655" s="56" t="str">
        <x:v>https://github.com/Roger-LegalEase/legalease-partner-dashboard-clean/blob/2f0ef0403f16e57544ad0bc86b2d1b1cd08861b3/src/lib/rcap-engine/compiled/profiles/WV-west-virginia.json</x:v>
      </x:c>
    </x:row>
    <x:row r="656">
      <x:c r="A656" s="55" t="str">
        <x:v>West Virginia</x:v>
      </x:c>
      <x:c r="B656" s="142" t="str">
        <x:v>WV</x:v>
      </x:c>
      <x:c r="C656" s="142" t="str">
        <x:v>What case, docket, cause, or arrest number appears on the record?</x:v>
      </x:c>
      <x:c r="D656" s="142" t="str">
        <x:v>case_details</x:v>
      </x:c>
      <x:c r="E656" s="142" t="str">
        <x:v>text_or_unknown</x:v>
      </x:c>
      <x:c r="F656" s="142" t="str">
        <x:v>Packet completion: record, court, case, filing, or form detail</x:v>
      </x:c>
      <x:c r="G656" s="56" t="str">
        <x:v>https://github.com/Roger-LegalEase/legalease-partner-dashboard-clean/blob/2f0ef0403f16e57544ad0bc86b2d1b1cd08861b3/src/lib/rcap-engine/compiled/profiles/WV-west-virginia.json</x:v>
      </x:c>
    </x:row>
    <x:row r="657">
      <x:c r="A657" s="55" t="str">
        <x:v>Wyoming</x:v>
      </x:c>
      <x:c r="B657" s="142" t="str">
        <x:v>WY</x:v>
      </x:c>
      <x:c r="C657" s="142" t="str">
        <x:v>Step 1 - Adult or juvenile/minor?</x:v>
      </x:c>
      <x:c r="D657" s="142" t="str">
        <x:v>state_specific_eligibility</x:v>
      </x:c>
      <x:c r="E657" s="142" t="str">
        <x:v>text_or_choice</x:v>
      </x:c>
      <x:c r="F657" s="142" t="str">
        <x:v>Packet completion or final verification: source questionnaire detail is not part of the short free check</x:v>
      </x:c>
      <x:c r="G657" s="56" t="str">
        <x:v>https://github.com/Roger-LegalEase/legalease-partner-dashboard-clean/blob/2f0ef0403f16e57544ad0bc86b2d1b1cd08861b3/src/lib/rcap-engine/compiled/profiles/WY-wyoming.json</x:v>
      </x:c>
    </x:row>
    <x:row r="658">
      <x:c r="A658" s="55" t="str">
        <x:v>Wyoming</x:v>
      </x:c>
      <x:c r="B658" s="142" t="str">
        <x:v>WY</x:v>
      </x:c>
      <x:c r="C658" s="142" t="str">
        <x:v>Was this an adult case, or were you under 18 when it happened?</x:v>
      </x:c>
      <x:c r="D658" s="142" t="str">
        <x:v>state_specific_eligibility</x:v>
      </x:c>
      <x:c r="E658" s="142" t="str">
        <x:v>yes_no_unsure</x:v>
      </x:c>
      <x:c r="F658" s="142" t="str">
        <x:v>Packet completion or final verification: source questionnaire detail is not part of the short free check</x:v>
      </x:c>
      <x:c r="G658" s="56" t="str">
        <x:v>https://github.com/Roger-LegalEase/legalease-partner-dashboard-clean/blob/2f0ef0403f16e57544ad0bc86b2d1b1cd08861b3/src/lib/rcap-engine/compiled/profiles/WY-wyoming.json</x:v>
      </x:c>
    </x:row>
    <x:row r="659">
      <x:c r="A659" s="55" t="str">
        <x:v>Wyoming</x:v>
      </x:c>
      <x:c r="B659" s="142" t="str">
        <x:v>WY</x:v>
      </x:c>
      <x:c r="C659" s="142" t="str">
        <x:v>Step 2 - Conviction or no conviction?</x:v>
      </x:c>
      <x:c r="D659" s="142" t="str">
        <x:v>state_specific_eligibility</x:v>
      </x:c>
      <x:c r="E659" s="142" t="str">
        <x:v>text_or_choice</x:v>
      </x:c>
      <x:c r="F659" s="142" t="str">
        <x:v>Packet completion or final verification: source questionnaire detail is not part of the short free check</x:v>
      </x:c>
      <x:c r="G659" s="56" t="str">
        <x:v>https://github.com/Roger-LegalEase/legalease-partner-dashboard-clean/blob/2f0ef0403f16e57544ad0bc86b2d1b1cd08861b3/src/lib/rcap-engine/compiled/profiles/WY-wyoming.json</x:v>
      </x:c>
    </x:row>
    <x:row r="660">
      <x:c r="A660" s="55" t="str">
        <x:v>Wyoming</x:v>
      </x:c>
      <x:c r="B660" s="142" t="str">
        <x:v>WY</x:v>
      </x:c>
      <x:c r="C660" s="142" t="str">
        <x:v>Did the case end in conviction/guilty/no contest, or was it dismissed, acquitted, declined, or never charged?</x:v>
      </x:c>
      <x:c r="D660" s="142" t="str">
        <x:v>state_specific_eligibility</x:v>
      </x:c>
      <x:c r="E660" s="142" t="str">
        <x:v>yes_no_unsure</x:v>
      </x:c>
      <x:c r="F660" s="142" t="str">
        <x:v>Packet completion or final verification: source questionnaire detail is not part of the short free check</x:v>
      </x:c>
      <x:c r="G660" s="56" t="str">
        <x:v>https://github.com/Roger-LegalEase/legalease-partner-dashboard-clean/blob/2f0ef0403f16e57544ad0bc86b2d1b1cd08861b3/src/lib/rcap-engine/compiled/profiles/WY-wyoming.json</x:v>
      </x:c>
    </x:row>
    <x:row r="661">
      <x:c r="A661" s="55" t="str">
        <x:v>Wyoming</x:v>
      </x:c>
      <x:c r="B661" s="142" t="str">
        <x:v>WY</x:v>
      </x:c>
      <x:c r="C661" s="142" t="str">
        <x:v>Was this handled through deferred prosecution, first-offender treatment, probation before judgment, or a dismissal after completing probation?</x:v>
      </x:c>
      <x:c r="D661" s="142" t="str">
        <x:v>state_specific_eligibility</x:v>
      </x:c>
      <x:c r="E661" s="142" t="str">
        <x:v>yes_no_unsure</x:v>
      </x:c>
      <x:c r="F661" s="142" t="str">
        <x:v>Packet completion or final verification: source questionnaire detail is not part of the short free check</x:v>
      </x:c>
      <x:c r="G661" s="56" t="str">
        <x:v>https://github.com/Roger-LegalEase/legalease-partner-dashboard-clean/blob/2f0ef0403f16e57544ad0bc86b2d1b1cd08861b3/src/lib/rcap-engine/compiled/profiles/WY-wyoming.json</x:v>
      </x:c>
    </x:row>
    <x:row r="662">
      <x:c r="A662" s="55" t="str">
        <x:v>Wyoming</x:v>
      </x:c>
      <x:c r="B662" s="142" t="str">
        <x:v>WY</x:v>
      </x:c>
      <x:c r="C662" s="142" t="str">
        <x:v>Did the offense involve a gun, sex-offender registration, violence, a child victim, domestic battery, weapons, escape, bribery, or harm to a patient by a health-care provider?</x:v>
      </x:c>
      <x:c r="D662" s="142" t="str">
        <x:v>state_specific_eligibility</x:v>
      </x:c>
      <x:c r="E662" s="142" t="str">
        <x:v>yes_no_unsure</x:v>
      </x:c>
      <x:c r="F662" s="142" t="str">
        <x:v>Packet completion or final verification: source questionnaire detail is not part of the short free check</x:v>
      </x:c>
      <x:c r="G662" s="56" t="str">
        <x:v>https://github.com/Roger-LegalEase/legalease-partner-dashboard-clean/blob/2f0ef0403f16e57544ad0bc86b2d1b1cd08861b3/src/lib/rcap-engine/compiled/profiles/WY-wyoming.json</x:v>
      </x:c>
    </x:row>
    <x:row r="663">
      <x:c r="A663" s="55" t="str">
        <x:v>Wyoming</x:v>
      </x:c>
      <x:c r="B663" s="142" t="str">
        <x:v>WY</x:v>
      </x:c>
      <x:c r="C663" s="142" t="str">
        <x:v>When did you finish probation, court-ordered programs, and restitution?</x:v>
      </x:c>
      <x:c r="D663" s="142" t="str">
        <x:v>state_specific_eligibility</x:v>
      </x:c>
      <x:c r="E663" s="142" t="str">
        <x:v>text_or_choice</x:v>
      </x:c>
      <x:c r="F663" s="142" t="str">
        <x:v>Packet completion or final verification: source questionnaire detail is not part of the short free check</x:v>
      </x:c>
      <x:c r="G663" s="56" t="str">
        <x:v>https://github.com/Roger-LegalEase/legalease-partner-dashboard-clean/blob/2f0ef0403f16e57544ad0bc86b2d1b1cd08861b3/src/lib/rcap-engine/compiled/profiles/WY-wyoming.json</x:v>
      </x:c>
    </x:row>
    <x:row r="664">
      <x:c r="A664" s="55" t="str">
        <x:v>Wyoming</x:v>
      </x:c>
      <x:c r="B664" s="142" t="str">
        <x:v>WY</x:v>
      </x:c>
      <x:c r="C664" s="142" t="str">
        <x:v>When was the case disposed of, dismissed, completed, or discharged?</x:v>
      </x:c>
      <x:c r="D664" s="142" t="str">
        <x:v>timing_and_completion</x:v>
      </x:c>
      <x:c r="E664" s="142" t="str">
        <x:v>date_or_unknown</x:v>
      </x:c>
      <x:c r="F664" s="142" t="str">
        <x:v>Packet completion/final verification: exact date; free check uses approximate timing where appropriate</x:v>
      </x:c>
      <x:c r="G664" s="56" t="str">
        <x:v>https://github.com/Roger-LegalEase/legalease-partner-dashboard-clean/blob/2f0ef0403f16e57544ad0bc86b2d1b1cd08861b3/src/lib/rcap-engine/compiled/profiles/WY-wyoming.json</x:v>
      </x:c>
    </x:row>
    <x:row r="665">
      <x:c r="A665" s="55" t="str">
        <x:v>Wyoming</x:v>
      </x:c>
      <x:c r="B665" s="142" t="str">
        <x:v>WY</x:v>
      </x:c>
      <x:c r="C665" s="142" t="str">
        <x:v>Which court or agency handled the case?</x:v>
      </x:c>
      <x:c r="D665" s="142" t="str">
        <x:v>case_details</x:v>
      </x:c>
      <x:c r="E665" s="142" t="str">
        <x:v>text</x:v>
      </x:c>
      <x:c r="F665" s="142" t="str">
        <x:v>Packet completion: record, court, case, filing, or form detail</x:v>
      </x:c>
      <x:c r="G665" s="56" t="str">
        <x:v>https://github.com/Roger-LegalEase/legalease-partner-dashboard-clean/blob/2f0ef0403f16e57544ad0bc86b2d1b1cd08861b3/src/lib/rcap-engine/compiled/profiles/WY-wyoming.json</x:v>
      </x:c>
    </x:row>
    <x:row r="666">
      <x:c r="A666" s="55" t="str">
        <x:v>Wyoming</x:v>
      </x:c>
      <x:c r="B666" s="142" t="str">
        <x:v>WY</x:v>
      </x:c>
      <x:c r="C666" s="142" t="str">
        <x:v>What charge, statute, or record description appears on the record?</x:v>
      </x:c>
      <x:c r="D666" s="142" t="str">
        <x:v>case_details</x:v>
      </x:c>
      <x:c r="E666" s="142" t="str">
        <x:v>text_or_unknown</x:v>
      </x:c>
      <x:c r="F666" s="142" t="str">
        <x:v>Packet completion: record, court, case, filing, or form detail</x:v>
      </x:c>
      <x:c r="G666" s="56" t="str">
        <x:v>https://github.com/Roger-LegalEase/legalease-partner-dashboard-clean/blob/2f0ef0403f16e57544ad0bc86b2d1b1cd08861b3/src/lib/rcap-engine/compiled/profiles/WY-wyoming.json</x:v>
      </x:c>
    </x:row>
    <x:row r="667">
      <x:c r="A667" s="55" t="str">
        <x:v>Wyoming</x:v>
      </x:c>
      <x:c r="B667" s="142" t="str">
        <x:v>WY</x:v>
      </x:c>
      <x:c r="C667" s="142" t="str">
        <x:v>Do you have court paperwork or a criminal-history record showing the exact charge and outcome?</x:v>
      </x:c>
      <x:c r="D667" s="142" t="str">
        <x:v>record_readiness</x:v>
      </x:c>
      <x:c r="E667" s="142" t="str">
        <x:v>yes_no_unsure</x:v>
      </x:c>
      <x:c r="F667" s="142" t="str">
        <x:v>Packet completion: record, court, case, filing, or form detail</x:v>
      </x:c>
      <x:c r="G667" s="56" t="str">
        <x:v>https://github.com/Roger-LegalEase/legalease-partner-dashboard-clean/blob/2f0ef0403f16e57544ad0bc86b2d1b1cd08861b3/src/lib/rcap-engine/compiled/profiles/WY-wyoming.json</x:v>
      </x:c>
    </x:row>
    <x:row r="668">
      <x:c r="A668" s="55" t="str">
        <x:v>Wyoming</x:v>
      </x:c>
      <x:c r="B668" s="142" t="str">
        <x:v>WY</x:v>
      </x:c>
      <x:c r="C668" s="142" t="str">
        <x:v>Where in Wyoming was the case handled?</x:v>
      </x:c>
      <x:c r="D668" s="142" t="str">
        <x:v>case_details</x:v>
      </x:c>
      <x:c r="E668" s="142" t="str">
        <x:v>text_or_unknown</x:v>
      </x:c>
      <x:c r="F668" s="142" t="str">
        <x:v>Packet completion: record, court, case, filing, or form detail</x:v>
      </x:c>
      <x:c r="G668" s="56" t="str">
        <x:v>https://github.com/Roger-LegalEase/legalease-partner-dashboard-clean/blob/2f0ef0403f16e57544ad0bc86b2d1b1cd08861b3/src/lib/rcap-engine/compiled/profiles/WY-wyoming.json</x:v>
      </x:c>
    </x:row>
    <x:row r="669">
      <x:c r="A669" s="57" t="str">
        <x:v>Wyoming</x:v>
      </x:c>
      <x:c r="B669" s="143" t="str">
        <x:v>WY</x:v>
      </x:c>
      <x:c r="C669" s="143" t="str">
        <x:v>What case, docket, cause, or arrest number appears on the record?</x:v>
      </x:c>
      <x:c r="D669" s="143" t="str">
        <x:v>case_details</x:v>
      </x:c>
      <x:c r="E669" s="143" t="str">
        <x:v>text_or_unknown</x:v>
      </x:c>
      <x:c r="F669" s="143" t="str">
        <x:v>Packet completion: record, court, case, filing, or form detail</x:v>
      </x:c>
      <x:c r="G669" s="58" t="str">
        <x:v>https://github.com/Roger-LegalEase/legalease-partner-dashboard-clean/blob/2f0ef0403f16e57544ad0bc86b2d1b1cd08861b3/src/lib/rcap-engine/compiled/profiles/WY-wyoming.json</x:v>
      </x:c>
    </x:row>
  </x:sheetData>
  <x:mergeCells>
    <x:mergeCell ref="A1:G1"/>
    <x:mergeCell ref="A2:G2"/>
  </x:mergeCells>
  <x:pageMargins left="0.7" right="0.7" top="0.75" bottom="0.75" header="0.3" footer="0.3"/>
  <x:tableParts count="1">
    <x:tablePart xmlns:r="http://schemas.openxmlformats.org/officeDocument/2006/relationships" r:id="R4e543c367fc54d57"/>
  </x:tableParts>
</x:worksheet>
</file>

<file path=xl/worksheets/sheet7.xml><?xml version="1.0" encoding="utf-8"?>
<x:worksheet xmlns:x="http://schemas.openxmlformats.org/spreadsheetml/2006/main">
  <x:sheetFormatPr defaultRowHeight="15"/>
  <x:cols>
    <x:col min="1" max="1" width="28" hidden="0" customWidth="1"/>
    <x:col min="2" max="2" width="48" hidden="0" customWidth="1"/>
    <x:col min="3" max="3" width="80" hidden="0" customWidth="1"/>
    <x:col min="4" max="4" width="65" hidden="0" customWidth="1"/>
  </x:cols>
  <x:sheetData>
    <x:row r="1" ht="32" customHeight="1">
      <x:c r="A1" s="5" t="str">
        <x:v>Source Basis and Selection Rules</x:v>
      </x:c>
    </x:row>
    <x:row r="2" ht="36" customHeight="1">
      <x:c r="A2" s="13" t="str">
        <x:v>Repository sources controlling this report.</x:v>
      </x:c>
    </x:row>
    <x:row r="4">
      <x:c r="A4" s="109" t="str">
        <x:v>Source</x:v>
      </x:c>
      <x:c r="B4" s="131" t="str">
        <x:v>Purpose</x:v>
      </x:c>
      <x:c r="C4" s="131" t="str">
        <x:v>URL / Ref</x:v>
      </x:c>
      <x:c r="D4" s="110" t="str">
        <x:v>Notes</x:v>
      </x:c>
    </x:row>
    <x:row r="5">
      <x:c r="A5" s="53" t="str">
        <x:v>Paused nationwide checkpoint</x:v>
      </x:c>
      <x:c r="B5" s="141" t="str">
        <x:v>Exact repository basis</x:v>
      </x:c>
      <x:c r="C5" s="141" t="str">
        <x:v>2f0ef0403f16e57544ad0bc86b2d1b1cd08861b3</x:v>
      </x:c>
      <x:c r="D5" s="54" t="str">
        <x:v>No Production claim; this is the paused national fine-tune checkpoint.</x:v>
      </x:c>
    </x:row>
    <x:row r="6">
      <x:c r="A6" s="55" t="str">
        <x:v>Compiled state profiles</x:v>
      </x:c>
      <x:c r="B6" s="142" t="str">
        <x:v>State questions, pathways, and decision rules</x:v>
      </x:c>
      <x:c r="C6" s="142" t="str">
        <x:v>https://github.com/Roger-LegalEase/legalease-partner-dashboard-clean/tree/2f0ef0403f16e57544ad0bc86b2d1b1cd08861b3/src/lib/rcap-engine/compiled/profiles</x:v>
      </x:c>
      <x:c r="D6" s="56" t="str">
        <x:v>One JSON profile per jurisdiction.</x:v>
      </x:c>
    </x:row>
    <x:row r="7">
      <x:c r="A7" s="55" t="str">
        <x:v>Public profile projection</x:v>
      </x:c>
      <x:c r="B7" s="142" t="str">
        <x:v>Moves exact dates, court/case facts, documents, service, and filing fields out of the free check</x:v>
      </x:c>
      <x:c r="C7" s="142" t="str">
        <x:v>https://github.com/Roger-LegalEase/legalease-partner-dashboard-clean/blob/2f0ef0403f16e57544ad0bc86b2d1b1cd08861b3/src/lib/rcap-engine/public-profile-projection.ts</x:v>
      </x:c>
      <x:c r="D7" s="56" t="str">
        <x:v>Ordinary exact timing questions become an approximate timing bucket.</x:v>
      </x:c>
    </x:row>
    <x:row r="8">
      <x:c r="A8" s="55" t="str">
        <x:v>Question selection</x:v>
      </x:c>
      <x:c r="B8" s="142" t="str">
        <x:v>Filters packet facts, applies route consumers, sorts questions, and removes duplicates</x:v>
      </x:c>
      <x:c r="C8" s="142" t="str">
        <x:v>https://github.com/Roger-LegalEase/legalease-partner-dashboard-clean/blob/2f0ef0403f16e57544ad0bc86b2d1b1cd08861b3/src/lib/rcap-engine/screening-question-selection.ts</x:v>
      </x:c>
      <x:c r="D8" s="56" t="str">
        <x:v>Explicit route selection suppresses unrelated route-specific questions.</x:v>
      </x:c>
    </x:row>
    <x:row r="9">
      <x:c r="A9" s="55" t="str">
        <x:v>Shard D–I records</x:v>
      </x:c>
      <x:c r="B9" s="142" t="str">
        <x:v>Accepted state lifecycle evidence and selected-question counts</x:v>
      </x:c>
      <x:c r="C9" s="142" t="str">
        <x:v>https://github.com/Roger-LegalEase/legalease-partner-dashboard-clean/tree/2f0ef0403f16e57544ad0bc86b2d1b1cd08861b3/data/expungement-ai/screening-verification-finetune</x:v>
      </x:c>
      <x:c r="D9" s="56" t="str">
        <x:v>Exact per-state counts are present in later shards; D/E report aggregates.</x:v>
      </x:c>
    </x:row>
    <x:row r="10">
      <x:c r="A10" s="57" t="str">
        <x:v>Consolidated source-defined flows</x:v>
      </x:c>
      <x:c r="B10" s="143" t="str">
        <x:v>Question catalog, pathways, and decision rules</x:v>
      </x:c>
      <x:c r="C10" s="143" t="str">
        <x:v>ALL_51_JURISDICTION_FLOWS.md</x:v>
      </x:c>
      <x:c r="D10" s="58" t="str">
        <x:v>Normalized here to the fine-tuned free-check contract.</x:v>
      </x:c>
    </x:row>
  </x:sheetData>
  <x:mergeCells>
    <x:mergeCell ref="A1:D1"/>
    <x:mergeCell ref="A2:D2"/>
  </x:mergeCells>
  <x:pageMargins left="0.7" right="0.7" top="0.75" bottom="0.75" header="0.3" footer="0.3"/>
</x:worksheet>
</file>