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8094b42d6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d825973dc8b41a4"/>
    <x:sheet xmlns:r="http://schemas.openxmlformats.org/officeDocument/2006/relationships" name="Phases" sheetId="2" r:id="Re77690f36f7046c5"/>
    <x:sheet xmlns:r="http://schemas.openxmlformats.org/officeDocument/2006/relationships" name="Controls" sheetId="3" r:id="Rcf8cb2d6b299430a"/>
    <x:sheet xmlns:r="http://schemas.openxmlformats.org/officeDocument/2006/relationships" name="Cases" sheetId="4" r:id="R4930b5d76483420e"/>
    <x:sheet xmlns:r="http://schemas.openxmlformats.org/officeDocument/2006/relationships" name="Jurisdictions" sheetId="5" r:id="R6ea4de9e5e9d4554"/>
    <x:sheet xmlns:r="http://schemas.openxmlformats.org/officeDocument/2006/relationships" name="Artifacts" sheetId="6" r:id="R8fbed6a98eac481f"/>
    <x:sheet xmlns:r="http://schemas.openxmlformats.org/officeDocument/2006/relationships" name="Defects" sheetId="7" r:id="R8a32ab7088504ef9"/>
    <x:sheet xmlns:r="http://schemas.openxmlformats.org/officeDocument/2006/relationships" name="Tools" sheetId="8" r:id="R49005586b35f412d"/>
    <x:sheet xmlns:r="http://schemas.openxmlformats.org/officeDocument/2006/relationships" name="Sources" sheetId="9" r:id="R56491495c5e24a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sz val="10"/>
      <x:color rgb="FF536779"/>
      <x:name val="Carlito"/>
    </x:font>
    <x:font>
      <x:sz val="10"/>
      <x:color rgb="FF162C40"/>
      <x:name val="Carlito"/>
    </x:font>
    <x:font>
      <x:b/>
      <x:sz val="10"/>
      <x:color rgb="FFFFFFFF"/>
      <x:name val="Carlito"/>
    </x:font>
    <x:font>
      <x:b/>
      <x:sz val="20"/>
      <x:color rgb="FFFFFFFF"/>
      <x:name val="Carlito"/>
    </x:font>
    <x:font>
      <x:sz val="11"/>
      <x:color rgb="FF536779"/>
      <x:name val="Carlito"/>
    </x:font>
    <x:font>
      <x:b/>
      <x:sz val="12"/>
      <x:color rgb="FF92400E"/>
      <x:name val="Carlito"/>
    </x:font>
    <x:font>
      <x:sz val="11"/>
      <x:color rgb="FF1D4ED8"/>
      <x:name val="Carlito"/>
    </x:font>
    <x:font>
      <x:b/>
      <x:sz val="10"/>
      <x:color rgb="FF162C40"/>
      <x:name val="Carlito"/>
    </x:font>
    <x:font>
      <x:b/>
      <x:sz val="12"/>
      <x:color rgb="FF0F766E"/>
      <x:name val="Carlito"/>
    </x:font>
    <x:font>
      <x:sz val="11"/>
      <x:color rgb="FF162C4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2C40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EFF6FF"/>
      </x:patternFill>
    </x:fill>
    <x:fill>
      <x:patternFill patternType="solid">
        <x:fgColor rgb="FFEAF1F5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5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D174D"/>
      </x:font>
      <x:fill>
        <x:patternFill patternType="solid">
          <x:bgColor rgb="FFFCE7F3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D174D"/>
      </x:font>
      <x:fill>
        <x:patternFill patternType="solid">
          <x:bgColor rgb="FFFCE7F3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D174D"/>
      </x:font>
      <x:fill>
        <x:patternFill patternType="solid">
          <x:bgColor rgb="FFFCE7F3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D174D"/>
      </x:font>
      <x:fill>
        <x:patternFill patternType="solid">
          <x:bgColor rgb="FFFCE7F3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D174D"/>
      </x:font>
      <x:fill>
        <x:patternFill patternType="solid">
          <x:bgColor rgb="FFFCE7F3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ea7c4688a4f6f" /><Relationship Type="http://schemas.openxmlformats.org/officeDocument/2006/relationships/theme" Target="/xl/theme/theme1.xml" Id="R9fdf6c0e213243d5" /><Relationship Type="http://schemas.openxmlformats.org/officeDocument/2006/relationships/sharedStrings" Target="/xl/sharedStrings.xml" Id="Rd679206c99a84418" /><Relationship Type="http://schemas.openxmlformats.org/officeDocument/2006/relationships/worksheet" Target="/xl/worksheets/sheet1.xml" Id="Rfd825973dc8b41a4" /><Relationship Type="http://schemas.openxmlformats.org/officeDocument/2006/relationships/worksheet" Target="/xl/worksheets/sheet2.xml" Id="Re77690f36f7046c5" /><Relationship Type="http://schemas.openxmlformats.org/officeDocument/2006/relationships/worksheet" Target="/xl/worksheets/sheet3.xml" Id="Rcf8cb2d6b299430a" /><Relationship Type="http://schemas.openxmlformats.org/officeDocument/2006/relationships/worksheet" Target="/xl/worksheets/sheet4.xml" Id="R4930b5d76483420e" /><Relationship Type="http://schemas.openxmlformats.org/officeDocument/2006/relationships/worksheet" Target="/xl/worksheets/sheet5.xml" Id="R6ea4de9e5e9d4554" /><Relationship Type="http://schemas.openxmlformats.org/officeDocument/2006/relationships/worksheet" Target="/xl/worksheets/sheet6.xml" Id="R8fbed6a98eac481f" /><Relationship Type="http://schemas.openxmlformats.org/officeDocument/2006/relationships/worksheet" Target="/xl/worksheets/sheet7.xml" Id="R8a32ab7088504ef9" /><Relationship Type="http://schemas.openxmlformats.org/officeDocument/2006/relationships/worksheet" Target="/xl/worksheets/sheet8.xml" Id="R49005586b35f412d" /><Relationship Type="http://schemas.openxmlformats.org/officeDocument/2006/relationships/worksheet" Target="/xl/worksheets/sheet9.xml" Id="R56491495c5e24add" /></Relationships>
</file>

<file path=xl/tables/table1.xml><?xml version="1.0" encoding="utf-8"?>
<x:table xmlns:x="http://schemas.openxmlformats.org/spreadsheetml/2006/main" id="1" name="QAPhases" displayName="QAPhases" ref="A4:J16" headerRowCount="1" totalsRowCount="0" totalsRowShown="0">
  <x:tableColumns count="10">
    <x:tableColumn id="1" name="Phase"/>
    <x:tableColumn id="2" name="Area"/>
    <x:tableColumn id="3" name="Outcome"/>
    <x:tableColumn id="4" name="Default review batch"/>
    <x:tableColumn id="5" name="Review team"/>
    <x:tableColumn id="6" name="Dependencies"/>
    <x:tableColumn id="7" name="Exit criterion"/>
    <x:tableColumn id="8" name="Status"/>
    <x:tableColumn id="9" name="Next exact batch / evidence"/>
    <x:tableColumn id="10" name="Open dependen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AControls" displayName="QAControls" ref="A4:I252" headerRowCount="1" totalsRowCount="0" totalsRowShown="0">
  <x:tableColumns count="9">
    <x:tableColumn id="1" name="Control ID"/>
    <x:tableColumn id="2" name="Phase"/>
    <x:tableColumn id="3" name="QA check"/>
    <x:tableColumn id="4" name="Pass criterion"/>
    <x:tableColumn id="5" name="Required evidence"/>
    <x:tableColumn id="6" name="Executor / reviewer"/>
    <x:tableColumn id="7" name="Requirement basis"/>
    <x:tableColumn id="8" name="Review status"/>
    <x:tableColumn id="9" name="Notes / instance cover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ACases" displayName="QACases" ref="A4:N253" headerRowCount="1" totalsRowCount="0" totalsRowShown="0">
  <x:tableColumns count="14">
    <x:tableColumn id="1" name="Case ID"/>
    <x:tableColumn id="2" name="Control ID"/>
    <x:tableColumn id="3" name="Jurisdiction"/>
    <x:tableColumn id="4" name="Entity / exact route"/>
    <x:tableColumn id="5" name="Local / component / outcome variant"/>
    <x:tableColumn id="6" name="Channel"/>
    <x:tableColumn id="7" name="Locale"/>
    <x:tableColumn id="8" name="Candidate / config version"/>
    <x:tableColumn id="9" name="Status"/>
    <x:tableColumn id="10" name="Observed result"/>
    <x:tableColumn id="11" name="Evidence locator"/>
    <x:tableColumn id="12" name="Reviewer"/>
    <x:tableColumn id="13" name="Defect ID"/>
    <x:tableColumn id="14" name="N/A or reuse rationa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Jurisdictions" displayName="QAJurisdictions" ref="A4:K55" headerRowCount="1" totalsRowCount="0" totalsRowShown="0">
  <x:tableColumns count="11">
    <x:tableColumn id="1" name="Code"/>
    <x:tableColumn id="2" name="Jurisdiction"/>
    <x:tableColumn id="3" name="Intended route count"/>
    <x:tableColumn id="4" name="Expected case count"/>
    <x:tableColumn id="5" name="Cases logged"/>
    <x:tableColumn id="6" name="PASS cases"/>
    <x:tableColumn id="7" name="FAIL cases"/>
    <x:tableColumn id="8" name="BLOCKED cases"/>
    <x:tableColumn id="9" name="STALE cases"/>
    <x:tableColumn id="10" name="Jurisdiction review"/>
    <x:tableColumn id="11" name="Scope / evidence / local cover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AArtifacts" displayName="QAArtifacts" ref="A4:M5" headerRowCount="1" totalsRowCount="0" totalsRowShown="0">
  <x:tableColumns count="13">
    <x:tableColumn id="1" name="Artifact ID"/>
    <x:tableColumn id="2" name="Route / component"/>
    <x:tableColumn id="3" name="Variant / locale / mode"/>
    <x:tableColumn id="4" name="SHA-256"/>
    <x:tableColumn id="5" name="Total pages"/>
    <x:tableColumn id="6" name="Pages reviewed"/>
    <x:tableColumn id="7" name="Page-range review evidence"/>
    <x:tableColumn id="8" name="Semantic status"/>
    <x:tableColumn id="9" name="Visual status"/>
    <x:tableColumn id="10" name="Candidate / template version"/>
    <x:tableColumn id="11" name="Source / approval evidence"/>
    <x:tableColumn id="12" name="Reviewer"/>
    <x:tableColumn id="13" name="Defect ID"/>
  </x:tableColumns>
  <x:tableStyleInfo name="TableStyleMedium2" showFirstColumn="0" showLastColumn="0" showRowStripes="1" showColumnStripes="0"/>
</x:table>
</file>

<file path=xl/tables/table6.xml><?xml version="1.0" encoding="utf-8"?>
<ns0:table xmlns:ns0="http://schemas.openxmlformats.org/spreadsheetml/2006/main" id="6" name="QADefects" displayName="QADefects" ref="A4:K9" headerRowCount="1" totalsRowCount="0" totalsRowShown="0">
  <ns0:tableColumns count="11">
    <ns0:tableColumn id="1" name="Defect ID"/>
    <ns0:tableColumn id="2" name="Severity"/>
    <ns0:tableColumn id="3" name="Affected case IDs"/>
    <ns0:tableColumn id="4" name="Expected vs actual"/>
    <ns0:tableColumn id="5" name="Reproduction / evidence"/>
    <ns0:tableColumn id="6" name="Existing issue / owner"/>
    <ns0:tableColumn id="7" name="State"/>
    <ns0:tableColumn id="8" name="Fix candidate"/>
    <ns0:tableColumn id="9" name="Retest evidence"/>
    <ns0:tableColumn id="10" name="Shared blast radius"/>
    <ns0:tableColumn id="11" name="Scope / decision notes"/>
  </ns0:tableColumns>
  <ns0:tableStyleInfo name="TableStyleMedium2" showFirstColumn="0" showLastColumn="0" showRowStripes="1" showColumnStripes="0"/>
</ns0:table>
</file>

<file path=xl/tables/table7.xml><?xml version="1.0" encoding="utf-8"?>
<x:table xmlns:x="http://schemas.openxmlformats.org/spreadsheetml/2006/main" id="7" name="QATools" displayName="QATools" ref="A4:G18" headerRowCount="1" totalsRowCount="0" totalsRowShown="0">
  <x:tableColumns count="7">
    <x:tableColumn id="1" name="Tool / capability"/>
    <x:tableColumn id="2" name="Discovery state"/>
    <x:tableColumn id="3" name="Owner"/>
    <x:tableColumn id="4" name="Can do"/>
    <x:tableColumn id="5" name="Needs"/>
    <x:tableColumn id="6" name="Limitation"/>
    <x:tableColumn id="7" name="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QASources" displayName="QASources" ref="A4:F17" headerRowCount="1" totalsRowCount="0" totalsRowShown="0">
  <x:tableColumns count="6">
    <x:tableColumn id="1" name="Source ID"/>
    <x:tableColumn id="2" name="Type"/>
    <x:tableColumn id="3" name="File / URL"/>
    <x:tableColumn id="4" name="Use"/>
    <x:tableColumn id="5" name="Retrieval / location"/>
    <x:tableColumn id="6" name="Qual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5ba05040e44e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7a3553a6f047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81d841fff147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a17af79f4e47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bd988fafad49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7daac7a33945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33cbd290554d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b123645baa4fc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0" customHeight="1">
      <x:c r="A1" s="22" t="str">
        <x:v>EXPUNGEMENT.AI / FINAL QA</x:v>
      </x:c>
      <x:c r="B1" s="22"/>
      <x:c r="C1" s="22"/>
      <x:c r="D1" s="22"/>
      <x:c r="E1" s="22"/>
      <x:c r="F1" s="22"/>
      <x:c r="G1" s="22"/>
      <x:c r="H1" s="22"/>
    </x:row>
    <x:row r="2" ht="38" customHeight="1">
      <x:c r="A2" s="25" t="str">
        <x:v>DTC + RCAP + Standard / Legal Aid Clinic • All 51 jurisdictions • Every intended route and unique document</x:v>
      </x:c>
      <x:c r="B2" s="25"/>
      <x:c r="C2" s="25"/>
      <x:c r="D2" s="25"/>
      <x:c r="E2" s="25"/>
      <x:c r="F2" s="25"/>
      <x:c r="G2" s="25"/>
      <x:c r="H2" s="25"/>
    </x:row>
    <x:row r="4" ht="30" customHeight="1">
      <x:c r="A4" s="29" t="str">
        <x:v>DESIGN COMPLETE • PLATFORM QA NOT RUN • NO RELEASE APPROVAL</x:v>
      </x:c>
      <x:c r="B4" s="29"/>
      <x:c r="C4" s="29"/>
      <x:c r="D4" s="29"/>
      <x:c r="E4" s="29"/>
      <x:c r="F4" s="29"/>
      <x:c r="G4" s="29"/>
      <x:c r="H4" s="29"/>
    </x:row>
    <x:row r="6" ht="36" customHeight="1">
      <x:c r="A6" s="40" t="str">
        <x:v>Control types</x:v>
      </x:c>
      <x:c r="B6" s="42" t="n">
        <x:f>COUNTA(QAControls[Control ID])</x:f>
        <x:v>248</x:v>
      </x:c>
      <x:c r="D6" s="48" t="str">
        <x:v>The 248 rules are a library, not the nationwide test count. Every applicable rule needs entity/variant instances and real evidence.</x:v>
      </x:c>
      <x:c r="E6" s="48"/>
      <x:c r="F6" s="48"/>
      <x:c r="G6" s="48"/>
      <x:c r="H6" s="48"/>
    </x:row>
    <x:row r="7" ht="36" customHeight="1">
      <x:c r="A7" s="40" t="str">
        <x:v>Jurisdictions</x:v>
      </x:c>
      <x:c r="B7" s="42" t="n">
        <x:f>COUNTA(QAJurisdictions[Code])</x:f>
        <x:v>51</x:v>
      </x:c>
      <x:c r="D7" s="48"/>
      <x:c r="E7" s="48"/>
      <x:c r="F7" s="48"/>
      <x:c r="G7" s="48"/>
      <x:c r="H7" s="48"/>
    </x:row>
    <x:row r="8" ht="36" customHeight="1">
      <x:c r="A8" s="40" t="str">
        <x:v>Expected required cases (enter at P00)</x:v>
      </x:c>
      <x:c r="B8" s="43"/>
    </x:row>
    <x:row r="9" ht="36" customHeight="1">
      <x:c r="A9" s="40" t="str">
        <x:v>Execution cases logged</x:v>
      </x:c>
      <x:c r="B9" s="42" t="n">
        <x:f>COUNTA(QACases[Case ID])</x:f>
        <x:v>0</x:v>
      </x:c>
      <x:c r="D9" s="53" t="str">
        <x:v>Only PASS counts as passed. BLOCKED, STALE, NOT RUN and missing evidence cannot support a release verdict. A route's containment test may pass while its promised delivery remains blocked.</x:v>
      </x:c>
      <x:c r="E9" s="53"/>
      <x:c r="F9" s="53"/>
      <x:c r="G9" s="53"/>
      <x:c r="H9" s="53"/>
    </x:row>
    <x:row r="10" ht="36" customHeight="1">
      <x:c r="A10" s="40" t="str">
        <x:v>PASS cases</x:v>
      </x:c>
      <x:c r="B10" s="42" t="n">
        <x:f>COUNTIF(QACases[Status],"PASS")</x:f>
        <x:v>0</x:v>
      </x:c>
      <x:c r="D10" s="53"/>
      <x:c r="E10" s="53"/>
      <x:c r="F10" s="53"/>
      <x:c r="G10" s="53"/>
      <x:c r="H10" s="53"/>
    </x:row>
    <x:row r="11" ht="36" customHeight="1">
      <x:c r="A11" s="40" t="str">
        <x:v>FAIL cases</x:v>
      </x:c>
      <x:c r="B11" s="42" t="n">
        <x:f>COUNTIF(QACases[Status],"FAIL")</x:f>
        <x:v>0</x:v>
      </x:c>
      <x:c r="D11" s="53"/>
      <x:c r="E11" s="53"/>
      <x:c r="F11" s="53"/>
      <x:c r="G11" s="53"/>
      <x:c r="H11" s="53"/>
    </x:row>
    <x:row r="12" ht="36" customHeight="1">
      <x:c r="A12" s="40" t="str">
        <x:v>BLOCKED / STALE cases</x:v>
      </x:c>
      <x:c r="B12" s="42" t="n">
        <x:f>COUNTIF(QACases[Status],"BLOCKED")+COUNTIF(QACases[Status],"STALE")</x:f>
        <x:v>0</x:v>
      </x:c>
    </x:row>
    <x:row r="13" ht="36" customHeight="1">
      <x:c r="A13" s="40" t="str">
        <x:v>Case inventory state</x:v>
      </x:c>
      <x:c r="B13" s="42" t="str">
        <x:f>IF(B8="","NOT ESTABLISHED",IF(B9&lt;B8,"INCOMPLETE","RECONCILE COVERAGE"))</x:f>
        <x:v>NOT ESTABLISHED</x:v>
      </x:c>
    </x:row>
    <x:row r="16" ht="49" customHeight="1">
      <x:c r="A16" s="59" t="str">
        <x:v>1 / Scope first</x:v>
      </x:c>
      <x:c r="B16" s="59"/>
      <x:c r="C16" s="56" t="str">
        <x:v>Load the final release tuple, intended routes/variants and required case population. No past denominator is a permanent target.</x:v>
      </x:c>
      <x:c r="D16" s="56"/>
      <x:c r="E16" s="56"/>
      <x:c r="F16" s="56"/>
      <x:c r="G16" s="56"/>
      <x:c r="H16" s="56"/>
    </x:row>
    <x:row r="17" ht="49" customHeight="1">
      <x:c r="A17" s="59" t="str">
        <x:v>2 / Use actual evidence</x:v>
      </x:c>
      <x:c r="B17" s="59"/>
      <x:c r="C17" s="56" t="str">
        <x:v>G reviews source, documents/pages, UI and traces. R runs bulk runtime cases; formal legal/device tasks remain explicitly assigned.</x:v>
      </x:c>
      <x:c r="D17" s="56"/>
      <x:c r="E17" s="56"/>
      <x:c r="F17" s="56"/>
      <x:c r="G17" s="56"/>
      <x:c r="H17" s="56"/>
    </x:row>
    <x:row r="18" ht="49" customHeight="1">
      <x:c r="A18" s="59" t="str">
        <x:v>3 / Work in small batches</x:v>
      </x:c>
      <x:c r="B18" s="59"/>
      <x:c r="C18" s="56" t="str">
        <x:v>Up to 5 routes, 10 states, or 5 packet sets and 40 pages. Continue at exact next IDs; do not start over.</x:v>
      </x:c>
      <x:c r="D18" s="56"/>
      <x:c r="E18" s="56"/>
      <x:c r="F18" s="56"/>
      <x:c r="G18" s="56"/>
      <x:c r="H18" s="56"/>
    </x:row>
    <x:row r="19" ht="49" customHeight="1">
      <x:c r="A19" s="59" t="str">
        <x:v>4 / Track each result</x:v>
      </x:c>
      <x:c r="B19" s="59"/>
      <x:c r="C19" s="56" t="str">
        <x:v>Cases is the execution ledger. Artifacts records page evidence. Controls closes only after all required instances.</x:v>
      </x:c>
      <x:c r="D19" s="56"/>
      <x:c r="E19" s="56"/>
      <x:c r="F19" s="56"/>
      <x:c r="G19" s="56"/>
      <x:c r="H19" s="56"/>
    </x:row>
    <x:row r="20" ht="49" customHeight="1">
      <x:c r="A20" s="59" t="str">
        <x:v>5 / Fix once and retest</x:v>
      </x:c>
      <x:c r="B20" s="59"/>
      <x:c r="C20" s="56" t="str">
        <x:v>Link existing build defects; retest changed dependencies. No unexplained N/A, skipped jobs or baseline crashes called green.</x:v>
      </x:c>
      <x:c r="D20" s="56"/>
      <x:c r="E20" s="56"/>
      <x:c r="F20" s="56"/>
      <x:c r="G20" s="56"/>
      <x:c r="H20" s="56"/>
    </x:row>
    <x:row r="21" ht="49" customHeight="1">
      <x:c r="A21" s="59" t="str">
        <x:v>6 / Release honestly</x:v>
      </x:c>
      <x:c r="B21" s="59"/>
      <x:c r="C21" s="56" t="str">
        <x:v>Required instances/reviews pass before recommendation. Actual authorized deployment and smoke are needed for LIVE VERIFIED.</x:v>
      </x:c>
      <x:c r="D21" s="56"/>
      <x:c r="E21" s="56"/>
      <x:c r="F21" s="56"/>
      <x:c r="G21" s="56"/>
      <x:c r="H21" s="56"/>
    </x:row>
    <x:row r="22" ht="49" customHeight="1">
      <x:c r="A22" s="59" t="str">
        <x:v>Owner codes</x:v>
      </x:c>
      <x:c r="B22" s="59"/>
      <x:c r="C22" s="56" t="str">
        <x:v>G ChatGPT; B direct browser; R Captain/Codex/CI; H-L legal; H-A accessibility/language; H-C clinic/device; H-S security; H-O owner.</x:v>
      </x:c>
      <x:c r="D22" s="56"/>
      <x:c r="E22" s="56"/>
      <x:c r="F22" s="56"/>
      <x:c r="G22" s="56"/>
      <x:c r="H22" s="56"/>
    </x:row>
    <x:row r="23" ht="49" customHeight="1">
      <x:c r="A23" s="59" t="str">
        <x:v>Workbook use</x:v>
      </x:c>
      <x:c r="B23" s="59"/>
      <x:c r="C23" s="56" t="str">
        <x:v>Append inside the Cases/Artifacts/Defects tables. Extend validation if past row 1000. Table formulas expand; do not enter results below a table without extending it.</x:v>
      </x:c>
      <x:c r="D23" s="56"/>
      <x:c r="E23" s="56"/>
      <x:c r="F23" s="56"/>
      <x:c r="G23" s="56"/>
      <x:c r="H23" s="56"/>
    </x:row>
    <x:row r="24" ht="49" customHeight="1">
      <x:c r="A24" s="59" t="str">
        <x:v>Source and permissions</x:v>
      </x:c>
      <x:c r="B24" s="59"/>
      <x:c r="C24" s="56" t="str">
        <x:v>See Sources and Tools. Tools were discovered, not target-tested. Secrets/customer data do not belong in this workbook.</x:v>
      </x:c>
      <x:c r="D24" s="56"/>
      <x:c r="E24" s="56"/>
      <x:c r="F24" s="56"/>
      <x:c r="G24" s="56"/>
      <x:c r="H24" s="56"/>
    </x:row>
  </x:sheetData>
  <x:mergeCells>
    <x:mergeCell ref="A1:H1"/>
    <x:mergeCell ref="A2:H2"/>
    <x:mergeCell ref="A4:H4"/>
    <x:mergeCell ref="D6:H7"/>
    <x:mergeCell ref="D9:H11"/>
    <x:mergeCell ref="A16:B16"/>
    <x:mergeCell ref="C16:H16"/>
    <x:mergeCell ref="A17:B17"/>
    <x:mergeCell ref="C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3:B23"/>
    <x:mergeCell ref="C23:H23"/>
    <x:mergeCell ref="A24:B24"/>
    <x:mergeCell ref="C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40" hidden="0" customWidth="1"/>
    <x:col min="4" max="4" width="40" hidden="0" customWidth="1"/>
    <x:col min="5" max="5" width="20" hidden="0" customWidth="1"/>
    <x:col min="6" max="6" width="36" hidden="0" customWidth="1"/>
    <x:col min="7" max="7" width="40" hidden="0" customWidth="1"/>
    <x:col min="8" max="8" width="18" hidden="0" customWidth="1"/>
    <x:col min="9" max="9" width="32" hidden="0" customWidth="1"/>
    <x:col min="10" max="10" width="32" hidden="0" customWidth="1"/>
  </x:cols>
  <x:sheetData>
    <x:row r="1" ht="32" customHeight="1">
      <x:c r="A1" s="3" t="str">
        <x:v>FINAL QA / PHASES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4" customHeight="1">
      <x:c r="A2" s="7" t="str">
        <x:v>Batch limits bound review size, not coverage. P09/P10 are cross-cutting. Use Next exact batch / evidence to resume, not conversation memory.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8" t="str">
        <x:v>Phase</x:v>
      </x:c>
      <x:c r="B4" s="18" t="str">
        <x:v>Area</x:v>
      </x:c>
      <x:c r="C4" s="18" t="str">
        <x:v>Outcome</x:v>
      </x:c>
      <x:c r="D4" s="18" t="str">
        <x:v>Default review batch</x:v>
      </x:c>
      <x:c r="E4" s="18" t="str">
        <x:v>Review team</x:v>
      </x:c>
      <x:c r="F4" s="18" t="str">
        <x:v>Dependencies</x:v>
      </x:c>
      <x:c r="G4" s="18" t="str">
        <x:v>Exit criterion</x:v>
      </x:c>
      <x:c r="H4" s="18" t="str">
        <x:v>Status</x:v>
      </x:c>
      <x:c r="I4" s="18" t="str">
        <x:v>Next exact batch / evidence</x:v>
      </x:c>
      <x:c r="J4" s="18" t="str">
        <x:v>Open dependency</x:v>
      </x:c>
    </x:row>
    <x:row r="5" ht="108" customHeight="1">
      <x:c r="A5" s="12" t="str">
        <x:v>P00</x:v>
      </x:c>
      <x:c r="B5" s="12" t="str">
        <x:v>Freeze, access, and exhaustive inventory</x:v>
      </x:c>
      <x:c r="C5" s="12" t="str">
        <x:v>One release and one complete scope inventory.</x:v>
      </x:c>
      <x:c r="D5" s="12" t="str">
        <x:v>One candidate and all indexes; then batches of at most 50 inventory exceptions.</x:v>
      </x:c>
      <x:c r="E5" s="12" t="str">
        <x:v>G + R</x:v>
      </x:c>
      <x:c r="F5" s="12" t="str">
        <x:v>First; source/access and human booking start here.</x:v>
      </x:c>
      <x:c r="G5" s="12" t="str">
        <x:v>No missing inventory joins; exact release tuple and test permissions; no result marked passed.</x:v>
      </x:c>
      <x:c r="H5" s="12" t="str">
        <x:v>NOT RUN</x:v>
      </x:c>
      <x:c r="I5" s="12" t="str"/>
      <x:c r="J5" s="12" t="str"/>
    </x:row>
    <x:row r="6" ht="108" customHeight="1">
      <x:c r="A6" s="12" t="str">
        <x:v>P01</x:v>
      </x:c>
      <x:c r="B6" s="12" t="str">
        <x:v>Public surfaces, copy, communications, and Wilma</x:v>
      </x:c>
      <x:c r="C6" s="12" t="str">
        <x:v>Every entry point and message is accurate, usable, private, and actionable.</x:v>
      </x:c>
      <x:c r="D6" s="12" t="str">
        <x:v>10 distinct screens/states or 50 short messages per review batch.</x:v>
      </x:c>
      <x:c r="E6" s="12" t="str">
        <x:v>G + B + R</x:v>
      </x:c>
      <x:c r="F6" s="12" t="str">
        <x:v>After P00; parallel with P02.</x:v>
      </x:c>
      <x:c r="G6" s="12" t="str">
        <x:v>All unique public/message/assistant behaviors inspected in EN/ES.</x:v>
      </x:c>
      <x:c r="H6" s="12" t="str">
        <x:v>NOT RUN</x:v>
      </x:c>
      <x:c r="I6" s="12" t="str"/>
      <x:c r="J6" s="12" t="str"/>
    </x:row>
    <x:row r="7" ht="108" customHeight="1">
      <x:c r="A7" s="12" t="str">
        <x:v>P02</x:v>
      </x:c>
      <x:c r="B7" s="12" t="str">
        <x:v>Every jurisdiction, remedy, source, and routing decision</x:v>
      </x:c>
      <x:c r="C7" s="12" t="str">
        <x:v>Legal and procedural expectations are checked independently of the implementation.</x:v>
      </x:c>
      <x:c r="D7" s="12" t="str">
        <x:v>Up to 5 exact routes in one jurisdiction; split at 150 source pages or a disputed rule.</x:v>
      </x:c>
      <x:c r="E7" s="12" t="str">
        <x:v>G + R + H-L</x:v>
      </x:c>
      <x:c r="F7" s="12" t="str">
        <x:v>After P00; feeds P03-P05 and route journeys.</x:v>
      </x:c>
      <x:c r="G7" s="12" t="str">
        <x:v>Every route/branch/local variant has current-source expectations and correct treatment.</x:v>
      </x:c>
      <x:c r="H7" s="12" t="str">
        <x:v>NOT RUN</x:v>
      </x:c>
      <x:c r="I7" s="12" t="str"/>
      <x:c r="J7" s="12" t="str"/>
    </x:row>
    <x:row r="8" ht="108" customHeight="1">
      <x:c r="A8" s="12" t="str">
        <x:v>P03</x:v>
      </x:c>
      <x:c r="B8" s="12" t="str">
        <x:v>Screening, account, Briefcase, and packet-information UX</x:v>
      </x:c>
      <x:c r="C8" s="12" t="str">
        <x:v>The original second-intake defect is actually eliminated without regressions.</x:v>
      </x:c>
      <x:c r="D8" s="12" t="str">
        <x:v>Up to 5 route-specific journeys or 10 distinct screen states.</x:v>
      </x:c>
      <x:c r="E8" s="12" t="str">
        <x:v>G + B + R</x:v>
      </x:c>
      <x:c r="F8" s="12" t="str">
        <x:v>Can start as P02 route batches settle.</x:v>
      </x:c>
      <x:c r="G8" s="12" t="str">
        <x:v>Each route/outcome/language checked; required facts, edit/resume, and ownership preserved.</x:v>
      </x:c>
      <x:c r="H8" s="12" t="str">
        <x:v>NOT RUN</x:v>
      </x:c>
      <x:c r="I8" s="12" t="str"/>
      <x:c r="J8" s="12" t="str"/>
    </x:row>
    <x:row r="9" ht="108" customHeight="1">
      <x:c r="A9" s="12" t="str">
        <x:v>P04</x:v>
      </x:c>
      <x:c r="B9" s="12" t="str">
        <x:v>Every form, pleading, order, attachment, and rendered page</x:v>
      </x:c>
      <x:c r="C9" s="12" t="str">
        <x:v>Each unique legal document is the correct instrument and professionally usable.</x:v>
      </x:c>
      <x:c r="D9" s="12" t="str">
        <x:v>At most 5 packet/variant sets and 40 rendered pages per visual batch, whichever is first.</x:v>
      </x:c>
      <x:c r="E9" s="12" t="str">
        <x:v>G + R + H-L</x:v>
      </x:c>
      <x:c r="F9" s="12" t="str">
        <x:v>After relevant P02 expectations and completed build artifact.</x:v>
      </x:c>
      <x:c r="G9" s="12" t="str">
        <x:v>Every required unique artifact/page reviewed; all applicable boundary cases pass.</x:v>
      </x:c>
      <x:c r="H9" s="12" t="str">
        <x:v>NOT RUN</x:v>
      </x:c>
      <x:c r="I9" s="12" t="str"/>
      <x:c r="J9" s="12" t="str"/>
    </x:row>
    <x:row r="10" ht="108" customHeight="1">
      <x:c r="A10" s="12" t="str">
        <x:v>P05</x:v>
      </x:c>
      <x:c r="B10" s="12" t="str">
        <x:v>Supplemental guides, assembly, and filing directions</x:v>
      </x:c>
      <x:c r="C10" s="12" t="str">
        <x:v>Approved design and accurate instructions accompany the correct filing material.</x:v>
      </x:c>
      <x:c r="D10" s="12" t="str">
        <x:v>Up to 5 route guide sets or 40 rendered pages; EN/ES and full/court-only paired.</x:v>
      </x:c>
      <x:c r="E10" s="12" t="str">
        <x:v>G + R</x:v>
      </x:c>
      <x:c r="F10" s="12" t="str">
        <x:v>Alongside P04 for the same packet batch.</x:v>
      </x:c>
      <x:c r="G10" s="12" t="str">
        <x:v>Every packet pathway has correct guide content, layout, costs, and assembly.</x:v>
      </x:c>
      <x:c r="H10" s="12" t="str">
        <x:v>NOT RUN</x:v>
      </x:c>
      <x:c r="I10" s="12" t="str"/>
      <x:c r="J10" s="12" t="str"/>
    </x:row>
    <x:row r="11" ht="108" customHeight="1">
      <x:c r="A11" s="12" t="str">
        <x:v>P06</x:v>
      </x:c>
      <x:c r="B11" s="12" t="str">
        <x:v>DTC payment, render, storage, and delivery</x:v>
      </x:c>
      <x:c r="C11" s="12" t="str">
        <x:v>Every offered paid journey completes; unauthorized or failed flows cannot charge or deliver wrongly.</x:v>
      </x:c>
      <x:c r="D11" s="12" t="str">
        <x:v>Up to 5 route/channel journeys; separate batch of up to 10 fault or race cases.</x:v>
      </x:c>
      <x:c r="E11" s="12" t="str">
        <x:v>G + B + R</x:v>
      </x:c>
      <x:c r="F11" s="12" t="str">
        <x:v>After relevant P03-P05; do not wait for unrelated states.</x:v>
      </x:c>
      <x:c r="G11" s="12" t="str">
        <x:v>Same-matter sandbox settlement through actual artifact and repeat download; negatives pass.</x:v>
      </x:c>
      <x:c r="H11" s="12" t="str">
        <x:v>NOT RUN</x:v>
      </x:c>
      <x:c r="I11" s="12" t="str"/>
      <x:c r="J11" s="12" t="str"/>
    </x:row>
    <x:row r="12" ht="108" customHeight="1">
      <x:c r="A12" s="12" t="str">
        <x:v>P07</x:v>
      </x:c>
      <x:c r="B12" s="12" t="str">
        <x:v>RCAP partner lifecycle, sponsorship, and reporting</x:v>
      </x:c>
      <x:c r="C12" s="12" t="str">
        <x:v>Partners can configure, fund, run, and reconcile programs without owning participant accounts.</x:v>
      </x:c>
      <x:c r="D12" s="12" t="str">
        <x:v>One partner-profile variant, two isolated tenants, up to 10 role/action cases.</x:v>
      </x:c>
      <x:c r="E12" s="12" t="str">
        <x:v>G + B + R</x:v>
      </x:c>
      <x:c r="F12" s="12" t="str">
        <x:v>After P00/P03; legal/packet dependencies feed outcomes.</x:v>
      </x:c>
      <x:c r="G12" s="12" t="str">
        <x:v>Every distinct partner workflow/permission/sponsor policy and route-channel combination covered.</x:v>
      </x:c>
      <x:c r="H12" s="12" t="str">
        <x:v>NOT RUN</x:v>
      </x:c>
      <x:c r="I12" s="12" t="str"/>
      <x:c r="J12" s="12" t="str"/>
    </x:row>
    <x:row r="13" ht="108" customHeight="1">
      <x:c r="A13" s="12" t="str">
        <x:v>P08</x:v>
      </x:c>
      <x:c r="B13" s="12" t="str">
        <x:v>Standard Clinic and Legal Aid Clinic Mode</x:v>
      </x:c>
      <x:c r="C13" s="12" t="str">
        <x:v>Real participants and staff can finish safely, including MVLP configured workflows.</x:v>
      </x:c>
      <x:c r="D13" s="12" t="str">
        <x:v>One clinic profile/event scenario; ten sequential synthetic participants for shared-device proof.</x:v>
      </x:c>
      <x:c r="E13" s="12" t="str">
        <x:v>G + B + R + H-C</x:v>
      </x:c>
      <x:c r="F13" s="12" t="str">
        <x:v>After P07; real-device rehearsal before release.</x:v>
      </x:c>
      <x:c r="G13" s="12" t="str">
        <x:v>Complete assisted and self-service journeys, scoped roles, reset, execution and follow-up.</x:v>
      </x:c>
      <x:c r="H13" s="12" t="str">
        <x:v>NOT RUN</x:v>
      </x:c>
      <x:c r="I13" s="12" t="str"/>
      <x:c r="J13" s="12" t="str"/>
    </x:row>
    <x:row r="14" ht="108" customHeight="1">
      <x:c r="A14" s="12" t="str">
        <x:v>P09</x:v>
      </x:c>
      <x:c r="B14" s="12" t="str">
        <x:v>Security, privacy, data integrity, and recovery</x:v>
      </x:c>
      <x:c r="C14" s="12" t="str">
        <x:v>Adversarial controls protect identity, sensitive data, payments, and legal output.</x:v>
      </x:c>
      <x:c r="D14" s="12" t="str">
        <x:v>Up to 10 adversarial cases for one trust boundary.</x:v>
      </x:c>
      <x:c r="E14" s="12" t="str">
        <x:v>G + R + H-S</x:v>
      </x:c>
      <x:c r="F14" s="12" t="str">
        <x:v>Start with P00 and run through other phases, not only at the end.</x:v>
      </x:c>
      <x:c r="G14" s="12" t="str">
        <x:v>Applicable security controls have behavioral evidence; no unresolved exposure.</x:v>
      </x:c>
      <x:c r="H14" s="12" t="str">
        <x:v>NOT RUN</x:v>
      </x:c>
      <x:c r="I14" s="12" t="str"/>
      <x:c r="J14" s="12" t="str"/>
    </x:row>
    <x:row r="15" ht="108" customHeight="1">
      <x:c r="A15" s="12" t="str">
        <x:v>P10</x:v>
      </x:c>
      <x:c r="B15" s="12" t="str">
        <x:v>Accessibility, localization, devices, and performance</x:v>
      </x:c>
      <x:c r="C15" s="12" t="str">
        <x:v>The product works for actual users and declared supported devices at the agreed operating load.</x:v>
      </x:c>
      <x:c r="D15" s="12" t="str">
        <x:v>10 distinct UI states; one supported browser/device group or one load scenario.</x:v>
      </x:c>
      <x:c r="E15" s="12" t="str">
        <x:v>G + R + H-A + H-C</x:v>
      </x:c>
      <x:c r="F15" s="12" t="str">
        <x:v>Cross-cutting from P01; finish before P11.</x:v>
      </x:c>
      <x:c r="G15" s="12" t="str">
        <x:v>Automated and required human checks pass; language/device/load gaps closed.</x:v>
      </x:c>
      <x:c r="H15" s="12" t="str">
        <x:v>NOT RUN</x:v>
      </x:c>
      <x:c r="I15" s="12" t="str"/>
      <x:c r="J15" s="12" t="str"/>
    </x:row>
    <x:row r="16" ht="108" customHeight="1">
      <x:c r="A16" s="12" t="str">
        <x:v>P11</x:v>
      </x:c>
      <x:c r="B16" s="12" t="str">
        <x:v>Regression closure, deployment, production smoke, and sign-off</x:v>
      </x:c>
      <x:c r="C16" s="12" t="str">
        <x:v>The audited product is the deployed product and fulfills its stated coverage.</x:v>
      </x:c>
      <x:c r="D16" s="12" t="str">
        <x:v>One integrated release; targeted delta retests and authorized production smoke.</x:v>
      </x:c>
      <x:c r="E16" s="12" t="str">
        <x:v>G + R + H-O</x:v>
      </x:c>
      <x:c r="F16" s="12" t="str">
        <x:v>Final convergence; production actions require actual authorization.</x:v>
      </x:c>
      <x:c r="G16" s="12" t="str">
        <x:v>All required instances pass, no review gaps, real release identity verified, operations ready.</x:v>
      </x:c>
      <x:c r="H16" s="12" t="str">
        <x:v>NOT RUN</x:v>
      </x:c>
      <x:c r="I16" s="12" t="str"/>
      <x:c r="J16" s="12" t="str"/>
    </x:row>
  </x:sheetData>
  <x:mergeCells>
    <x:mergeCell ref="A1:J1"/>
    <x:mergeCell ref="A2:J2"/>
  </x:mergeCells>
  <x:conditionalFormatting sqref="H5:H1000">
    <x:cfRule type="expression" dxfId="0" priority="1">
      <x:formula>H5="PASS"</x:formula>
    </x:cfRule>
    <x:cfRule type="expression" dxfId="1" priority="2">
      <x:formula>H5="FAIL"</x:formula>
    </x:cfRule>
    <x:cfRule type="expression" dxfId="2" priority="3">
      <x:formula>H5="BLOCKED"</x:formula>
    </x:cfRule>
    <x:cfRule type="expression" dxfId="3" priority="4">
      <x:formula>H5="STALE"</x:formula>
    </x:cfRule>
    <x:cfRule type="expression" dxfId="4" priority="5">
      <x:formula>H5="IN PROGRESS"</x:formula>
    </x:cfRule>
  </x:conditionalFormatting>
  <x:dataValidations count="1">
    <x:dataValidation type="list" sqref="H5:H1000">
      <x:formula1>"NOT RUN,IN PROGRESS,PASS,FAIL,BLOCKED,NOT APPLICABLE,STALE"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5ba05040e44ef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32" hidden="0" customWidth="1"/>
    <x:col min="4" max="4" width="40" hidden="0" customWidth="1"/>
    <x:col min="5" max="5" width="36" hidden="0" customWidth="1"/>
    <x:col min="6" max="6" width="21" hidden="0" customWidth="1"/>
    <x:col min="7" max="7" width="27" hidden="0" customWidth="1"/>
    <x:col min="8" max="8" width="18" hidden="0" customWidth="1"/>
    <x:col min="9" max="9" width="32" hidden="0" customWidth="1"/>
  </x:cols>
  <x:sheetData>
    <x:row r="1" ht="32" customHeight="1">
      <x:c r="A1" s="3" t="str">
        <x:v>FINAL QA / 248 CONTROL TYPES</x:v>
      </x:c>
      <x:c r="B1" s="3"/>
      <x:c r="C1" s="3"/>
      <x:c r="D1" s="3"/>
      <x:c r="E1" s="3"/>
      <x:c r="F1" s="3"/>
      <x:c r="G1" s="3"/>
      <x:c r="H1" s="3"/>
      <x:c r="I1" s="3"/>
    </x:row>
    <x:row r="2" ht="44" customHeight="1">
      <x:c r="A2" s="7" t="str">
        <x:v>This is the control library, NOT 248 executed nationwide tests. Expand each rule into all applicable Cases. Control status may close only after its entire required instance set is reviewed.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8" t="str">
        <x:v>Control ID</x:v>
      </x:c>
      <x:c r="B4" s="18" t="str">
        <x:v>Phase</x:v>
      </x:c>
      <x:c r="C4" s="18" t="str">
        <x:v>QA check</x:v>
      </x:c>
      <x:c r="D4" s="18" t="str">
        <x:v>Pass criterion</x:v>
      </x:c>
      <x:c r="E4" s="18" t="str">
        <x:v>Required evidence</x:v>
      </x:c>
      <x:c r="F4" s="18" t="str">
        <x:v>Executor / reviewer</x:v>
      </x:c>
      <x:c r="G4" s="18" t="str">
        <x:v>Requirement basis</x:v>
      </x:c>
      <x:c r="H4" s="18" t="str">
        <x:v>Review status</x:v>
      </x:c>
      <x:c r="I4" s="18" t="str">
        <x:v>Notes / instance coverage</x:v>
      </x:c>
    </x:row>
    <x:row r="5" ht="112" customHeight="1">
      <x:c r="A5" s="12" t="str">
        <x:v>P00-01</x:v>
      </x:c>
      <x:c r="B5" s="12" t="str">
        <x:v>P00</x:v>
      </x:c>
      <x:c r="C5" s="12" t="str">
        <x:v>Release identity</x:v>
      </x:c>
      <x:c r="D5" s="12" t="str">
        <x:v>Application SHA, worker digest, data/template/source versions, schema/migrations and configuration are identified together; older evidence is not silently reused.</x:v>
      </x:c>
      <x:c r="E5" s="12" t="str">
        <x:v>Release tuple, deployment readback and hashes.</x:v>
      </x:c>
      <x:c r="F5" s="12" t="str">
        <x:v>G + R</x:v>
      </x:c>
      <x:c r="G5" s="12" t="str">
        <x:v>SRC-01; SRC-02</x:v>
      </x:c>
      <x:c r="H5" s="12" t="str">
        <x:v>NOT RUN</x:v>
      </x:c>
      <x:c r="I5" s="12" t="str"/>
    </x:row>
    <x:row r="6" ht="112" customHeight="1">
      <x:c r="A6" s="12" t="str">
        <x:v>P00-02</x:v>
      </x:c>
      <x:c r="B6" s="12" t="str">
        <x:v>P00</x:v>
      </x:c>
      <x:c r="C6" s="12" t="str">
        <x:v>Actual implementation scope</x:v>
      </x:c>
      <x:c r="D6" s="12" t="str">
        <x:v>Join product promises, route/track registries, packet specs, runtime call paths and deployed features; no hidden route or surface is omitted.</x:v>
      </x:c>
      <x:c r="E6" s="12" t="str">
        <x:v>Versioned inventory join and missing/extra sets.</x:v>
      </x:c>
      <x:c r="F6" s="12" t="str">
        <x:v>G + R</x:v>
      </x:c>
      <x:c r="G6" s="12" t="str">
        <x:v>SRC-01; SRC-02</x:v>
      </x:c>
      <x:c r="H6" s="12" t="str">
        <x:v>NOT RUN</x:v>
      </x:c>
      <x:c r="I6" s="12" t="str"/>
    </x:row>
    <x:row r="7" ht="112" customHeight="1">
      <x:c r="A7" s="12" t="str">
        <x:v>P00-03</x:v>
      </x:c>
      <x:c r="B7" s="12" t="str">
        <x:v>P00</x:v>
      </x:c>
      <x:c r="C7" s="12" t="str">
        <x:v>All 51 jurisdictions</x:v>
      </x:c>
      <x:c r="D7" s="12" t="str">
        <x:v>All 50 states and DC have a row covering their routes and explicit limits; no historic five-state exemption.</x:v>
      </x:c>
      <x:c r="E7" s="12" t="str">
        <x:v>Jurisdiction register and route membership.</x:v>
      </x:c>
      <x:c r="F7" s="12" t="str">
        <x:v>G + R</x:v>
      </x:c>
      <x:c r="G7" s="12" t="str">
        <x:v>SRC-01; SRC-02</x:v>
      </x:c>
      <x:c r="H7" s="12" t="str">
        <x:v>NOT RUN</x:v>
      </x:c>
      <x:c r="I7" s="12" t="str"/>
    </x:row>
    <x:row r="8" ht="112" customHeight="1">
      <x:c r="A8" s="12" t="str">
        <x:v>P00-04</x:v>
      </x:c>
      <x:c r="B8" s="12" t="str">
        <x:v>P00</x:v>
      </x:c>
      <x:c r="C8" s="12" t="str">
        <x:v>Intended versus active coverage</x:v>
      </x:c>
      <x:c r="D8" s="12" t="str">
        <x:v>Intended support is recorded separately from current enablement, renderability and commercial authority; disabled intended routes remain incomplete.</x:v>
      </x:c>
      <x:c r="E8" s="12" t="str">
        <x:v>Scope baseline and enabled/held comparison.</x:v>
      </x:c>
      <x:c r="F8" s="12" t="str">
        <x:v>G + R</x:v>
      </x:c>
      <x:c r="G8" s="12" t="str">
        <x:v>SRC-01; SRC-02</x:v>
      </x:c>
      <x:c r="H8" s="12" t="str">
        <x:v>NOT RUN</x:v>
      </x:c>
      <x:c r="I8" s="12" t="str"/>
    </x:row>
    <x:row r="9" ht="112" customHeight="1">
      <x:c r="A9" s="12" t="str">
        <x:v>P00-05</x:v>
      </x:c>
      <x:c r="B9" s="12" t="str">
        <x:v>P00</x:v>
      </x:c>
      <x:c r="C9" s="12" t="str">
        <x:v>All route outcomes</x:v>
      </x:c>
      <x:c r="D9" s="12" t="str">
        <x:v>Include packet, waiting, ineligible, needs-information, review, automatic, correspondence, referral, unsupported and escalation branches where present.</x:v>
      </x:c>
      <x:c r="E9" s="12" t="str">
        <x:v>Outcome/state graph and case list.</x:v>
      </x:c>
      <x:c r="F9" s="12" t="str">
        <x:v>G + R</x:v>
      </x:c>
      <x:c r="G9" s="12" t="str">
        <x:v>SRC-01; SRC-02</x:v>
      </x:c>
      <x:c r="H9" s="12" t="str">
        <x:v>NOT RUN</x:v>
      </x:c>
      <x:c r="I9" s="12" t="str"/>
    </x:row>
    <x:row r="10" ht="112" customHeight="1">
      <x:c r="A10" s="12" t="str">
        <x:v>P00-06</x:v>
      </x:c>
      <x:c r="B10" s="12" t="str">
        <x:v>P00</x:v>
      </x:c>
      <x:c r="C10" s="12" t="str">
        <x:v>Local and temporal variants</x:v>
      </x:c>
      <x:c r="D10" s="12" t="str">
        <x:v>Every applicable court type, county/city form override, effective-date branch and document variant is enumerated; no unreviewed local scope claimed.</x:v>
      </x:c>
      <x:c r="E10" s="12" t="str">
        <x:v>Variant inventory with sources.</x:v>
      </x:c>
      <x:c r="F10" s="12" t="str">
        <x:v>G + R</x:v>
      </x:c>
      <x:c r="G10" s="12" t="str">
        <x:v>SRC-01; SRC-02</x:v>
      </x:c>
      <x:c r="H10" s="12" t="str">
        <x:v>NOT RUN</x:v>
      </x:c>
      <x:c r="I10" s="12" t="str"/>
    </x:row>
    <x:row r="11" ht="112" customHeight="1">
      <x:c r="A11" s="12" t="str">
        <x:v>P00-07</x:v>
      </x:c>
      <x:c r="B11" s="12" t="str">
        <x:v>P00</x:v>
      </x:c>
      <x:c r="C11" s="12" t="str">
        <x:v>Surface inventory</x:v>
      </x:c>
      <x:c r="D11" s="12" t="str">
        <x:v>Enumerate URLs, API operations, UI states, redirects, messages, downloads, partner and internal operator surfaces affecting customers.</x:v>
      </x:c>
      <x:c r="E11" s="12" t="str">
        <x:v>Route manifest and reachable-surface map.</x:v>
      </x:c>
      <x:c r="F11" s="12" t="str">
        <x:v>G + R</x:v>
      </x:c>
      <x:c r="G11" s="12" t="str">
        <x:v>SRC-01; SRC-02</x:v>
      </x:c>
      <x:c r="H11" s="12" t="str">
        <x:v>NOT RUN</x:v>
      </x:c>
      <x:c r="I11" s="12" t="str"/>
    </x:row>
    <x:row r="12" ht="112" customHeight="1">
      <x:c r="A12" s="12" t="str">
        <x:v>P00-08</x:v>
      </x:c>
      <x:c r="B12" s="12" t="str">
        <x:v>P00</x:v>
      </x:c>
      <x:c r="C12" s="12" t="str">
        <x:v>Role and channel inventory</x:v>
      </x:c>
      <x:c r="D12" s="12" t="str">
        <x:v>Enumerate anonymous, participant, sponsor, partner admin, staff, reviewer, notary and internal privileges actually implemented, by DTC/RCAP/clinic channel.</x:v>
      </x:c>
      <x:c r="E12" s="12" t="str">
        <x:v>Role-action-resource matrix.</x:v>
      </x:c>
      <x:c r="F12" s="12" t="str">
        <x:v>G + R</x:v>
      </x:c>
      <x:c r="G12" s="12" t="str">
        <x:v>SRC-01; SRC-02</x:v>
      </x:c>
      <x:c r="H12" s="12" t="str">
        <x:v>NOT RUN</x:v>
      </x:c>
      <x:c r="I12" s="12" t="str"/>
    </x:row>
    <x:row r="13" ht="112" customHeight="1">
      <x:c r="A13" s="12" t="str">
        <x:v>P00-09</x:v>
      </x:c>
      <x:c r="B13" s="12" t="str">
        <x:v>P00</x:v>
      </x:c>
      <x:c r="C13" s="12" t="str">
        <x:v>Independent expectations</x:v>
      </x:c>
      <x:c r="D13" s="12" t="str">
        <x:v>Legal expected results come from sources; business expectations from the accepted contract; tests do not treat current runtime answers as their own oracle.</x:v>
      </x:c>
      <x:c r="E13" s="12" t="str">
        <x:v>Expected-result source links.</x:v>
      </x:c>
      <x:c r="F13" s="12" t="str">
        <x:v>G + R</x:v>
      </x:c>
      <x:c r="G13" s="12" t="str">
        <x:v>SRC-01; SRC-02</x:v>
      </x:c>
      <x:c r="H13" s="12" t="str">
        <x:v>NOT RUN</x:v>
      </x:c>
      <x:c r="I13" s="12" t="str"/>
    </x:row>
    <x:row r="14" ht="112" customHeight="1">
      <x:c r="A14" s="12" t="str">
        <x:v>P00-10</x:v>
      </x:c>
      <x:c r="B14" s="12" t="str">
        <x:v>P00</x:v>
      </x:c>
      <x:c r="C14" s="12" t="str">
        <x:v>Historical defect reconciliation</x:v>
      </x:c>
      <x:c r="D14" s="12" t="str">
        <x:v>Each known build/audit defect is linked to current code/artifact and fix status; changed or reverted fixes are not counted complete.</x:v>
      </x:c>
      <x:c r="E14" s="12" t="str">
        <x:v>Known-defect crosswalk including 132 and renderer defects.</x:v>
      </x:c>
      <x:c r="F14" s="12" t="str">
        <x:v>G + R</x:v>
      </x:c>
      <x:c r="G14" s="12" t="str">
        <x:v>SRC-01; SRC-02</x:v>
      </x:c>
      <x:c r="H14" s="12" t="str">
        <x:v>NOT RUN</x:v>
      </x:c>
      <x:c r="I14" s="12" t="str"/>
    </x:row>
    <x:row r="15" ht="112" customHeight="1">
      <x:c r="A15" s="12" t="str">
        <x:v>P00-11</x:v>
      </x:c>
      <x:c r="B15" s="12" t="str">
        <x:v>P00</x:v>
      </x:c>
      <x:c r="C15" s="12" t="str">
        <x:v>Corpus identity and namespace</x:v>
      </x:c>
      <x:c r="D15" s="12" t="str">
        <x:v>Required source bytes resolve at expected hashes and package paths; all-25-CO-present and 513/583 recovery reports are not promoted to a fresh complete mount.</x:v>
      </x:c>
      <x:c r="E15" s="12" t="str">
        <x:v>Actual file/hash/path validation for relevant packages.</x:v>
      </x:c>
      <x:c r="F15" s="12" t="str">
        <x:v>G + R</x:v>
      </x:c>
      <x:c r="G15" s="12" t="str">
        <x:v>SRC-01; SRC-02</x:v>
      </x:c>
      <x:c r="H15" s="12" t="str">
        <x:v>NOT RUN</x:v>
      </x:c>
      <x:c r="I15" s="12" t="str"/>
    </x:row>
    <x:row r="16" ht="112" customHeight="1">
      <x:c r="A16" s="12" t="str">
        <x:v>P00-12</x:v>
      </x:c>
      <x:c r="B16" s="12" t="str">
        <x:v>P00</x:v>
      </x:c>
      <x:c r="C16" s="12" t="str">
        <x:v>Preview and production separation</x:v>
      </x:c>
      <x:c r="D16" s="12" t="str">
        <x:v>Acceptance project, credentials, payment mode, domains and datasets are demonstrably isolated from real users.</x:v>
      </x:c>
      <x:c r="E16" s="12" t="str">
        <x:v>Environment assertions and safe fixture namespace.</x:v>
      </x:c>
      <x:c r="F16" s="12" t="str">
        <x:v>G + R</x:v>
      </x:c>
      <x:c r="G16" s="12" t="str">
        <x:v>SRC-01; SRC-02</x:v>
      </x:c>
      <x:c r="H16" s="12" t="str">
        <x:v>NOT RUN</x:v>
      </x:c>
      <x:c r="I16" s="12" t="str"/>
    </x:row>
    <x:row r="17" ht="112" customHeight="1">
      <x:c r="A17" s="12" t="str">
        <x:v>P00-13</x:v>
      </x:c>
      <x:c r="B17" s="12" t="str">
        <x:v>P00</x:v>
      </x:c>
      <x:c r="C17" s="12" t="str">
        <x:v>Permissions preflight</x:v>
      </x:c>
      <x:c r="D17" s="12" t="str">
        <x:v>Browser/login, repository artifacts, DB evidence, registry and provider access are actually tested once; discovered tools are not counted as access.</x:v>
      </x:c>
      <x:c r="E17" s="12" t="str">
        <x:v>Read-only access results and exact outstanding actions.</x:v>
      </x:c>
      <x:c r="F17" s="12" t="str">
        <x:v>G + R</x:v>
      </x:c>
      <x:c r="G17" s="12" t="str">
        <x:v>SRC-01; SRC-02</x:v>
      </x:c>
      <x:c r="H17" s="12" t="str">
        <x:v>NOT RUN</x:v>
      </x:c>
      <x:c r="I17" s="12" t="str"/>
    </x:row>
    <x:row r="18" ht="112" customHeight="1">
      <x:c r="A18" s="12" t="str">
        <x:v>P00-14</x:v>
      </x:c>
      <x:c r="B18" s="12" t="str">
        <x:v>P00</x:v>
      </x:c>
      <x:c r="C18" s="12" t="str">
        <x:v>Synthetic fixture integrity</x:v>
      </x:c>
      <x:c r="D18" s="12" t="str">
        <x:v>Known expected answers, records and identities are realistic synthetic data; neither admin seeding nor fixtures forge payment, legal or review authority.</x:v>
      </x:c>
      <x:c r="E18" s="12" t="str">
        <x:v>Fixture definitions and provenance.</x:v>
      </x:c>
      <x:c r="F18" s="12" t="str">
        <x:v>G + R</x:v>
      </x:c>
      <x:c r="G18" s="12" t="str">
        <x:v>SRC-01; SRC-02</x:v>
      </x:c>
      <x:c r="H18" s="12" t="str">
        <x:v>NOT RUN</x:v>
      </x:c>
      <x:c r="I18" s="12" t="str"/>
    </x:row>
    <x:row r="19" ht="112" customHeight="1">
      <x:c r="A19" s="12" t="str">
        <x:v>P00-15</x:v>
      </x:c>
      <x:c r="B19" s="12" t="str">
        <x:v>P00</x:v>
      </x:c>
      <x:c r="C19" s="12" t="str">
        <x:v>Evidence completeness</x:v>
      </x:c>
      <x:c r="D19" s="12" t="str">
        <x:v>Each expected artifact, screenshot, page and test case has a retrievable evidence locator; missing/truncated/expired evidence is blocked, not passed.</x:v>
      </x:c>
      <x:c r="E19" s="12" t="str">
        <x:v>Evidence manifest and counts.</x:v>
      </x:c>
      <x:c r="F19" s="12" t="str">
        <x:v>G + R</x:v>
      </x:c>
      <x:c r="G19" s="12" t="str">
        <x:v>SRC-01; SRC-02</x:v>
      </x:c>
      <x:c r="H19" s="12" t="str">
        <x:v>NOT RUN</x:v>
      </x:c>
      <x:c r="I19" s="12" t="str"/>
    </x:row>
    <x:row r="20" ht="112" customHeight="1">
      <x:c r="A20" s="12" t="str">
        <x:v>P00-16</x:v>
      </x:c>
      <x:c r="B20" s="12" t="str">
        <x:v>P00</x:v>
      </x:c>
      <x:c r="C20" s="12" t="str">
        <x:v>Review instance expansion</x:v>
      </x:c>
      <x:c r="D20" s="12" t="str">
        <x:v>Every applicable checklist rule is expanded against entity/variant keys; a generic checklist tick is never a nationwide pass.</x:v>
      </x:c>
      <x:c r="E20" s="12" t="str">
        <x:v>Case matrix and denominator reconciliation.</x:v>
      </x:c>
      <x:c r="F20" s="12" t="str">
        <x:v>G + R</x:v>
      </x:c>
      <x:c r="G20" s="12" t="str">
        <x:v>SRC-01; SRC-02</x:v>
      </x:c>
      <x:c r="H20" s="12" t="str">
        <x:v>NOT RUN</x:v>
      </x:c>
      <x:c r="I20" s="12" t="str"/>
    </x:row>
    <x:row r="21" ht="112" customHeight="1">
      <x:c r="A21" s="12" t="str">
        <x:v>P00-17</x:v>
      </x:c>
      <x:c r="B21" s="12" t="str">
        <x:v>P00</x:v>
      </x:c>
      <x:c r="C21" s="12" t="str">
        <x:v>Change and mutation safety</x:v>
      </x:c>
      <x:c r="D21" s="12" t="str">
        <x:v>No active mutator is confused with work product; audit candidate is isolated from edits; before/after bytes and process completion are established.</x:v>
      </x:c>
      <x:c r="E21" s="12" t="str">
        <x:v>Process/run IDs, restoration proof and tree state.</x:v>
      </x:c>
      <x:c r="F21" s="12" t="str">
        <x:v>G + R</x:v>
      </x:c>
      <x:c r="G21" s="12" t="str">
        <x:v>SRC-01; SRC-02</x:v>
      </x:c>
      <x:c r="H21" s="12" t="str">
        <x:v>NOT RUN</x:v>
      </x:c>
      <x:c r="I21" s="12" t="str"/>
    </x:row>
    <x:row r="22" ht="112" customHeight="1">
      <x:c r="A22" s="12" t="str">
        <x:v>P00-18</x:v>
      </x:c>
      <x:c r="B22" s="12" t="str">
        <x:v>P00</x:v>
      </x:c>
      <x:c r="C22" s="12" t="str">
        <x:v>Human and operational dependencies</x:v>
      </x:c>
      <x:c r="D22" s="12" t="str">
        <x:v>Required legal reviewers, assistive-tech/device operators and production owner are named at start; no late undisclosed handoff.</x:v>
      </x:c>
      <x:c r="E22" s="12" t="str">
        <x:v>Assignments and access/appointment readiness.</x:v>
      </x:c>
      <x:c r="F22" s="12" t="str">
        <x:v>G + R</x:v>
      </x:c>
      <x:c r="G22" s="12" t="str">
        <x:v>SRC-01; SRC-02</x:v>
      </x:c>
      <x:c r="H22" s="12" t="str">
        <x:v>NOT RUN</x:v>
      </x:c>
      <x:c r="I22" s="12" t="str"/>
    </x:row>
    <x:row r="23" ht="112" customHeight="1">
      <x:c r="A23" s="12" t="str">
        <x:v>P00-19</x:v>
      </x:c>
      <x:c r="B23" s="12" t="str">
        <x:v>P00</x:v>
      </x:c>
      <x:c r="C23" s="12" t="str">
        <x:v>Performance and support targets</x:v>
      </x:c>
      <x:c r="D23" s="12" t="str">
        <x:v>Existing response/render/load/recovery/support targets are identified; absent targets are explicit decisions, not numbers invented to pass.</x:v>
      </x:c>
      <x:c r="E23" s="12" t="str">
        <x:v>Accepted targets and test load definition.</x:v>
      </x:c>
      <x:c r="F23" s="12" t="str">
        <x:v>G + R</x:v>
      </x:c>
      <x:c r="G23" s="12" t="str">
        <x:v>SRC-01; SRC-02</x:v>
      </x:c>
      <x:c r="H23" s="12" t="str">
        <x:v>NOT RUN</x:v>
      </x:c>
      <x:c r="I23" s="12" t="str"/>
    </x:row>
    <x:row r="24" ht="112" customHeight="1">
      <x:c r="A24" s="12" t="str">
        <x:v>P00-20</x:v>
      </x:c>
      <x:c r="B24" s="12" t="str">
        <x:v>P00</x:v>
      </x:c>
      <x:c r="C24" s="12" t="str">
        <x:v>Resume and evidence reuse</x:v>
      </x:c>
      <x:c r="D24" s="12" t="str">
        <x:v>Batch cursor and exact candidate are recorded; reuse only unchanged evidence with applicable scope and current sources.</x:v>
      </x:c>
      <x:c r="E24" s="12" t="str">
        <x:v>Checkpoint and dependency hashes.</x:v>
      </x:c>
      <x:c r="F24" s="12" t="str">
        <x:v>G + R</x:v>
      </x:c>
      <x:c r="G24" s="12" t="str">
        <x:v>SRC-01; SRC-02</x:v>
      </x:c>
      <x:c r="H24" s="12" t="str">
        <x:v>NOT RUN</x:v>
      </x:c>
      <x:c r="I24" s="12" t="str"/>
    </x:row>
    <x:row r="25" ht="112" customHeight="1">
      <x:c r="A25" s="12" t="str">
        <x:v>P01-01</x:v>
      </x:c>
      <x:c r="B25" s="12" t="str">
        <x:v>P01</x:v>
      </x:c>
      <x:c r="C25" s="12" t="str">
        <x:v>Landing promise and coverage</x:v>
      </x:c>
      <x:c r="D25" s="12" t="str">
        <x:v>Public scope, remedies and availability match intended and actually deliverable support; no universal erasure or guaranteed outcome claim.</x:v>
      </x:c>
      <x:c r="E25" s="12" t="str">
        <x:v>Rendered pages versus source/coverage register.</x:v>
      </x:c>
      <x:c r="F25" s="12" t="str">
        <x:v>G + B + R</x:v>
      </x:c>
      <x:c r="G25" s="12" t="str">
        <x:v>SRC-01; SRC-03</x:v>
      </x:c>
      <x:c r="H25" s="12" t="str">
        <x:v>NOT RUN</x:v>
      </x:c>
      <x:c r="I25" s="12" t="str"/>
    </x:row>
    <x:row r="26" ht="112" customHeight="1">
      <x:c r="A26" s="12" t="str">
        <x:v>P01-02</x:v>
      </x:c>
      <x:c r="B26" s="12" t="str">
        <x:v>P01</x:v>
      </x:c>
      <x:c r="C26" s="12" t="str">
        <x:v>Free versus paid boundary</x:v>
      </x:c>
      <x:c r="D26" s="12" t="str">
        <x:v>Free screening and account/Briefcase terms, normal product price and separate government costs are clear and consistent with current approved contract.</x:v>
      </x:c>
      <x:c r="E26" s="12" t="str">
        <x:v>EN/ES screenshots of entry/results/review/pricing.</x:v>
      </x:c>
      <x:c r="F26" s="12" t="str">
        <x:v>G + B + R</x:v>
      </x:c>
      <x:c r="G26" s="12" t="str">
        <x:v>SRC-01; SRC-03</x:v>
      </x:c>
      <x:c r="H26" s="12" t="str">
        <x:v>NOT RUN</x:v>
      </x:c>
      <x:c r="I26" s="12" t="str"/>
    </x:row>
    <x:row r="27" ht="112" customHeight="1">
      <x:c r="A27" s="12" t="str">
        <x:v>P01-03</x:v>
      </x:c>
      <x:c r="B27" s="12" t="str">
        <x:v>P01</x:v>
      </x:c>
      <x:c r="C27" s="12" t="str">
        <x:v>All links and CTAs</x:v>
      </x:c>
      <x:c r="D27" s="12" t="str">
        <x:v>Every navigation link, footer link, button, QR destination and help action reaches the intended actionable surface without dead or placeholder behavior.</x:v>
      </x:c>
      <x:c r="E27" s="12" t="str">
        <x:v>Link/action inventory with browser results.</x:v>
      </x:c>
      <x:c r="F27" s="12" t="str">
        <x:v>G + B + R</x:v>
      </x:c>
      <x:c r="G27" s="12" t="str">
        <x:v>SRC-01; SRC-03</x:v>
      </x:c>
      <x:c r="H27" s="12" t="str">
        <x:v>NOT RUN</x:v>
      </x:c>
      <x:c r="I27" s="12" t="str"/>
    </x:row>
    <x:row r="28" ht="112" customHeight="1">
      <x:c r="A28" s="12" t="str">
        <x:v>P01-04</x:v>
      </x:c>
      <x:c r="B28" s="12" t="str">
        <x:v>P01</x:v>
      </x:c>
      <x:c r="C28" s="12" t="str">
        <x:v>Deep links and redirects</x:v>
      </x:c>
      <x:c r="D28" s="12" t="str">
        <x:v>Saved-item, partner, event and return links preserve exact context and reject unsafe destinations or unrelated accounts.</x:v>
      </x:c>
      <x:c r="E28" s="12" t="str">
        <x:v>Allowed/denied redirect cases.</x:v>
      </x:c>
      <x:c r="F28" s="12" t="str">
        <x:v>G + B + R</x:v>
      </x:c>
      <x:c r="G28" s="12" t="str">
        <x:v>SRC-01; SRC-03</x:v>
      </x:c>
      <x:c r="H28" s="12" t="str">
        <x:v>NOT RUN</x:v>
      </x:c>
      <x:c r="I28" s="12" t="str"/>
    </x:row>
    <x:row r="29" ht="112" customHeight="1">
      <x:c r="A29" s="12" t="str">
        <x:v>P01-05</x:v>
      </x:c>
      <x:c r="B29" s="12" t="str">
        <x:v>P01</x:v>
      </x:c>
      <x:c r="C29" s="12" t="str">
        <x:v>Public partner pages</x:v>
      </x:c>
      <x:c r="D29" s="12" t="str">
        <x:v>Co-branding, program scope, geography and entry actions match the configured partner; unpublished pages do not leak into public search or sharing.</x:v>
      </x:c>
      <x:c r="E29" s="12" t="str">
        <x:v>Profile/page comparison and visibility cases.</x:v>
      </x:c>
      <x:c r="F29" s="12" t="str">
        <x:v>G + B + R</x:v>
      </x:c>
      <x:c r="G29" s="12" t="str">
        <x:v>SRC-01; SRC-03</x:v>
      </x:c>
      <x:c r="H29" s="12" t="str">
        <x:v>NOT RUN</x:v>
      </x:c>
      <x:c r="I29" s="12" t="str"/>
    </x:row>
    <x:row r="30" ht="112" customHeight="1">
      <x:c r="A30" s="12" t="str">
        <x:v>P01-06</x:v>
      </x:c>
      <x:c r="B30" s="12" t="str">
        <x:v>P01</x:v>
      </x:c>
      <x:c r="C30" s="12" t="str">
        <x:v>Status and empty/error copy</x:v>
      </x:c>
      <x:c r="D30" s="12" t="str">
        <x:v>Loading, empty, held, error, expired and success states are truthful, understandable and show a usable next step; no internal status tokens.</x:v>
      </x:c>
      <x:c r="E30" s="12" t="str">
        <x:v>All distinct state captures.</x:v>
      </x:c>
      <x:c r="F30" s="12" t="str">
        <x:v>G + B + R</x:v>
      </x:c>
      <x:c r="G30" s="12" t="str">
        <x:v>SRC-01; SRC-03</x:v>
      </x:c>
      <x:c r="H30" s="12" t="str">
        <x:v>NOT RUN</x:v>
      </x:c>
      <x:c r="I30" s="12" t="str"/>
    </x:row>
    <x:row r="31" ht="112" customHeight="1">
      <x:c r="A31" s="12" t="str">
        <x:v>P01-07</x:v>
      </x:c>
      <x:c r="B31" s="12" t="str">
        <x:v>P01</x:v>
      </x:c>
      <x:c r="C31" s="12" t="str">
        <x:v>Claims and testimonials</x:v>
      </x:c>
      <x:c r="D31" s="12" t="str">
        <x:v>Testimonials, clearance counts, attorney-review claims, security badges and response-time promises have supporting records and permission where needed.</x:v>
      </x:c>
      <x:c r="E31" s="12" t="str">
        <x:v>Claims register and evidence; no invented endorsements.</x:v>
      </x:c>
      <x:c r="F31" s="12" t="str">
        <x:v>G + B + R</x:v>
      </x:c>
      <x:c r="G31" s="12" t="str">
        <x:v>SRC-01; SRC-03</x:v>
      </x:c>
      <x:c r="H31" s="12" t="str">
        <x:v>NOT RUN</x:v>
      </x:c>
      <x:c r="I31" s="12" t="str"/>
    </x:row>
    <x:row r="32" ht="112" customHeight="1">
      <x:c r="A32" s="12" t="str">
        <x:v>P01-08</x:v>
      </x:c>
      <x:c r="B32" s="12" t="str">
        <x:v>P01</x:v>
      </x:c>
      <x:c r="C32" s="12" t="str">
        <x:v>Legal/policy screens</x:v>
      </x:c>
      <x:c r="D32" s="12" t="str">
        <x:v>Terms, privacy, disclaimers, data-rights and accessibility statements match actual behavior and approved versions; no unfinished text.</x:v>
      </x:c>
      <x:c r="E32" s="12" t="str">
        <x:v>Rendered policy pages and behavior cross-check.</x:v>
      </x:c>
      <x:c r="F32" s="12" t="str">
        <x:v>G + B + R</x:v>
      </x:c>
      <x:c r="G32" s="12" t="str">
        <x:v>SRC-01; SRC-03</x:v>
      </x:c>
      <x:c r="H32" s="12" t="str">
        <x:v>NOT RUN</x:v>
      </x:c>
      <x:c r="I32" s="12" t="str"/>
    </x:row>
    <x:row r="33" ht="112" customHeight="1">
      <x:c r="A33" s="12" t="str">
        <x:v>P01-09</x:v>
      </x:c>
      <x:c r="B33" s="12" t="str">
        <x:v>P01</x:v>
      </x:c>
      <x:c r="C33" s="12" t="str">
        <x:v>Transactional message inventory</x:v>
      </x:c>
      <x:c r="D33" s="12" t="str">
        <x:v>Invitation, auth, save, payment, ready, failure, cap, clinic and follow-up templates are enumerated in each supported locale.</x:v>
      </x:c>
      <x:c r="E33" s="12" t="str">
        <x:v>Template/event/recipient matrix.</x:v>
      </x:c>
      <x:c r="F33" s="12" t="str">
        <x:v>G + B + R</x:v>
      </x:c>
      <x:c r="G33" s="12" t="str">
        <x:v>SRC-01; SRC-03</x:v>
      </x:c>
      <x:c r="H33" s="12" t="str">
        <x:v>NOT RUN</x:v>
      </x:c>
      <x:c r="I33" s="12" t="str"/>
    </x:row>
    <x:row r="34" ht="112" customHeight="1">
      <x:c r="A34" s="12" t="str">
        <x:v>P01-10</x:v>
      </x:c>
      <x:c r="B34" s="12" t="str">
        <x:v>P01</x:v>
      </x:c>
      <x:c r="C34" s="12" t="str">
        <x:v>Message receipt and timing</x:v>
      </x:c>
      <x:c r="D34" s="12" t="str">
        <x:v>Messages are delivered to the controlled test recipient on the correct event; queued, sent, delivered and failed are not conflated.</x:v>
      </x:c>
      <x:c r="E34" s="12" t="str">
        <x:v>Provider events plus test mailbox evidence.</x:v>
      </x:c>
      <x:c r="F34" s="12" t="str">
        <x:v>G + B + R</x:v>
      </x:c>
      <x:c r="G34" s="12" t="str">
        <x:v>SRC-01; SRC-03</x:v>
      </x:c>
      <x:c r="H34" s="12" t="str">
        <x:v>NOT RUN</x:v>
      </x:c>
      <x:c r="I34" s="12" t="str"/>
    </x:row>
    <x:row r="35" ht="112" customHeight="1">
      <x:c r="A35" s="12" t="str">
        <x:v>P01-11</x:v>
      </x:c>
      <x:c r="B35" s="12" t="str">
        <x:v>P01</x:v>
      </x:c>
      <x:c r="C35" s="12" t="str">
        <x:v>Message privacy</x:v>
      </x:c>
      <x:c r="D35" s="12" t="str">
        <x:v>Subjects, previews, SMS/email bodies and links disclose no unnecessary record, financial or identifier data; safe channel/consent is respected.</x:v>
      </x:c>
      <x:c r="E35" s="12" t="str">
        <x:v>Message payload and recipient scope inspection.</x:v>
      </x:c>
      <x:c r="F35" s="12" t="str">
        <x:v>G + B + R</x:v>
      </x:c>
      <x:c r="G35" s="12" t="str">
        <x:v>SRC-01; SRC-03</x:v>
      </x:c>
      <x:c r="H35" s="12" t="str">
        <x:v>NOT RUN</x:v>
      </x:c>
      <x:c r="I35" s="12" t="str"/>
    </x:row>
    <x:row r="36" ht="112" customHeight="1">
      <x:c r="A36" s="12" t="str">
        <x:v>P01-12</x:v>
      </x:c>
      <x:c r="B36" s="12" t="str">
        <x:v>P01</x:v>
      </x:c>
      <x:c r="C36" s="12" t="str">
        <x:v>Message link lifecycle</x:v>
      </x:c>
      <x:c r="D36" s="12" t="str">
        <x:v>Tokens bind correct user/matter/event, expire/revoke as required and cannot grant staff access after role removal.</x:v>
      </x:c>
      <x:c r="E36" s="12" t="str">
        <x:v>Link-use negative and resume cases.</x:v>
      </x:c>
      <x:c r="F36" s="12" t="str">
        <x:v>G + B + R</x:v>
      </x:c>
      <x:c r="G36" s="12" t="str">
        <x:v>SRC-01; SRC-03</x:v>
      </x:c>
      <x:c r="H36" s="12" t="str">
        <x:v>NOT RUN</x:v>
      </x:c>
      <x:c r="I36" s="12" t="str"/>
    </x:row>
    <x:row r="37" ht="112" customHeight="1">
      <x:c r="A37" s="12" t="str">
        <x:v>P01-13</x:v>
      </x:c>
      <x:c r="B37" s="12" t="str">
        <x:v>P01</x:v>
      </x:c>
      <x:c r="C37" s="12" t="str">
        <x:v>Wilma current-grounded responses</x:v>
      </x:c>
      <x:c r="D37" s="12" t="str">
        <x:v>Supported legal/process answers cite or use the exact current route sources; unsupported facts and uncertainty are not confidently invented.</x:v>
      </x:c>
      <x:c r="E37" s="12" t="str">
        <x:v>Versioned question/expected-answer transcript set.</x:v>
      </x:c>
      <x:c r="F37" s="12" t="str">
        <x:v>G + B + R</x:v>
      </x:c>
      <x:c r="G37" s="12" t="str">
        <x:v>SRC-01; SRC-03</x:v>
      </x:c>
      <x:c r="H37" s="12" t="str">
        <x:v>NOT RUN</x:v>
      </x:c>
      <x:c r="I37" s="12" t="str"/>
    </x:row>
    <x:row r="38" ht="112" customHeight="1">
      <x:c r="A38" s="12" t="str">
        <x:v>P01-14</x:v>
      </x:c>
      <x:c r="B38" s="12" t="str">
        <x:v>P01</x:v>
      </x:c>
      <x:c r="C38" s="12" t="str">
        <x:v>Wilma privacy and isolation</x:v>
      </x:c>
      <x:c r="D38" s="12" t="str">
        <x:v>Public chat cannot see private cases; authenticated context cannot cross user/partner/event boundaries.</x:v>
      </x:c>
      <x:c r="E38" s="12" t="str">
        <x:v>Cross-context synthetic transcript and access evidence.</x:v>
      </x:c>
      <x:c r="F38" s="12" t="str">
        <x:v>G + B + R</x:v>
      </x:c>
      <x:c r="G38" s="12" t="str">
        <x:v>SRC-01; SRC-03</x:v>
      </x:c>
      <x:c r="H38" s="12" t="str">
        <x:v>NOT RUN</x:v>
      </x:c>
      <x:c r="I38" s="12" t="str"/>
    </x:row>
    <x:row r="39" ht="112" customHeight="1">
      <x:c r="A39" s="12" t="str">
        <x:v>P01-15</x:v>
      </x:c>
      <x:c r="B39" s="12" t="str">
        <x:v>P01</x:v>
      </x:c>
      <x:c r="C39" s="12" t="str">
        <x:v>Wilma role limits</x:v>
      </x:c>
      <x:c r="D39" s="12" t="str">
        <x:v>Assistant explanations do not claim representation, file a case, decide partner acceptance or promise approval; handoffs match the product contract.</x:v>
      </x:c>
      <x:c r="E39" s="12" t="str">
        <x:v>Escalation/refusal and help transcripts.</x:v>
      </x:c>
      <x:c r="F39" s="12" t="str">
        <x:v>G + B + R</x:v>
      </x:c>
      <x:c r="G39" s="12" t="str">
        <x:v>SRC-01; SRC-03</x:v>
      </x:c>
      <x:c r="H39" s="12" t="str">
        <x:v>NOT RUN</x:v>
      </x:c>
      <x:c r="I39" s="12" t="str"/>
    </x:row>
    <x:row r="40" ht="112" customHeight="1">
      <x:c r="A40" s="12" t="str">
        <x:v>P01-16</x:v>
      </x:c>
      <x:c r="B40" s="12" t="str">
        <x:v>P01</x:v>
      </x:c>
      <x:c r="C40" s="12" t="str">
        <x:v>Wilma prompt injection</x:v>
      </x:c>
      <x:c r="D40" s="12" t="str">
        <x:v>User messages, uploaded documents and retrieved text cannot alter payment/approval authority, exfiltrate secrets or override safety tools.</x:v>
      </x:c>
      <x:c r="E40" s="12" t="str">
        <x:v>Adversarial input and tool-call/output evidence.</x:v>
      </x:c>
      <x:c r="F40" s="12" t="str">
        <x:v>G + B + R</x:v>
      </x:c>
      <x:c r="G40" s="12" t="str">
        <x:v>SRC-01; SRC-03</x:v>
      </x:c>
      <x:c r="H40" s="12" t="str">
        <x:v>NOT RUN</x:v>
      </x:c>
      <x:c r="I40" s="12" t="str"/>
    </x:row>
    <x:row r="41" ht="112" customHeight="1">
      <x:c r="A41" s="12" t="str">
        <x:v>P01-17</x:v>
      </x:c>
      <x:c r="B41" s="12" t="str">
        <x:v>P01</x:v>
      </x:c>
      <x:c r="C41" s="12" t="str">
        <x:v>Wilma failure experience</x:v>
      </x:c>
      <x:c r="D41" s="12" t="str">
        <x:v>Timeout, unavailable model, quota and refused tools preserve answers, avoid duplicate actions and show honest fallback support.</x:v>
      </x:c>
      <x:c r="E41" s="12" t="str">
        <x:v>Failure-injection UI and logs.</x:v>
      </x:c>
      <x:c r="F41" s="12" t="str">
        <x:v>G + B + R</x:v>
      </x:c>
      <x:c r="G41" s="12" t="str">
        <x:v>SRC-01; SRC-03</x:v>
      </x:c>
      <x:c r="H41" s="12" t="str">
        <x:v>NOT RUN</x:v>
      </x:c>
      <x:c r="I41" s="12" t="str"/>
    </x:row>
    <x:row r="42" ht="112" customHeight="1">
      <x:c r="A42" s="12" t="str">
        <x:v>P01-18</x:v>
      </x:c>
      <x:c r="B42" s="12" t="str">
        <x:v>P01</x:v>
      </x:c>
      <x:c r="C42" s="12" t="str">
        <x:v>Support contact path</x:v>
      </x:c>
      <x:c r="D42" s="12" t="str">
        <x:v>Help opens a working channel, carries only permitted context and gives understandable next steps; no unsupported response promise.</x:v>
      </x:c>
      <x:c r="E42" s="12" t="str">
        <x:v>Synthetic support submission and readback.</x:v>
      </x:c>
      <x:c r="F42" s="12" t="str">
        <x:v>G + B + R</x:v>
      </x:c>
      <x:c r="G42" s="12" t="str">
        <x:v>SRC-01; SRC-03</x:v>
      </x:c>
      <x:c r="H42" s="12" t="str">
        <x:v>NOT RUN</x:v>
      </x:c>
      <x:c r="I42" s="12" t="str"/>
    </x:row>
    <x:row r="43" ht="112" customHeight="1">
      <x:c r="A43" s="12" t="str">
        <x:v>P01-19</x:v>
      </x:c>
      <x:c r="B43" s="12" t="str">
        <x:v>P01</x:v>
      </x:c>
      <x:c r="C43" s="12" t="str">
        <x:v>Locale and brand consistency</x:v>
      </x:c>
      <x:c r="D43" s="12" t="str">
        <x:v>Public copy, assistant responses and messages retain the approved brand, plain language and equivalent EN/ES meaning.</x:v>
      </x:c>
      <x:c r="E43" s="12" t="str">
        <x:v>Bilingual surface and message review.</x:v>
      </x:c>
      <x:c r="F43" s="12" t="str">
        <x:v>G + B + R</x:v>
      </x:c>
      <x:c r="G43" s="12" t="str">
        <x:v>SRC-01; SRC-03</x:v>
      </x:c>
      <x:c r="H43" s="12" t="str">
        <x:v>NOT RUN</x:v>
      </x:c>
      <x:c r="I43" s="12" t="str"/>
    </x:row>
    <x:row r="44" ht="112" customHeight="1">
      <x:c r="A44" s="12" t="str">
        <x:v>P01-20</x:v>
      </x:c>
      <x:c r="B44" s="12" t="str">
        <x:v>P01</x:v>
      </x:c>
      <x:c r="C44" s="12" t="str">
        <x:v>Notifications and opt-out</x:v>
      </x:c>
      <x:c r="D44" s="12" t="str">
        <x:v>Nonessential follow-up respects consent/opt-out; essential account messages follow the accepted policy and are not silently suppressed.</x:v>
      </x:c>
      <x:c r="E44" s="12" t="str">
        <x:v>Consent state transitions and recipient logs.</x:v>
      </x:c>
      <x:c r="F44" s="12" t="str">
        <x:v>G + B + R</x:v>
      </x:c>
      <x:c r="G44" s="12" t="str">
        <x:v>SRC-01; SRC-03</x:v>
      </x:c>
      <x:c r="H44" s="12" t="str">
        <x:v>NOT RUN</x:v>
      </x:c>
      <x:c r="I44" s="12" t="str"/>
    </x:row>
    <x:row r="45" ht="112" customHeight="1">
      <x:c r="A45" s="12" t="str">
        <x:v>P02-01</x:v>
      </x:c>
      <x:c r="B45" s="12" t="str">
        <x:v>P02</x:v>
      </x:c>
      <x:c r="C45" s="12" t="str">
        <x:v>Exact remedy and statute</x:v>
      </x:c>
      <x:c r="D45" s="12" t="str">
        <x:v>Every track maps to the correct remedy and controlling authority, not a generic expungement label.</x:v>
      </x:c>
      <x:c r="E45" s="12" t="str">
        <x:v>Source excerpt and exact route mapping.</x:v>
      </x:c>
      <x:c r="F45" s="12" t="str">
        <x:v>G + R + H-L</x:v>
      </x:c>
      <x:c r="G45" s="12" t="str">
        <x:v>SRC-01; SRC-02; SRC-05</x:v>
      </x:c>
      <x:c r="H45" s="12" t="str">
        <x:v>NOT RUN</x:v>
      </x:c>
      <x:c r="I45" s="12" t="str"/>
    </x:row>
    <x:row r="46" ht="112" customHeight="1">
      <x:c r="A46" s="12" t="str">
        <x:v>P02-02</x:v>
      </x:c>
      <x:c r="B46" s="12" t="str">
        <x:v>P02</x:v>
      </x:c>
      <x:c r="C46" s="12" t="str">
        <x:v>Currentness and effective date</x:v>
      </x:c>
      <x:c r="D46" s="12" t="str">
        <x:v>Sources are current for the review date and relevant facts; future-effective and prior-law branches are not activated early or lost.</x:v>
      </x:c>
      <x:c r="E46" s="12" t="str">
        <x:v>Official source/version and effective-date cases.</x:v>
      </x:c>
      <x:c r="F46" s="12" t="str">
        <x:v>G + R + H-L</x:v>
      </x:c>
      <x:c r="G46" s="12" t="str">
        <x:v>SRC-01; SRC-02; SRC-05</x:v>
      </x:c>
      <x:c r="H46" s="12" t="str">
        <x:v>NOT RUN</x:v>
      </x:c>
      <x:c r="I46" s="12" t="str"/>
    </x:row>
    <x:row r="47" ht="112" customHeight="1">
      <x:c r="A47" s="12" t="str">
        <x:v>P02-03</x:v>
      </x:c>
      <x:c r="B47" s="12" t="str">
        <x:v>P02</x:v>
      </x:c>
      <x:c r="C47" s="12" t="str">
        <x:v>Eligibility predicates</x:v>
      </x:c>
      <x:c r="D47" s="12" t="str">
        <x:v>Each positive requirement, exclusion and exception has independently sourced expected results.</x:v>
      </x:c>
      <x:c r="E47" s="12" t="str">
        <x:v>Rule-to-source and case tables.</x:v>
      </x:c>
      <x:c r="F47" s="12" t="str">
        <x:v>G + R + H-L</x:v>
      </x:c>
      <x:c r="G47" s="12" t="str">
        <x:v>SRC-01; SRC-02; SRC-05</x:v>
      </x:c>
      <x:c r="H47" s="12" t="str">
        <x:v>NOT RUN</x:v>
      </x:c>
      <x:c r="I47" s="12" t="str"/>
    </x:row>
    <x:row r="48" ht="112" customHeight="1">
      <x:c r="A48" s="12" t="str">
        <x:v>P02-04</x:v>
      </x:c>
      <x:c r="B48" s="12" t="str">
        <x:v>P02</x:v>
      </x:c>
      <x:c r="C48" s="12" t="str">
        <x:v>Timing calculations</x:v>
      </x:c>
      <x:c r="D48" s="12" t="str">
        <x:v>Waiting periods use correct event anchors, completion rules and legal date conventions; just-before/on/after cases pass.</x:v>
      </x:c>
      <x:c r="E48" s="12" t="str">
        <x:v>Boundary dates and expected outcomes.</x:v>
      </x:c>
      <x:c r="F48" s="12" t="str">
        <x:v>G + R + H-L</x:v>
      </x:c>
      <x:c r="G48" s="12" t="str">
        <x:v>SRC-01; SRC-02; SRC-05</x:v>
      </x:c>
      <x:c r="H48" s="12" t="str">
        <x:v>NOT RUN</x:v>
      </x:c>
      <x:c r="I48" s="12" t="str"/>
    </x:row>
    <x:row r="49" ht="112" customHeight="1">
      <x:c r="A49" s="12" t="str">
        <x:v>P02-05</x:v>
      </x:c>
      <x:c r="B49" s="12" t="str">
        <x:v>P02</x:v>
      </x:c>
      <x:c r="C49" s="12" t="str">
        <x:v>Unknown and conflicting answers</x:v>
      </x:c>
      <x:c r="D49" s="12" t="str">
        <x:v>Missing or contradictory material facts lead to the proper next question or safe review, never invented eligibility.</x:v>
      </x:c>
      <x:c r="E49" s="12" t="str">
        <x:v>Unknown/conflict branch cases.</x:v>
      </x:c>
      <x:c r="F49" s="12" t="str">
        <x:v>G + R + H-L</x:v>
      </x:c>
      <x:c r="G49" s="12" t="str">
        <x:v>SRC-01; SRC-02; SRC-05</x:v>
      </x:c>
      <x:c r="H49" s="12" t="str">
        <x:v>NOT RUN</x:v>
      </x:c>
      <x:c r="I49" s="12" t="str"/>
    </x:row>
    <x:row r="50" ht="112" customHeight="1">
      <x:c r="A50" s="12" t="str">
        <x:v>P02-06</x:v>
      </x:c>
      <x:c r="B50" s="12" t="str">
        <x:v>P02</x:v>
      </x:c>
      <x:c r="C50" s="12" t="str">
        <x:v>Automatic versus participant action</x:v>
      </x:c>
      <x:c r="D50" s="12" t="str">
        <x:v>Automatic/court/agency processes are distinguished from required participant filings and lawful fallback enforcement.</x:v>
      </x:c>
      <x:c r="E50" s="12" t="str">
        <x:v>Actor/trigger/vehicle source comparison.</x:v>
      </x:c>
      <x:c r="F50" s="12" t="str">
        <x:v>G + R + H-L</x:v>
      </x:c>
      <x:c r="G50" s="12" t="str">
        <x:v>SRC-01; SRC-02; SRC-05</x:v>
      </x:c>
      <x:c r="H50" s="12" t="str">
        <x:v>NOT RUN</x:v>
      </x:c>
      <x:c r="I50" s="12" t="str"/>
    </x:row>
    <x:row r="51" ht="112" customHeight="1">
      <x:c r="A51" s="12" t="str">
        <x:v>P02-07</x:v>
      </x:c>
      <x:c r="B51" s="12" t="str">
        <x:v>P02</x:v>
      </x:c>
      <x:c r="C51" s="12" t="str">
        <x:v>Instrument choice</x:v>
      </x:c>
      <x:c r="D51" s="12" t="str">
        <x:v>Petition, motion, application, letter, administrative request and appeal/enforcement are selected for their exact procedural role.</x:v>
      </x:c>
      <x:c r="E51" s="12" t="str">
        <x:v>Vehicle proof per component.</x:v>
      </x:c>
      <x:c r="F51" s="12" t="str">
        <x:v>G + R + H-L</x:v>
      </x:c>
      <x:c r="G51" s="12" t="str">
        <x:v>SRC-01; SRC-02; SRC-05</x:v>
      </x:c>
      <x:c r="H51" s="12" t="str">
        <x:v>NOT RUN</x:v>
      </x:c>
      <x:c r="I51" s="12" t="str"/>
    </x:row>
    <x:row r="52" ht="112" customHeight="1">
      <x:c r="A52" s="12" t="str">
        <x:v>P02-08</x:v>
      </x:c>
      <x:c r="B52" s="12" t="str">
        <x:v>P02</x:v>
      </x:c>
      <x:c r="C52" s="12" t="str">
        <x:v>Official form applicability</x:v>
      </x:c>
      <x:c r="D52" s="12" t="str">
        <x:v>Mandatory/pattern/optional state or local form status is established; a similar form title does not prove applicability.</x:v>
      </x:c>
      <x:c r="E52" s="12" t="str">
        <x:v>Official form and instructions with source identity.</x:v>
      </x:c>
      <x:c r="F52" s="12" t="str">
        <x:v>G + R + H-L</x:v>
      </x:c>
      <x:c r="G52" s="12" t="str">
        <x:v>SRC-01; SRC-02; SRC-05</x:v>
      </x:c>
      <x:c r="H52" s="12" t="str">
        <x:v>NOT RUN</x:v>
      </x:c>
      <x:c r="I52" s="12" t="str"/>
    </x:row>
    <x:row r="53" ht="112" customHeight="1">
      <x:c r="A53" s="12" t="str">
        <x:v>P02-09</x:v>
      </x:c>
      <x:c r="B53" s="12" t="str">
        <x:v>P02</x:v>
      </x:c>
      <x:c r="C53" s="12" t="str">
        <x:v>Court and venue</x:v>
      </x:c>
      <x:c r="D53" s="12" t="str">
        <x:v>Court level, district, county, case mode and filing office match the record and route; ambiguous venues are not guessed.</x:v>
      </x:c>
      <x:c r="E53" s="12" t="str">
        <x:v>Venue predicates and fixture outcomes.</x:v>
      </x:c>
      <x:c r="F53" s="12" t="str">
        <x:v>G + R + H-L</x:v>
      </x:c>
      <x:c r="G53" s="12" t="str">
        <x:v>SRC-01; SRC-02; SRC-05</x:v>
      </x:c>
      <x:c r="H53" s="12" t="str">
        <x:v>NOT RUN</x:v>
      </x:c>
      <x:c r="I53" s="12" t="str"/>
    </x:row>
    <x:row r="54" ht="112" customHeight="1">
      <x:c r="A54" s="12" t="str">
        <x:v>P02-10</x:v>
      </x:c>
      <x:c r="B54" s="12" t="str">
        <x:v>P02</x:v>
      </x:c>
      <x:c r="C54" s="12" t="str">
        <x:v>Local overrides</x:v>
      </x:c>
      <x:c r="D54" s="12" t="str">
        <x:v>Required local forms/rules override only applicable components; unaffected eligibility does not fork for formatting reasons.</x:v>
      </x:c>
      <x:c r="E54" s="12" t="str">
        <x:v>All supported local variant source/case pairs.</x:v>
      </x:c>
      <x:c r="F54" s="12" t="str">
        <x:v>G + R + H-L</x:v>
      </x:c>
      <x:c r="G54" s="12" t="str">
        <x:v>SRC-01; SRC-02; SRC-05</x:v>
      </x:c>
      <x:c r="H54" s="12" t="str">
        <x:v>NOT RUN</x:v>
      </x:c>
      <x:c r="I54" s="12" t="str"/>
    </x:row>
    <x:row r="55" ht="112" customHeight="1">
      <x:c r="A55" s="12" t="str">
        <x:v>P02-11</x:v>
      </x:c>
      <x:c r="B55" s="12" t="str">
        <x:v>P02</x:v>
      </x:c>
      <x:c r="C55" s="12" t="str">
        <x:v>Preparation and signing roles</x:v>
      </x:c>
      <x:c r="D55" s="12" t="str">
        <x:v>Who prepares, submits, signs, notarizes, serves and decides is individually correct; judge signature does not imply judge-only preparation.</x:v>
      </x:c>
      <x:c r="E55" s="12" t="str">
        <x:v>Actor-stage matrix against source.</x:v>
      </x:c>
      <x:c r="F55" s="12" t="str">
        <x:v>G + R + H-L</x:v>
      </x:c>
      <x:c r="G55" s="12" t="str">
        <x:v>SRC-01; SRC-02; SRC-05</x:v>
      </x:c>
      <x:c r="H55" s="12" t="str">
        <x:v>NOT RUN</x:v>
      </x:c>
      <x:c r="I55" s="12" t="str"/>
    </x:row>
    <x:row r="56" ht="112" customHeight="1">
      <x:c r="A56" s="12" t="str">
        <x:v>P02-12</x:v>
      </x:c>
      <x:c r="B56" s="12" t="str">
        <x:v>P02</x:v>
      </x:c>
      <x:c r="C56" s="12" t="str">
        <x:v>Required components</x:v>
      </x:c>
      <x:c r="D56" s="12" t="str">
        <x:v>Primary filing, orders, affidavits, service, covers and attachments are complete and staged correctly, without invented extras.</x:v>
      </x:c>
      <x:c r="E56" s="12" t="str">
        <x:v>Source-required set versus manifest.</x:v>
      </x:c>
      <x:c r="F56" s="12" t="str">
        <x:v>G + R + H-L</x:v>
      </x:c>
      <x:c r="G56" s="12" t="str">
        <x:v>SRC-01; SRC-02; SRC-05</x:v>
      </x:c>
      <x:c r="H56" s="12" t="str">
        <x:v>NOT RUN</x:v>
      </x:c>
      <x:c r="I56" s="12" t="str"/>
    </x:row>
    <x:row r="57" ht="112" customHeight="1">
      <x:c r="A57" s="12" t="str">
        <x:v>P02-13</x:v>
      </x:c>
      <x:c r="B57" s="12" t="str">
        <x:v>P02</x:v>
      </x:c>
      <x:c r="C57" s="12" t="str">
        <x:v>Service and notice</x:v>
      </x:c>
      <x:c r="D57" s="12" t="str">
        <x:v>Recipients, method, deadline anchor, timing and proof are route-specific, including clerk/prosecutor responsibilities.</x:v>
      </x:c>
      <x:c r="E57" s="12" t="str">
        <x:v>Service table and workflow cases.</x:v>
      </x:c>
      <x:c r="F57" s="12" t="str">
        <x:v>G + R + H-L</x:v>
      </x:c>
      <x:c r="G57" s="12" t="str">
        <x:v>SRC-01; SRC-02; SRC-05</x:v>
      </x:c>
      <x:c r="H57" s="12" t="str">
        <x:v>NOT RUN</x:v>
      </x:c>
      <x:c r="I57" s="12" t="str"/>
    </x:row>
    <x:row r="58" ht="112" customHeight="1">
      <x:c r="A58" s="12" t="str">
        <x:v>P02-14</x:v>
      </x:c>
      <x:c r="B58" s="12" t="str">
        <x:v>P02</x:v>
      </x:c>
      <x:c r="C58" s="12" t="str">
        <x:v>Execution and verification</x:v>
      </x:c>
      <x:c r="D58" s="12" t="str">
        <x:v>Signature, oath, jurat, unsworn declaration, remote execution and notarization follow source and accepted product requirements without false legal claims.</x:v>
      </x:c>
      <x:c r="E58" s="12" t="str">
        <x:v>Execution clauses and signer cases.</x:v>
      </x:c>
      <x:c r="F58" s="12" t="str">
        <x:v>G + R + H-L</x:v>
      </x:c>
      <x:c r="G58" s="12" t="str">
        <x:v>SRC-01; SRC-02; SRC-05</x:v>
      </x:c>
      <x:c r="H58" s="12" t="str">
        <x:v>NOT RUN</x:v>
      </x:c>
      <x:c r="I58" s="12" t="str"/>
    </x:row>
    <x:row r="59" ht="112" customHeight="1">
      <x:c r="A59" s="12" t="str">
        <x:v>P02-15</x:v>
      </x:c>
      <x:c r="B59" s="12" t="str">
        <x:v>P02</x:v>
      </x:c>
      <x:c r="C59" s="12" t="str">
        <x:v>Privacy and identifiers</x:v>
      </x:c>
      <x:c r="D59" s="12" t="str">
        <x:v>Full/redacted DOB, SSN and other identifiers go only to authorized forms or channels; public filings follow actual rules.</x:v>
      </x:c>
      <x:c r="E59" s="12" t="str">
        <x:v>Per-field privacy mapping and sources.</x:v>
      </x:c>
      <x:c r="F59" s="12" t="str">
        <x:v>G + R + H-L</x:v>
      </x:c>
      <x:c r="G59" s="12" t="str">
        <x:v>SRC-01; SRC-02; SRC-05</x:v>
      </x:c>
      <x:c r="H59" s="12" t="str">
        <x:v>NOT RUN</x:v>
      </x:c>
      <x:c r="I59" s="12" t="str"/>
    </x:row>
    <x:row r="60" ht="112" customHeight="1">
      <x:c r="A60" s="12" t="str">
        <x:v>P02-16</x:v>
      </x:c>
      <x:c r="B60" s="12" t="str">
        <x:v>P02</x:v>
      </x:c>
      <x:c r="C60" s="12" t="str">
        <x:v>Fees and waiver route</x:v>
      </x:c>
      <x:c r="D60" s="12" t="str">
        <x:v>Official costs, waiver criteria/forms, separate record/service charges and unknowns are represented accurately and dated.</x:v>
      </x:c>
      <x:c r="E60" s="12" t="str">
        <x:v>Source schedules and expected fee data.</x:v>
      </x:c>
      <x:c r="F60" s="12" t="str">
        <x:v>G + R + H-L</x:v>
      </x:c>
      <x:c r="G60" s="12" t="str">
        <x:v>SRC-01; SRC-02; SRC-05</x:v>
      </x:c>
      <x:c r="H60" s="12" t="str">
        <x:v>NOT RUN</x:v>
      </x:c>
      <x:c r="I60" s="12" t="str"/>
    </x:row>
    <x:row r="61" ht="112" customHeight="1">
      <x:c r="A61" s="12" t="str">
        <x:v>P02-17</x:v>
      </x:c>
      <x:c r="B61" s="12" t="str">
        <x:v>P02</x:v>
      </x:c>
      <x:c r="C61" s="12" t="str">
        <x:v>Local submission procedure</x:v>
      </x:c>
      <x:c r="D61" s="12" t="str">
        <x:v>Filing channel, copies, naming/event codes, file size/format and official portal are correct for the supported court.</x:v>
      </x:c>
      <x:c r="E61" s="12" t="str">
        <x:v>Published instructions or qualified confirmed local evidence.</x:v>
      </x:c>
      <x:c r="F61" s="12" t="str">
        <x:v>G + R + H-L</x:v>
      </x:c>
      <x:c r="G61" s="12" t="str">
        <x:v>SRC-01; SRC-02; SRC-05</x:v>
      </x:c>
      <x:c r="H61" s="12" t="str">
        <x:v>NOT RUN</x:v>
      </x:c>
      <x:c r="I61" s="12" t="str"/>
    </x:row>
    <x:row r="62" ht="112" customHeight="1">
      <x:c r="A62" s="12" t="str">
        <x:v>P02-18</x:v>
      </x:c>
      <x:c r="B62" s="12" t="str">
        <x:v>P02</x:v>
      </x:c>
      <x:c r="C62" s="12" t="str">
        <x:v>Outcome scope and limits</x:v>
      </x:c>
      <x:c r="D62" s="12" t="str">
        <x:v>What is sealed/expunged/set aside, exceptions to disclosure and unaffected records are explained correctly.</x:v>
      </x:c>
      <x:c r="E62" s="12" t="str">
        <x:v>Relief/agency/disclosure source mapping.</x:v>
      </x:c>
      <x:c r="F62" s="12" t="str">
        <x:v>G + R + H-L</x:v>
      </x:c>
      <x:c r="G62" s="12" t="str">
        <x:v>SRC-01; SRC-02; SRC-05</x:v>
      </x:c>
      <x:c r="H62" s="12" t="str">
        <x:v>NOT RUN</x:v>
      </x:c>
      <x:c r="I62" s="12" t="str"/>
    </x:row>
    <x:row r="63" ht="112" customHeight="1">
      <x:c r="A63" s="12" t="str">
        <x:v>P02-19</x:v>
      </x:c>
      <x:c r="B63" s="12" t="str">
        <x:v>P02</x:v>
      </x:c>
      <x:c r="C63" s="12" t="str">
        <x:v>Objections and escalation</x:v>
      </x:c>
      <x:c r="D63" s="12" t="str">
        <x:v>Opposition, hearings, denial, appeal, missed deadline or uncertain relief trigger the proper self-help stopping point and handoff.</x:v>
      </x:c>
      <x:c r="E63" s="12" t="str">
        <x:v>Escalation state graph and source.</x:v>
      </x:c>
      <x:c r="F63" s="12" t="str">
        <x:v>G + R + H-L</x:v>
      </x:c>
      <x:c r="G63" s="12" t="str">
        <x:v>SRC-01; SRC-02; SRC-05</x:v>
      </x:c>
      <x:c r="H63" s="12" t="str">
        <x:v>NOT RUN</x:v>
      </x:c>
      <x:c r="I63" s="12" t="str"/>
    </x:row>
    <x:row r="64" ht="112" customHeight="1">
      <x:c r="A64" s="12" t="str">
        <x:v>P02-20</x:v>
      </x:c>
      <x:c r="B64" s="12" t="str">
        <x:v>P02</x:v>
      </x:c>
      <x:c r="C64" s="12" t="str">
        <x:v>False-positive and false-negative routing</x:v>
      </x:c>
      <x:c r="D64" s="12" t="str">
        <x:v>Eligible fixtures are not wrongly held or sold the wrong remedy; ineligible fixtures cannot transact as eligible.</x:v>
      </x:c>
      <x:c r="E64" s="12" t="str">
        <x:v>Positive/negative comparison for every decision branch.</x:v>
      </x:c>
      <x:c r="F64" s="12" t="str">
        <x:v>G + R + H-L</x:v>
      </x:c>
      <x:c r="G64" s="12" t="str">
        <x:v>SRC-01; SRC-02; SRC-05</x:v>
      </x:c>
      <x:c r="H64" s="12" t="str">
        <x:v>NOT RUN</x:v>
      </x:c>
      <x:c r="I64" s="12" t="str"/>
    </x:row>
    <x:row r="65" ht="112" customHeight="1">
      <x:c r="A65" s="12" t="str">
        <x:v>P02-21</x:v>
      </x:c>
      <x:c r="B65" s="12" t="str">
        <x:v>P02</x:v>
      </x:c>
      <x:c r="C65" s="12" t="str">
        <x:v>Cross-jurisdiction and federal boundaries</x:v>
      </x:c>
      <x:c r="D65" s="12" t="str">
        <x:v>Records from multiple states, federal cases, juvenile/adult distinctions and unsupported geography are handled explicitly.</x:v>
      </x:c>
      <x:c r="E65" s="12" t="str">
        <x:v>Mixed-record and boundary cases.</x:v>
      </x:c>
      <x:c r="F65" s="12" t="str">
        <x:v>G + R + H-L</x:v>
      </x:c>
      <x:c r="G65" s="12" t="str">
        <x:v>SRC-01; SRC-02; SRC-05</x:v>
      </x:c>
      <x:c r="H65" s="12" t="str">
        <x:v>NOT RUN</x:v>
      </x:c>
      <x:c r="I65" s="12" t="str"/>
    </x:row>
    <x:row r="66" ht="112" customHeight="1">
      <x:c r="A66" s="12" t="str">
        <x:v>P02-22</x:v>
      </x:c>
      <x:c r="B66" s="12" t="str">
        <x:v>P02</x:v>
      </x:c>
      <x:c r="C66" s="12" t="str">
        <x:v>Shared-spec exact membership</x:v>
      </x:c>
      <x:c r="D66" s="12" t="str">
        <x:v>Shared families bind all declared routeKeys and no undeclared sibling; trace the actual chosen document output.</x:v>
      </x:c>
      <x:c r="E66" s="12" t="str">
        <x:v>Member/nonmember and local variant cases.</x:v>
      </x:c>
      <x:c r="F66" s="12" t="str">
        <x:v>G + R + H-L</x:v>
      </x:c>
      <x:c r="G66" s="12" t="str">
        <x:v>SRC-01; SRC-02; SRC-05</x:v>
      </x:c>
      <x:c r="H66" s="12" t="str">
        <x:v>NOT RUN</x:v>
      </x:c>
      <x:c r="I66" s="12" t="str"/>
    </x:row>
    <x:row r="67" ht="112" customHeight="1">
      <x:c r="A67" s="12" t="str">
        <x:v>P02-23</x:v>
      </x:c>
      <x:c r="B67" s="12" t="str">
        <x:v>P02</x:v>
      </x:c>
      <x:c r="C67" s="12" t="str">
        <x:v>Legacy equality</x:v>
      </x:c>
      <x:c r="D67" s="12" t="str">
        <x:v>MS/IL/DC/PA/TX and all jurisdictions use current exact-route evidence and quality; historical downloads are separately governed.</x:v>
      </x:c>
      <x:c r="E67" s="12" t="str">
        <x:v>Route source/authority/delivery comparison.</x:v>
      </x:c>
      <x:c r="F67" s="12" t="str">
        <x:v>G + R + H-L</x:v>
      </x:c>
      <x:c r="G67" s="12" t="str">
        <x:v>SRC-01; SRC-02; SRC-05</x:v>
      </x:c>
      <x:c r="H67" s="12" t="str">
        <x:v>NOT RUN</x:v>
      </x:c>
      <x:c r="I67" s="12" t="str"/>
    </x:row>
    <x:row r="68" ht="112" customHeight="1">
      <x:c r="A68" s="12" t="str">
        <x:v>P02-24</x:v>
      </x:c>
      <x:c r="B68" s="12" t="str">
        <x:v>P02</x:v>
      </x:c>
      <x:c r="C68" s="12" t="str">
        <x:v>Required legal sign-off</x:v>
      </x:c>
      <x:c r="D68" s="12" t="str">
        <x:v>Existing human approval is applicable to these exact requirements/bytes; missing or changed legal decisions are reviewed by the qualified authorized reviewer.</x:v>
      </x:c>
      <x:c r="E68" s="12" t="str">
        <x:v>Signed/adopted review record or explicit blocker.</x:v>
      </x:c>
      <x:c r="F68" s="12" t="str">
        <x:v>G + R + H-L</x:v>
      </x:c>
      <x:c r="G68" s="12" t="str">
        <x:v>SRC-01; SRC-02; SRC-05</x:v>
      </x:c>
      <x:c r="H68" s="12" t="str">
        <x:v>NOT RUN</x:v>
      </x:c>
      <x:c r="I68" s="12" t="str"/>
    </x:row>
    <x:row r="69" ht="112" customHeight="1">
      <x:c r="A69" s="12" t="str">
        <x:v>P03-01</x:v>
      </x:c>
      <x:c r="B69" s="12" t="str">
        <x:v>P03</x:v>
      </x:c>
      <x:c r="C69" s="12" t="str">
        <x:v>Screening frozen behavior</x:v>
      </x:c>
      <x:c r="D69" s="12" t="str">
        <x:v>Packet UX does not add upstream work or alter accepted screening order/wording/results except exact authorized legal corrections.</x:v>
      </x:c>
      <x:c r="E69" s="12" t="str">
        <x:v>Baseline delta plus user-path observations.</x:v>
      </x:c>
      <x:c r="F69" s="12" t="str">
        <x:v>G + B + R</x:v>
      </x:c>
      <x:c r="G69" s="12" t="str">
        <x:v>SRC-01; SRC-03</x:v>
      </x:c>
      <x:c r="H69" s="12" t="str">
        <x:v>NOT RUN</x:v>
      </x:c>
      <x:c r="I69" s="12" t="str"/>
    </x:row>
    <x:row r="70" ht="112" customHeight="1">
      <x:c r="A70" s="12" t="str">
        <x:v>P03-02</x:v>
      </x:c>
      <x:c r="B70" s="12" t="str">
        <x:v>P03</x:v>
      </x:c>
      <x:c r="C70" s="12" t="str">
        <x:v>All route/outcome journeys</x:v>
      </x:c>
      <x:c r="D70" s="12" t="str">
        <x:v>Every enumerated route and material outcome has a UI path with expected next action, not only a selected success demo.</x:v>
      </x:c>
      <x:c r="E70" s="12" t="str">
        <x:v>Route/outcome/case evidence IDs.</x:v>
      </x:c>
      <x:c r="F70" s="12" t="str">
        <x:v>G + B + R</x:v>
      </x:c>
      <x:c r="G70" s="12" t="str">
        <x:v>SRC-01; SRC-03</x:v>
      </x:c>
      <x:c r="H70" s="12" t="str">
        <x:v>NOT RUN</x:v>
      </x:c>
      <x:c r="I70" s="12" t="str"/>
    </x:row>
    <x:row r="71" ht="112" customHeight="1">
      <x:c r="A71" s="12" t="str">
        <x:v>P03-03</x:v>
      </x:c>
      <x:c r="B71" s="12" t="str">
        <x:v>P03</x:v>
      </x:c>
      <x:c r="C71" s="12" t="str">
        <x:v>Safe question visibility</x:v>
      </x:c>
      <x:c r="D71" s="12" t="str">
        <x:v>Relevant questions and explanations appear at correct branches; hidden values do not silently change results.</x:v>
      </x:c>
      <x:c r="E71" s="12" t="str">
        <x:v>Branch traces and submitted payloads.</x:v>
      </x:c>
      <x:c r="F71" s="12" t="str">
        <x:v>G + B + R</x:v>
      </x:c>
      <x:c r="G71" s="12" t="str">
        <x:v>SRC-01; SRC-03</x:v>
      </x:c>
      <x:c r="H71" s="12" t="str">
        <x:v>NOT RUN</x:v>
      </x:c>
      <x:c r="I71" s="12" t="str"/>
    </x:row>
    <x:row r="72" ht="112" customHeight="1">
      <x:c r="A72" s="12" t="str">
        <x:v>P03-04</x:v>
      </x:c>
      <x:c r="B72" s="12" t="str">
        <x:v>P03</x:v>
      </x:c>
      <x:c r="C72" s="12" t="str">
        <x:v>Known answer reuse</x:v>
      </x:c>
      <x:c r="D72" s="12" t="str">
        <x:v>Known screening/account/case facts arrive populated or visible with edit access, not as new mandatory empty questions.</x:v>
      </x:c>
      <x:c r="E72" s="12" t="str">
        <x:v>Before-entry controls and fact provenance.</x:v>
      </x:c>
      <x:c r="F72" s="12" t="str">
        <x:v>G + B + R</x:v>
      </x:c>
      <x:c r="G72" s="12" t="str">
        <x:v>SRC-01; SRC-03</x:v>
      </x:c>
      <x:c r="H72" s="12" t="str">
        <x:v>NOT RUN</x:v>
      </x:c>
      <x:c r="I72" s="12" t="str"/>
    </x:row>
    <x:row r="73" ht="112" customHeight="1">
      <x:c r="A73" s="12" t="str">
        <x:v>P03-05</x:v>
      </x:c>
      <x:c r="B73" s="12" t="str">
        <x:v>P03</x:v>
      </x:c>
      <x:c r="C73" s="12" t="str">
        <x:v>No duplicates or alias conflicts</x:v>
      </x:c>
      <x:c r="D73" s="12" t="str">
        <x:v>The same fact is not reasked under a different name/stage; aliases resolve consistently.</x:v>
      </x:c>
      <x:c r="E73" s="12" t="str">
        <x:v>Cross-stage fact/action ledger.</x:v>
      </x:c>
      <x:c r="F73" s="12" t="str">
        <x:v>G + B + R</x:v>
      </x:c>
      <x:c r="G73" s="12" t="str">
        <x:v>SRC-01; SRC-03</x:v>
      </x:c>
      <x:c r="H73" s="12" t="str">
        <x:v>NOT RUN</x:v>
      </x:c>
      <x:c r="I73" s="12" t="str"/>
    </x:row>
    <x:row r="74" ht="112" customHeight="1">
      <x:c r="A74" s="12" t="str">
        <x:v>P03-06</x:v>
      </x:c>
      <x:c r="B74" s="12" t="str">
        <x:v>P03</x:v>
      </x:c>
      <x:c r="C74" s="12" t="str">
        <x:v>Deterministic derivation</x:v>
      </x:c>
      <x:c r="D74" s="12" t="str">
        <x:v>Derived facts have valid inputs and no participant work; unknown inputs do not create fake precision.</x:v>
      </x:c>
      <x:c r="E74" s="12" t="str">
        <x:v>Derivation and boundary cases.</x:v>
      </x:c>
      <x:c r="F74" s="12" t="str">
        <x:v>G + B + R</x:v>
      </x:c>
      <x:c r="G74" s="12" t="str">
        <x:v>SRC-01; SRC-03</x:v>
      </x:c>
      <x:c r="H74" s="12" t="str">
        <x:v>NOT RUN</x:v>
      </x:c>
      <x:c r="I74" s="12" t="str"/>
    </x:row>
    <x:row r="75" ht="112" customHeight="1">
      <x:c r="A75" s="12" t="str">
        <x:v>P03-07</x:v>
      </x:c>
      <x:c r="B75" s="12" t="str">
        <x:v>P03</x:v>
      </x:c>
      <x:c r="C75" s="12" t="str">
        <x:v>Actual workload</x:v>
      </x:c>
      <x:c r="D75" s="12" t="str">
        <x:v>Count new manual facts, choices, backtracking and errors across the whole journey; grouping alone is not success.</x:v>
      </x:c>
      <x:c r="E75" s="12" t="str">
        <x:v>Real browser workload before filling and screenshots.</x:v>
      </x:c>
      <x:c r="F75" s="12" t="str">
        <x:v>G + B + R</x:v>
      </x:c>
      <x:c r="G75" s="12" t="str">
        <x:v>SRC-01; SRC-03</x:v>
      </x:c>
      <x:c r="H75" s="12" t="str">
        <x:v>NOT RUN</x:v>
      </x:c>
      <x:c r="I75" s="12" t="str"/>
    </x:row>
    <x:row r="76" ht="112" customHeight="1">
      <x:c r="A76" s="12" t="str">
        <x:v>P03-08</x:v>
      </x:c>
      <x:c r="B76" s="12" t="str">
        <x:v>P03</x:v>
      </x:c>
      <x:c r="C76" s="12" t="str">
        <x:v>Conditional fact behavior</x:v>
      </x:c>
      <x:c r="D76" s="12" t="str">
        <x:v>Dependants appear and disappear correctly, saved irrelevant answers do not leak into packets, and required conditions remain enforced.</x:v>
      </x:c>
      <x:c r="E76" s="12" t="str">
        <x:v>Condition-on/off/edit cases.</x:v>
      </x:c>
      <x:c r="F76" s="12" t="str">
        <x:v>G + B + R</x:v>
      </x:c>
      <x:c r="G76" s="12" t="str">
        <x:v>SRC-01; SRC-03</x:v>
      </x:c>
      <x:c r="H76" s="12" t="str">
        <x:v>NOT RUN</x:v>
      </x:c>
      <x:c r="I76" s="12" t="str"/>
    </x:row>
    <x:row r="77" ht="112" customHeight="1">
      <x:c r="A77" s="12" t="str">
        <x:v>P03-09</x:v>
      </x:c>
      <x:c r="B77" s="12" t="str">
        <x:v>P03</x:v>
      </x:c>
      <x:c r="C77" s="12" t="str">
        <x:v>Generation versus filing tasks</x:v>
      </x:c>
      <x:c r="D77" s="12" t="str">
        <x:v>True eligibility/generation facts remain gates; later filing/execution tasks stay available without becoming unnecessary intake.</x:v>
      </x:c>
      <x:c r="E77" s="12" t="str">
        <x:v>Requirement-stage matrix and UI gates.</x:v>
      </x:c>
      <x:c r="F77" s="12" t="str">
        <x:v>G + B + R</x:v>
      </x:c>
      <x:c r="G77" s="12" t="str">
        <x:v>SRC-01; SRC-03</x:v>
      </x:c>
      <x:c r="H77" s="12" t="str">
        <x:v>NOT RUN</x:v>
      </x:c>
      <x:c r="I77" s="12" t="str"/>
    </x:row>
    <x:row r="78" ht="112" customHeight="1">
      <x:c r="A78" s="12" t="str">
        <x:v>P03-10</x:v>
      </x:c>
      <x:c r="B78" s="12" t="str">
        <x:v>P03</x:v>
      </x:c>
      <x:c r="C78" s="12" t="str">
        <x:v>Unknown-information help</x:v>
      </x:c>
      <x:c r="D78" s="12" t="str">
        <x:v>Participants can understand and obtain genuinely missing records without false defaults, dead ends or surprise postpay intake.</x:v>
      </x:c>
      <x:c r="E78" s="12" t="str">
        <x:v>Unknown-answer UX and route-specific help.</x:v>
      </x:c>
      <x:c r="F78" s="12" t="str">
        <x:v>G + B + R</x:v>
      </x:c>
      <x:c r="G78" s="12" t="str">
        <x:v>SRC-01; SRC-03</x:v>
      </x:c>
      <x:c r="H78" s="12" t="str">
        <x:v>NOT RUN</x:v>
      </x:c>
      <x:c r="I78" s="12" t="str"/>
    </x:row>
    <x:row r="79" ht="112" customHeight="1">
      <x:c r="A79" s="12" t="str">
        <x:v>P03-11</x:v>
      </x:c>
      <x:c r="B79" s="12" t="str">
        <x:v>P03</x:v>
      </x:c>
      <x:c r="C79" s="12" t="str">
        <x:v>Field semantics</x:v>
      </x:c>
      <x:c r="D79" s="12" t="str">
        <x:v>Dates, money, addresses, names, zero/false values, multi-charges, arrays and explicit unknowns validate and persist correctly.</x:v>
      </x:c>
      <x:c r="E79" s="12" t="str">
        <x:v>Field boundary and locale cases.</x:v>
      </x:c>
      <x:c r="F79" s="12" t="str">
        <x:v>G + B + R</x:v>
      </x:c>
      <x:c r="G79" s="12" t="str">
        <x:v>SRC-01; SRC-03</x:v>
      </x:c>
      <x:c r="H79" s="12" t="str">
        <x:v>NOT RUN</x:v>
      </x:c>
      <x:c r="I79" s="12" t="str"/>
    </x:row>
    <x:row r="80" ht="112" customHeight="1">
      <x:c r="A80" s="12" t="str">
        <x:v>P03-12</x:v>
      </x:c>
      <x:c r="B80" s="12" t="str">
        <x:v>P03</x:v>
      </x:c>
      <x:c r="C80" s="12" t="str">
        <x:v>Auth and exact result claim</x:v>
      </x:c>
      <x:c r="D80" s="12" t="str">
        <x:v>Anonymous screening becomes the correct authenticated participant-owned matter exactly once; wrong/expired claim is refused.</x:v>
      </x:c>
      <x:c r="E80" s="12" t="str">
        <x:v>Pending ID, session, item and ownership trace.</x:v>
      </x:c>
      <x:c r="F80" s="12" t="str">
        <x:v>G + B + R</x:v>
      </x:c>
      <x:c r="G80" s="12" t="str">
        <x:v>SRC-01; SRC-03</x:v>
      </x:c>
      <x:c r="H80" s="12" t="str">
        <x:v>NOT RUN</x:v>
      </x:c>
      <x:c r="I80" s="12" t="str"/>
    </x:row>
    <x:row r="81" ht="112" customHeight="1">
      <x:c r="A81" s="12" t="str">
        <x:v>P03-13</x:v>
      </x:c>
      <x:c r="B81" s="12" t="str">
        <x:v>P03</x:v>
      </x:c>
      <x:c r="C81" s="12" t="str">
        <x:v>Account recovery and session expiry</x:v>
      </x:c>
      <x:c r="D81" s="12" t="str">
        <x:v>Sign-up/verification/reset/resend/expiry preserve permitted progress, reject replay and return to the intended matter.</x:v>
      </x:c>
      <x:c r="E81" s="12" t="str">
        <x:v>Controlled account lifecycle cases.</x:v>
      </x:c>
      <x:c r="F81" s="12" t="str">
        <x:v>G + B + R</x:v>
      </x:c>
      <x:c r="G81" s="12" t="str">
        <x:v>SRC-01; SRC-03</x:v>
      </x:c>
      <x:c r="H81" s="12" t="str">
        <x:v>NOT RUN</x:v>
      </x:c>
      <x:c r="I81" s="12" t="str"/>
    </x:row>
    <x:row r="82" ht="112" customHeight="1">
      <x:c r="A82" s="12" t="str">
        <x:v>P03-14</x:v>
      </x:c>
      <x:c r="B82" s="12" t="str">
        <x:v>P03</x:v>
      </x:c>
      <x:c r="C82" s="12" t="str">
        <x:v>Server-confirmed saves</x:v>
      </x:c>
      <x:c r="D82" s="12" t="str">
        <x:v>Saved indicator follows durable server success; lost/failed requests never claim saved or discard recoverable work.</x:v>
      </x:c>
      <x:c r="E82" s="12" t="str">
        <x:v>Request/response/reload evidence.</x:v>
      </x:c>
      <x:c r="F82" s="12" t="str">
        <x:v>G + B + R</x:v>
      </x:c>
      <x:c r="G82" s="12" t="str">
        <x:v>SRC-01; SRC-03</x:v>
      </x:c>
      <x:c r="H82" s="12" t="str">
        <x:v>NOT RUN</x:v>
      </x:c>
      <x:c r="I82" s="12" t="str"/>
    </x:row>
    <x:row r="83" ht="112" customHeight="1">
      <x:c r="A83" s="12" t="str">
        <x:v>P03-15</x:v>
      </x:c>
      <x:c r="B83" s="12" t="str">
        <x:v>P03</x:v>
      </x:c>
      <x:c r="C83" s="12" t="str">
        <x:v>Save resume and old matters</x:v>
      </x:c>
      <x:c r="D83" s="12" t="str">
        <x:v>Refresh, leave/return, another device and pre-change saved matters preserve answers and valid entitlements.</x:v>
      </x:c>
      <x:c r="E83" s="12" t="str">
        <x:v>Persisted-state comparison by matter.</x:v>
      </x:c>
      <x:c r="F83" s="12" t="str">
        <x:v>G + B + R</x:v>
      </x:c>
      <x:c r="G83" s="12" t="str">
        <x:v>SRC-01; SRC-03</x:v>
      </x:c>
      <x:c r="H83" s="12" t="str">
        <x:v>NOT RUN</x:v>
      </x:c>
      <x:c r="I83" s="12" t="str"/>
    </x:row>
    <x:row r="84" ht="112" customHeight="1">
      <x:c r="A84" s="12" t="str">
        <x:v>P03-16</x:v>
      </x:c>
      <x:c r="B84" s="12" t="str">
        <x:v>P03</x:v>
      </x:c>
      <x:c r="C84" s="12" t="str">
        <x:v>Concurrent edits</x:v>
      </x:c>
      <x:c r="D84" s="12" t="str">
        <x:v>Two tabs or staff/participant edits avoid silent lost updates, conflicting approvals and stale values.</x:v>
      </x:c>
      <x:c r="E84" s="12" t="str">
        <x:v>Conflict/revision cases.</x:v>
      </x:c>
      <x:c r="F84" s="12" t="str">
        <x:v>G + B + R</x:v>
      </x:c>
      <x:c r="G84" s="12" t="str">
        <x:v>SRC-01; SRC-03</x:v>
      </x:c>
      <x:c r="H84" s="12" t="str">
        <x:v>NOT RUN</x:v>
      </x:c>
      <x:c r="I84" s="12" t="str"/>
    </x:row>
    <x:row r="85" ht="112" customHeight="1">
      <x:c r="A85" s="12" t="str">
        <x:v>P03-17</x:v>
      </x:c>
      <x:c r="B85" s="12" t="str">
        <x:v>P03</x:v>
      </x:c>
      <x:c r="C85" s="12" t="str">
        <x:v>Review exactness</x:v>
      </x:c>
      <x:c r="D85" s="12" t="str">
        <x:v>Review shows important actual values and provenance; edit targets the exact field and returns without resetting others.</x:v>
      </x:c>
      <x:c r="E85" s="12" t="str">
        <x:v>Review/edit/review trace.</x:v>
      </x:c>
      <x:c r="F85" s="12" t="str">
        <x:v>G + B + R</x:v>
      </x:c>
      <x:c r="G85" s="12" t="str">
        <x:v>SRC-01; SRC-03</x:v>
      </x:c>
      <x:c r="H85" s="12" t="str">
        <x:v>NOT RUN</x:v>
      </x:c>
      <x:c r="I85" s="12" t="str"/>
    </x:row>
    <x:row r="86" ht="112" customHeight="1">
      <x:c r="A86" s="12" t="str">
        <x:v>P03-18</x:v>
      </x:c>
      <x:c r="B86" s="12" t="str">
        <x:v>P03</x:v>
      </x:c>
      <x:c r="C86" s="12" t="str">
        <x:v>Material-edit invalidation</x:v>
      </x:c>
      <x:c r="D86" s="12" t="str">
        <x:v>Material changes invalidate stale verification/output authority and re-evaluate safely without duplicate charge or case creation.</x:v>
      </x:c>
      <x:c r="E86" s="12" t="str">
        <x:v>Old/new hashes, status and payment readback.</x:v>
      </x:c>
      <x:c r="F86" s="12" t="str">
        <x:v>G + B + R</x:v>
      </x:c>
      <x:c r="G86" s="12" t="str">
        <x:v>SRC-01; SRC-03</x:v>
      </x:c>
      <x:c r="H86" s="12" t="str">
        <x:v>NOT RUN</x:v>
      </x:c>
      <x:c r="I86" s="12" t="str"/>
    </x:row>
    <x:row r="87" ht="112" customHeight="1">
      <x:c r="A87" s="12" t="str">
        <x:v>P03-19</x:v>
      </x:c>
      <x:c r="B87" s="12" t="str">
        <x:v>P03</x:v>
      </x:c>
      <x:c r="C87" s="12" t="str">
        <x:v>Section usability</x:v>
      </x:c>
      <x:c r="D87" s="12" t="str">
        <x:v>Sections have useful grouping/progress and readable density; excessive scrolling/fields are inspected, not auto-passed.</x:v>
      </x:c>
      <x:c r="E87" s="12" t="str">
        <x:v>Desktop/mobile screen-state review.</x:v>
      </x:c>
      <x:c r="F87" s="12" t="str">
        <x:v>G + B + R</x:v>
      </x:c>
      <x:c r="G87" s="12" t="str">
        <x:v>SRC-01; SRC-03</x:v>
      </x:c>
      <x:c r="H87" s="12" t="str">
        <x:v>NOT RUN</x:v>
      </x:c>
      <x:c r="I87" s="12" t="str"/>
    </x:row>
    <x:row r="88" ht="112" customHeight="1">
      <x:c r="A88" s="12" t="str">
        <x:v>P03-20</x:v>
      </x:c>
      <x:c r="B88" s="12" t="str">
        <x:v>P03</x:v>
      </x:c>
      <x:c r="C88" s="12" t="str">
        <x:v>Ready versus incomplete</x:v>
      </x:c>
      <x:c r="D88" s="12" t="str">
        <x:v>Status and CTA agree with actual requirements, authority, entitlement and job state; incomplete is never ready.</x:v>
      </x:c>
      <x:c r="E88" s="12" t="str">
        <x:v>State matrix across Briefcase/review/API.</x:v>
      </x:c>
      <x:c r="F88" s="12" t="str">
        <x:v>G + B + R</x:v>
      </x:c>
      <x:c r="G88" s="12" t="str">
        <x:v>SRC-01; SRC-03</x:v>
      </x:c>
      <x:c r="H88" s="12" t="str">
        <x:v>NOT RUN</x:v>
      </x:c>
      <x:c r="I88" s="12" t="str"/>
    </x:row>
    <x:row r="89" ht="112" customHeight="1">
      <x:c r="A89" s="12" t="str">
        <x:v>P03-21</x:v>
      </x:c>
      <x:c r="B89" s="12" t="str">
        <x:v>P03</x:v>
      </x:c>
      <x:c r="C89" s="12" t="str">
        <x:v>EN/ES value parity</x:v>
      </x:c>
      <x:c r="D89" s="12" t="str">
        <x:v>Locale switching preserves canonical facts and equivalent questions/help/errors; translated labels do not become wrong data values.</x:v>
      </x:c>
      <x:c r="E89" s="12" t="str">
        <x:v>Paired locale case and packet-input comparison.</x:v>
      </x:c>
      <x:c r="F89" s="12" t="str">
        <x:v>G + B + R</x:v>
      </x:c>
      <x:c r="G89" s="12" t="str">
        <x:v>SRC-01; SRC-03</x:v>
      </x:c>
      <x:c r="H89" s="12" t="str">
        <x:v>NOT RUN</x:v>
      </x:c>
      <x:c r="I89" s="12" t="str"/>
    </x:row>
    <x:row r="90" ht="112" customHeight="1">
      <x:c r="A90" s="12" t="str">
        <x:v>P03-22</x:v>
      </x:c>
      <x:c r="B90" s="12" t="str">
        <x:v>P03</x:v>
      </x:c>
      <x:c r="C90" s="12" t="str">
        <x:v>Keyboard and error recovery</x:v>
      </x:c>
      <x:c r="D90" s="12" t="str">
        <x:v>Focus, labels, validation summaries and back navigation work throughout forms without trapping or losing data.</x:v>
      </x:c>
      <x:c r="E90" s="12" t="str">
        <x:v>Keyboard trace plus accessibility findings.</x:v>
      </x:c>
      <x:c r="F90" s="12" t="str">
        <x:v>G + B + R</x:v>
      </x:c>
      <x:c r="G90" s="12" t="str">
        <x:v>SRC-01; SRC-03</x:v>
      </x:c>
      <x:c r="H90" s="12" t="str">
        <x:v>NOT RUN</x:v>
      </x:c>
      <x:c r="I90" s="12" t="str"/>
    </x:row>
    <x:row r="91" ht="112" customHeight="1">
      <x:c r="A91" s="12" t="str">
        <x:v>P04-01</x:v>
      </x:c>
      <x:c r="B91" s="12" t="str">
        <x:v>P04</x:v>
      </x:c>
      <x:c r="C91" s="12" t="str">
        <x:v>Source file identity</x:v>
      </x:c>
      <x:c r="D91" s="12" t="str">
        <x:v>The exact official source/form edition and hash are present; renamed or newer bytes are not silently treated as the approved source.</x:v>
      </x:c>
      <x:c r="E91" s="12" t="str">
        <x:v>File hash, publisher, version and custody.</x:v>
      </x:c>
      <x:c r="F91" s="12" t="str">
        <x:v>G + R + H-L</x:v>
      </x:c>
      <x:c r="G91" s="12" t="str">
        <x:v>SRC-01; SRC-02; SRC-05</x:v>
      </x:c>
      <x:c r="H91" s="12" t="str">
        <x:v>NOT RUN</x:v>
      </x:c>
      <x:c r="I91" s="12" t="str"/>
    </x:row>
    <x:row r="92" ht="112" customHeight="1">
      <x:c r="A92" s="12" t="str">
        <x:v>P04-02</x:v>
      </x:c>
      <x:c r="B92" s="12" t="str">
        <x:v>P04</x:v>
      </x:c>
      <x:c r="C92" s="12" t="str">
        <x:v>Primary document vehicle</x:v>
      </x:c>
      <x:c r="D92" s="12" t="str">
        <x:v>Each generated filing is the required instrument; generic court-facing report pages cannot substitute.</x:v>
      </x:c>
      <x:c r="E92" s="12" t="str">
        <x:v>Source and actual canonical PDF comparison.</x:v>
      </x:c>
      <x:c r="F92" s="12" t="str">
        <x:v>G + R + H-L</x:v>
      </x:c>
      <x:c r="G92" s="12" t="str">
        <x:v>SRC-01; SRC-02; SRC-05</x:v>
      </x:c>
      <x:c r="H92" s="12" t="str">
        <x:v>NOT RUN</x:v>
      </x:c>
      <x:c r="I92" s="12" t="str"/>
    </x:row>
    <x:row r="93" ht="112" customHeight="1">
      <x:c r="A93" s="12" t="str">
        <x:v>P04-03</x:v>
      </x:c>
      <x:c r="B93" s="12" t="str">
        <x:v>P04</x:v>
      </x:c>
      <x:c r="C93" s="12" t="str">
        <x:v>Caption and case mode</x:v>
      </x:c>
      <x:c r="D93" s="12" t="str">
        <x:v>Court, division, parties, role alignment and case-number terminology/placement match the exact case and local convention.</x:v>
      </x:c>
      <x:c r="E93" s="12" t="str">
        <x:v>Page-by-page caption review.</x:v>
      </x:c>
      <x:c r="F93" s="12" t="str">
        <x:v>G + R + H-L</x:v>
      </x:c>
      <x:c r="G93" s="12" t="str">
        <x:v>SRC-01; SRC-02; SRC-05</x:v>
      </x:c>
      <x:c r="H93" s="12" t="str">
        <x:v>NOT RUN</x:v>
      </x:c>
      <x:c r="I93" s="12" t="str"/>
    </x:row>
    <x:row r="94" ht="112" customHeight="1">
      <x:c r="A94" s="12" t="str">
        <x:v>P04-04</x:v>
      </x:c>
      <x:c r="B94" s="12" t="str">
        <x:v>P04</x:v>
      </x:c>
      <x:c r="C94" s="12" t="str">
        <x:v>Statutory allegations</x:v>
      </x:c>
      <x:c r="D94" s="12" t="str">
        <x:v>Required elements and supporting factual allegations appear in the correct component without unsupported assertions.</x:v>
      </x:c>
      <x:c r="E94" s="12" t="str">
        <x:v>Source-to-paragraph matrix.</x:v>
      </x:c>
      <x:c r="F94" s="12" t="str">
        <x:v>G + R + H-L</x:v>
      </x:c>
      <x:c r="G94" s="12" t="str">
        <x:v>SRC-01; SRC-02; SRC-05</x:v>
      </x:c>
      <x:c r="H94" s="12" t="str">
        <x:v>NOT RUN</x:v>
      </x:c>
      <x:c r="I94" s="12" t="str"/>
    </x:row>
    <x:row r="95" ht="112" customHeight="1">
      <x:c r="A95" s="12" t="str">
        <x:v>P04-05</x:v>
      </x:c>
      <x:c r="B95" s="12" t="str">
        <x:v>P04</x:v>
      </x:c>
      <x:c r="C95" s="12" t="str">
        <x:v>Participant/matter mapping</x:v>
      </x:c>
      <x:c r="D95" s="12" t="str">
        <x:v>Every name, date, count, charge, case identifier and address matches the verified matter across all components.</x:v>
      </x:c>
      <x:c r="E95" s="12" t="str">
        <x:v>Field-to-output mapping and synthetic expected data.</x:v>
      </x:c>
      <x:c r="F95" s="12" t="str">
        <x:v>G + R + H-L</x:v>
      </x:c>
      <x:c r="G95" s="12" t="str">
        <x:v>SRC-01; SRC-02; SRC-05</x:v>
      </x:c>
      <x:c r="H95" s="12" t="str">
        <x:v>NOT RUN</x:v>
      </x:c>
      <x:c r="I95" s="12" t="str"/>
    </x:row>
    <x:row r="96" ht="112" customHeight="1">
      <x:c r="A96" s="12" t="str">
        <x:v>P04-06</x:v>
      </x:c>
      <x:c r="B96" s="12" t="str">
        <x:v>P04</x:v>
      </x:c>
      <x:c r="C96" s="12" t="str">
        <x:v>Official PDF field placement</x:v>
      </x:c>
      <x:c r="D96" s="12" t="str">
        <x:v>Values bind correct widgets/printed blanks, not neighboring labels; full name versus name part and date component errors are absent.</x:v>
      </x:c>
      <x:c r="E96" s="12" t="str">
        <x:v>Widget geometry and rendered appearance.</x:v>
      </x:c>
      <x:c r="F96" s="12" t="str">
        <x:v>G + R + H-L</x:v>
      </x:c>
      <x:c r="G96" s="12" t="str">
        <x:v>SRC-01; SRC-02; SRC-05</x:v>
      </x:c>
      <x:c r="H96" s="12" t="str">
        <x:v>NOT RUN</x:v>
      </x:c>
      <x:c r="I96" s="12" t="str"/>
    </x:row>
    <x:row r="97" ht="112" customHeight="1">
      <x:c r="A97" s="12" t="str">
        <x:v>P04-07</x:v>
      </x:c>
      <x:c r="B97" s="12" t="str">
        <x:v>P04</x:v>
      </x:c>
      <x:c r="C97" s="12" t="str">
        <x:v>Protected field treatment</x:v>
      </x:c>
      <x:c r="D97" s="12" t="str">
        <x:v>Judicial/clerk/prosecutor/notary fields remain appropriately unexecuted; legitimate proposed text is distinguished from completed acts.</x:v>
      </x:c>
      <x:c r="E97" s="12" t="str">
        <x:v>Ownership matrix and output comparison.</x:v>
      </x:c>
      <x:c r="F97" s="12" t="str">
        <x:v>G + R + H-L</x:v>
      </x:c>
      <x:c r="G97" s="12" t="str">
        <x:v>SRC-01; SRC-02; SRC-05</x:v>
      </x:c>
      <x:c r="H97" s="12" t="str">
        <x:v>NOT RUN</x:v>
      </x:c>
      <x:c r="I97" s="12" t="str"/>
    </x:row>
    <x:row r="98" ht="112" customHeight="1">
      <x:c r="A98" s="12" t="str">
        <x:v>P04-08</x:v>
      </x:c>
      <x:c r="B98" s="12" t="str">
        <x:v>P04</x:v>
      </x:c>
      <x:c r="C98" s="12" t="str">
        <x:v>Execution blocks</x:v>
      </x:c>
      <x:c r="D98" s="12" t="str">
        <x:v>Signer, pro se/contact block, oath/jurat/declaration and signature spacing follow exact authority; no generic mandatory verification.</x:v>
      </x:c>
      <x:c r="E98" s="12" t="str">
        <x:v>Execution-page visual/source inspection.</x:v>
      </x:c>
      <x:c r="F98" s="12" t="str">
        <x:v>G + R + H-L</x:v>
      </x:c>
      <x:c r="G98" s="12" t="str">
        <x:v>SRC-01; SRC-02; SRC-05</x:v>
      </x:c>
      <x:c r="H98" s="12" t="str">
        <x:v>NOT RUN</x:v>
      </x:c>
      <x:c r="I98" s="12" t="str"/>
    </x:row>
    <x:row r="99" ht="112" customHeight="1">
      <x:c r="A99" s="12" t="str">
        <x:v>P04-09</x:v>
      </x:c>
      <x:c r="B99" s="12" t="str">
        <x:v>P04</x:v>
      </x:c>
      <x:c r="C99" s="12" t="str">
        <x:v>Proposed order validity</x:v>
      </x:c>
      <x:c r="D99" s="12" t="str">
        <x:v>Order is required/allowed, independently signable and actionable; correct findings, agencies, scope and distribution; no generic statewide substitute.</x:v>
      </x:c>
      <x:c r="E99" s="12" t="str">
        <x:v>Order-specific legal and visual review.</x:v>
      </x:c>
      <x:c r="F99" s="12" t="str">
        <x:v>G + R + H-L</x:v>
      </x:c>
      <x:c r="G99" s="12" t="str">
        <x:v>SRC-01; SRC-02; SRC-05</x:v>
      </x:c>
      <x:c r="H99" s="12" t="str">
        <x:v>NOT RUN</x:v>
      </x:c>
      <x:c r="I99" s="12" t="str"/>
    </x:row>
    <x:row r="100" ht="112" customHeight="1">
      <x:c r="A100" s="12" t="str">
        <x:v>P04-10</x:v>
      </x:c>
      <x:c r="B100" s="12" t="str">
        <x:v>P04</x:v>
      </x:c>
      <x:c r="C100" s="12" t="str">
        <x:v>Service certificates</x:v>
      </x:c>
      <x:c r="D100" s="12" t="str">
        <x:v>Certificate names actual intended/completed act correctly; recipient/method/date are sourced; future service is not falsely certified.</x:v>
      </x:c>
      <x:c r="E100" s="12" t="str">
        <x:v>Certificate text and service-state cases.</x:v>
      </x:c>
      <x:c r="F100" s="12" t="str">
        <x:v>G + R + H-L</x:v>
      </x:c>
      <x:c r="G100" s="12" t="str">
        <x:v>SRC-01; SRC-02; SRC-05</x:v>
      </x:c>
      <x:c r="H100" s="12" t="str">
        <x:v>NOT RUN</x:v>
      </x:c>
      <x:c r="I100" s="12" t="str"/>
    </x:row>
    <x:row r="101" ht="112" customHeight="1">
      <x:c r="A101" s="12" t="str">
        <x:v>P04-11</x:v>
      </x:c>
      <x:c r="B101" s="12" t="str">
        <x:v>P04</x:v>
      </x:c>
      <x:c r="C101" s="12" t="str">
        <x:v>Attachments and evidence</x:v>
      </x:c>
      <x:c r="D101" s="12" t="str">
        <x:v>External records are included only from supplied sources, labeled correctly, and never fabricated as pleadings.</x:v>
      </x:c>
      <x:c r="E101" s="12" t="str">
        <x:v>Attachment provenance and assembled set.</x:v>
      </x:c>
      <x:c r="F101" s="12" t="str">
        <x:v>G + R + H-L</x:v>
      </x:c>
      <x:c r="G101" s="12" t="str">
        <x:v>SRC-01; SRC-02; SRC-05</x:v>
      </x:c>
      <x:c r="H101" s="12" t="str">
        <x:v>NOT RUN</x:v>
      </x:c>
      <x:c r="I101" s="12" t="str"/>
    </x:row>
    <x:row r="102" ht="112" customHeight="1">
      <x:c r="A102" s="12" t="str">
        <x:v>P04-12</x:v>
      </x:c>
      <x:c r="B102" s="12" t="str">
        <x:v>P04</x:v>
      </x:c>
      <x:c r="C102" s="12" t="str">
        <x:v>Court-facing purity</x:v>
      </x:c>
      <x:c r="D102" s="12" t="str">
        <x:v>No product branding, disclaimers, QA notes, internal instructions or unresolved template tokens leak onto filing pages.</x:v>
      </x:c>
      <x:c r="E102" s="12" t="str">
        <x:v>Full text and visual review; legitimate source text distinguished.</x:v>
      </x:c>
      <x:c r="F102" s="12" t="str">
        <x:v>G + R + H-L</x:v>
      </x:c>
      <x:c r="G102" s="12" t="str">
        <x:v>SRC-01; SRC-02; SRC-05</x:v>
      </x:c>
      <x:c r="H102" s="12" t="str">
        <x:v>NOT RUN</x:v>
      </x:c>
      <x:c r="I102" s="12" t="str"/>
    </x:row>
    <x:row r="103" ht="112" customHeight="1">
      <x:c r="A103" s="12" t="str">
        <x:v>P04-13</x:v>
      </x:c>
      <x:c r="B103" s="12" t="str">
        <x:v>P04</x:v>
      </x:c>
      <x:c r="C103" s="12" t="str">
        <x:v>Cross-jurisdiction contamination</x:v>
      </x:c>
      <x:c r="D103" s="12" t="str">
        <x:v>No imported court/agency/sovereign boilerplate; legitimate historical out-of-state facts are not false-positive blocked.</x:v>
      </x:c>
      <x:c r="E103" s="12" t="str">
        <x:v>Origin-aware rule and wrong-jurisdiction mutation.</x:v>
      </x:c>
      <x:c r="F103" s="12" t="str">
        <x:v>G + R + H-L</x:v>
      </x:c>
      <x:c r="G103" s="12" t="str">
        <x:v>SRC-01; SRC-02; SRC-05</x:v>
      </x:c>
      <x:c r="H103" s="12" t="str">
        <x:v>NOT RUN</x:v>
      </x:c>
      <x:c r="I103" s="12" t="str"/>
    </x:row>
    <x:row r="104" ht="112" customHeight="1">
      <x:c r="A104" s="12" t="str">
        <x:v>P04-14</x:v>
      </x:c>
      <x:c r="B104" s="12" t="str">
        <x:v>P04</x:v>
      </x:c>
      <x:c r="C104" s="12" t="str">
        <x:v>Privacy redaction</x:v>
      </x:c>
      <x:c r="D104" s="12" t="str">
        <x:v>Protected values are absent from public text, hidden layers, metadata, form fields and attachments; confidential components remain separate.</x:v>
      </x:c>
      <x:c r="E104" s="12" t="str">
        <x:v>Extraction, metadata/widget and image inspection.</x:v>
      </x:c>
      <x:c r="F104" s="12" t="str">
        <x:v>G + R + H-L</x:v>
      </x:c>
      <x:c r="G104" s="12" t="str">
        <x:v>SRC-01; SRC-02; SRC-05</x:v>
      </x:c>
      <x:c r="H104" s="12" t="str">
        <x:v>NOT RUN</x:v>
      </x:c>
      <x:c r="I104" s="12" t="str"/>
    </x:row>
    <x:row r="105" ht="112" customHeight="1">
      <x:c r="A105" s="12" t="str">
        <x:v>P04-15</x:v>
      </x:c>
      <x:c r="B105" s="12" t="str">
        <x:v>P04</x:v>
      </x:c>
      <x:c r="C105" s="12" t="str">
        <x:v>Long and multilingual data</x:v>
      </x:c>
      <x:c r="D105" s="12" t="str">
        <x:v>Long names, addresses, multiple charges and supported characters remain complete and readable; no clipping, silent truncation or character dropping.</x:v>
      </x:c>
      <x:c r="E105" s="12" t="str">
        <x:v>Long-data EN/ES/Unicode boundary PDFs.</x:v>
      </x:c>
      <x:c r="F105" s="12" t="str">
        <x:v>G + R + H-L</x:v>
      </x:c>
      <x:c r="G105" s="12" t="str">
        <x:v>SRC-01; SRC-02; SRC-05</x:v>
      </x:c>
      <x:c r="H105" s="12" t="str">
        <x:v>NOT RUN</x:v>
      </x:c>
      <x:c r="I105" s="12" t="str"/>
    </x:row>
    <x:row r="106" ht="112" customHeight="1">
      <x:c r="A106" s="12" t="str">
        <x:v>P04-16</x:v>
      </x:c>
      <x:c r="B106" s="12" t="str">
        <x:v>P04</x:v>
      </x:c>
      <x:c r="C106" s="12" t="str">
        <x:v>Typography and pagination</x:v>
      </x:c>
      <x:c r="D106" s="12" t="str">
        <x:v>Court-compliant paper/margins/font/spacing/page numbers; no overlaps, bad line breaks, orphan headings/signatures or filler pages.</x:v>
      </x:c>
      <x:c r="E106" s="12" t="str">
        <x:v>Every rendered page with measured geometry where needed.</x:v>
      </x:c>
      <x:c r="F106" s="12" t="str">
        <x:v>G + R + H-L</x:v>
      </x:c>
      <x:c r="G106" s="12" t="str">
        <x:v>SRC-01; SRC-02; SRC-05</x:v>
      </x:c>
      <x:c r="H106" s="12" t="str">
        <x:v>NOT RUN</x:v>
      </x:c>
      <x:c r="I106" s="12" t="str"/>
    </x:row>
    <x:row r="107" ht="112" customHeight="1">
      <x:c r="A107" s="12" t="str">
        <x:v>P04-17</x:v>
      </x:c>
      <x:c r="B107" s="12" t="str">
        <x:v>P04</x:v>
      </x:c>
      <x:c r="C107" s="12" t="str">
        <x:v>PDF validity and appearances</x:v>
      </x:c>
      <x:c r="D107" s="12" t="str">
        <x:v>PDF opens, renders and prints; AcroForm/XFA/flattening/appearance behavior is appropriate; two-engine review for risky form classes.</x:v>
      </x:c>
      <x:c r="E107" s="12" t="str">
        <x:v>Structural report and renderer parity evidence.</x:v>
      </x:c>
      <x:c r="F107" s="12" t="str">
        <x:v>G + R + H-L</x:v>
      </x:c>
      <x:c r="G107" s="12" t="str">
        <x:v>SRC-01; SRC-02; SRC-05</x:v>
      </x:c>
      <x:c r="H107" s="12" t="str">
        <x:v>NOT RUN</x:v>
      </x:c>
      <x:c r="I107" s="12" t="str"/>
    </x:row>
    <x:row r="108" ht="112" customHeight="1">
      <x:c r="A108" s="12" t="str">
        <x:v>P04-18</x:v>
      </x:c>
      <x:c r="B108" s="12" t="str">
        <x:v>P04</x:v>
      </x:c>
      <x:c r="C108" s="12" t="str">
        <x:v>Missing-required-data refusal</x:v>
      </x:c>
      <x:c r="D108" s="12" t="str">
        <x:v>Absent legal identifiers/required allegations cannot yield a releasable packet; legitimate blank execution fields remain allowed.</x:v>
      </x:c>
      <x:c r="E108" s="12" t="str">
        <x:v>Named refusal and positive blank-field cases.</x:v>
      </x:c>
      <x:c r="F108" s="12" t="str">
        <x:v>G + R + H-L</x:v>
      </x:c>
      <x:c r="G108" s="12" t="str">
        <x:v>SRC-01; SRC-02; SRC-05</x:v>
      </x:c>
      <x:c r="H108" s="12" t="str">
        <x:v>NOT RUN</x:v>
      </x:c>
      <x:c r="I108" s="12" t="str"/>
    </x:row>
    <x:row r="109" ht="112" customHeight="1">
      <x:c r="A109" s="12" t="str">
        <x:v>P04-19</x:v>
      </x:c>
      <x:c r="B109" s="12" t="str">
        <x:v>P04</x:v>
      </x:c>
      <x:c r="C109" s="12" t="str">
        <x:v>Set completeness and ordering</x:v>
      </x:c>
      <x:c r="D109" s="12" t="str">
        <x:v>All required components/continuations/covers appear in correct order, without duplicate, obsolete or wrong-stage documents.</x:v>
      </x:c>
      <x:c r="E109" s="12" t="str">
        <x:v>Manifest-to-assembled-page comparison.</x:v>
      </x:c>
      <x:c r="F109" s="12" t="str">
        <x:v>G + R + H-L</x:v>
      </x:c>
      <x:c r="G109" s="12" t="str">
        <x:v>SRC-01; SRC-02; SRC-05</x:v>
      </x:c>
      <x:c r="H109" s="12" t="str">
        <x:v>NOT RUN</x:v>
      </x:c>
      <x:c r="I109" s="12" t="str"/>
    </x:row>
    <x:row r="110" ht="112" customHeight="1">
      <x:c r="A110" s="12" t="str">
        <x:v>P04-20</x:v>
      </x:c>
      <x:c r="B110" s="12" t="str">
        <x:v>P04</x:v>
      </x:c>
      <x:c r="C110" s="12" t="str">
        <x:v>Actual delivered bytes</x:v>
      </x:c>
      <x:c r="D110" s="12" t="str">
        <x:v>Inspected artifacts match downloads from the audited journey and worker; fixture-only PDFs cannot stand in for delivered output.</x:v>
      </x:c>
      <x:c r="E110" s="12" t="str">
        <x:v>SHA-256 chain job/storage/download/review.</x:v>
      </x:c>
      <x:c r="F110" s="12" t="str">
        <x:v>G + R + H-L</x:v>
      </x:c>
      <x:c r="G110" s="12" t="str">
        <x:v>SRC-01; SRC-02; SRC-05</x:v>
      </x:c>
      <x:c r="H110" s="12" t="str">
        <x:v>NOT RUN</x:v>
      </x:c>
      <x:c r="I110" s="12" t="str"/>
    </x:row>
    <x:row r="111" ht="112" customHeight="1">
      <x:c r="A111" s="12" t="str">
        <x:v>P04-21</x:v>
      </x:c>
      <x:c r="B111" s="12" t="str">
        <x:v>P04</x:v>
      </x:c>
      <x:c r="C111" s="12" t="str">
        <x:v>Artifact variant visual coverage</x:v>
      </x:c>
      <x:c r="D111" s="12" t="str">
        <x:v>Every unique canonical, boundary, local-form, language and layout-stress artifact is reviewed page by page; identical bytes reuse the same review explicitly.</x:v>
      </x:c>
      <x:c r="E111" s="12" t="str">
        <x:v>Artifact/page coverage records and hash references.</x:v>
      </x:c>
      <x:c r="F111" s="12" t="str">
        <x:v>G + R + H-L</x:v>
      </x:c>
      <x:c r="G111" s="12" t="str">
        <x:v>SRC-01; SRC-02; SRC-05</x:v>
      </x:c>
      <x:c r="H111" s="12" t="str">
        <x:v>NOT RUN</x:v>
      </x:c>
      <x:c r="I111" s="12" t="str"/>
    </x:row>
    <x:row r="112" ht="112" customHeight="1">
      <x:c r="A112" s="12" t="str">
        <x:v>P04-22</x:v>
      </x:c>
      <x:c r="B112" s="12" t="str">
        <x:v>P04</x:v>
      </x:c>
      <x:c r="C112" s="12" t="str">
        <x:v>Professional/legal acceptance</x:v>
      </x:c>
      <x:c r="D112" s="12" t="str">
        <x:v>Applicable qualified approval covers the exact final legal content/output; clerk-return risks identified in the audit are closed.</x:v>
      </x:c>
      <x:c r="E112" s="12" t="str">
        <x:v>Source/format checklist and approval applicability.</x:v>
      </x:c>
      <x:c r="F112" s="12" t="str">
        <x:v>G + R + H-L</x:v>
      </x:c>
      <x:c r="G112" s="12" t="str">
        <x:v>SRC-01; SRC-02; SRC-05</x:v>
      </x:c>
      <x:c r="H112" s="12" t="str">
        <x:v>NOT RUN</x:v>
      </x:c>
      <x:c r="I112" s="12" t="str"/>
    </x:row>
    <x:row r="113" ht="112" customHeight="1">
      <x:c r="A113" s="12" t="str">
        <x:v>P04-23</x:v>
      </x:c>
      <x:c r="B113" s="12" t="str">
        <x:v>P04</x:v>
      </x:c>
      <x:c r="C113" s="12" t="str">
        <x:v>Historical packet handling</x:v>
      </x:c>
      <x:c r="D113" s="12" t="str">
        <x:v>Old entitled documents are not silently overwritten; corrected regeneration and unsafe legacy access follow accepted version/entitlement policy.</x:v>
      </x:c>
      <x:c r="E113" s="12" t="str">
        <x:v>Historical/current artifact and access cases.</x:v>
      </x:c>
      <x:c r="F113" s="12" t="str">
        <x:v>G + R + H-L</x:v>
      </x:c>
      <x:c r="G113" s="12" t="str">
        <x:v>SRC-01; SRC-02; SRC-05</x:v>
      </x:c>
      <x:c r="H113" s="12" t="str">
        <x:v>NOT RUN</x:v>
      </x:c>
      <x:c r="I113" s="12" t="str"/>
    </x:row>
    <x:row r="114" ht="112" customHeight="1">
      <x:c r="A114" s="12" t="str">
        <x:v>P04-24</x:v>
      </x:c>
      <x:c r="B114" s="12" t="str">
        <x:v>P04</x:v>
      </x:c>
      <x:c r="C114" s="12" t="str">
        <x:v>Informational translations</x:v>
      </x:c>
      <x:c r="D114" s="12" t="str">
        <x:v>Non-fileable translated companions remain reference-only and accompany the required filing-language form; never auto-file a forbidden translation.</x:v>
      </x:c>
      <x:c r="E114" s="12" t="str">
        <x:v>Source notice and full/court-only assembly.</x:v>
      </x:c>
      <x:c r="F114" s="12" t="str">
        <x:v>G + R + H-L</x:v>
      </x:c>
      <x:c r="G114" s="12" t="str">
        <x:v>SRC-01; SRC-02; SRC-05</x:v>
      </x:c>
      <x:c r="H114" s="12" t="str">
        <x:v>NOT RUN</x:v>
      </x:c>
      <x:c r="I114" s="12" t="str"/>
    </x:row>
    <x:row r="115" ht="112" customHeight="1">
      <x:c r="A115" s="12" t="str">
        <x:v>P05-01</x:v>
      </x:c>
      <x:c r="B115" s="12" t="str">
        <x:v>P05</x:v>
      </x:c>
      <x:c r="C115" s="12" t="str">
        <x:v>Approved design fidelity</x:v>
      </x:c>
      <x:c r="D115" s="12" t="str">
        <x:v>Overview, Next Steps, Filing Checklist and Fees &amp; Costs use the supplied restrained visual system without a new design per state.</x:v>
      </x:c>
      <x:c r="E115" s="12" t="str">
        <x:v>Reference versus actual EN/ES page images.</x:v>
      </x:c>
      <x:c r="F115" s="12" t="str">
        <x:v>G + R</x:v>
      </x:c>
      <x:c r="G115" s="12" t="str">
        <x:v>SRC-01; SRC-02; SRC-04</x:v>
      </x:c>
      <x:c r="H115" s="12" t="str">
        <x:v>NOT RUN</x:v>
      </x:c>
      <x:c r="I115" s="12" t="str"/>
    </x:row>
    <x:row r="116" ht="112" customHeight="1">
      <x:c r="A116" s="12" t="str">
        <x:v>P05-02</x:v>
      </x:c>
      <x:c r="B116" s="12" t="str">
        <x:v>P05</x:v>
      </x:c>
      <x:c r="C116" s="12" t="str">
        <x:v>Universal renderer coverage</x:v>
      </x:c>
      <x:c r="D116" s="12" t="str">
        <x:v>All intended packet pathways consume the same normalized supplemental architecture; no grandfathered or generic-fallback states.</x:v>
      </x:c>
      <x:c r="E116" s="12" t="str">
        <x:v>Call path and pathway render matrix.</x:v>
      </x:c>
      <x:c r="F116" s="12" t="str">
        <x:v>G + R</x:v>
      </x:c>
      <x:c r="G116" s="12" t="str">
        <x:v>SRC-01; SRC-02; SRC-04</x:v>
      </x:c>
      <x:c r="H116" s="12" t="str">
        <x:v>NOT RUN</x:v>
      </x:c>
      <x:c r="I116" s="12" t="str"/>
    </x:row>
    <x:row r="117" ht="112" customHeight="1">
      <x:c r="A117" s="12" t="str">
        <x:v>P05-03</x:v>
      </x:c>
      <x:c r="B117" s="12" t="str">
        <x:v>P05</x:v>
      </x:c>
      <x:c r="C117" s="12" t="str">
        <x:v>Correct identity and contents</x:v>
      </x:c>
      <x:c r="D117" s="12" t="str">
        <x:v>Participant, date, jurisdiction, court, remedy and included document list match actual verified matter and assembly.</x:v>
      </x:c>
      <x:c r="E117" s="12" t="str">
        <x:v>Guide-to-packet data comparison.</x:v>
      </x:c>
      <x:c r="F117" s="12" t="str">
        <x:v>G + R</x:v>
      </x:c>
      <x:c r="G117" s="12" t="str">
        <x:v>SRC-01; SRC-02; SRC-04</x:v>
      </x:c>
      <x:c r="H117" s="12" t="str">
        <x:v>NOT RUN</x:v>
      </x:c>
      <x:c r="I117" s="12" t="str"/>
    </x:row>
    <x:row r="118" ht="112" customHeight="1">
      <x:c r="A118" s="12" t="str">
        <x:v>P05-04</x:v>
      </x:c>
      <x:c r="B118" s="12" t="str">
        <x:v>P05</x:v>
      </x:c>
      <x:c r="C118" s="12" t="str">
        <x:v>Filing sequence and actor</x:v>
      </x:c>
      <x:c r="D118" s="12" t="str">
        <x:v>Steps reflect actual route order, responsible person, deadline anchor and court/agency channel; illustrated template order is not universal law.</x:v>
      </x:c>
      <x:c r="E118" s="12" t="str">
        <x:v>Guide sentences against P02 source expectations.</x:v>
      </x:c>
      <x:c r="F118" s="12" t="str">
        <x:v>G + R</x:v>
      </x:c>
      <x:c r="G118" s="12" t="str">
        <x:v>SRC-01; SRC-02; SRC-04</x:v>
      </x:c>
      <x:c r="H118" s="12" t="str">
        <x:v>NOT RUN</x:v>
      </x:c>
      <x:c r="I118" s="12" t="str"/>
    </x:row>
    <x:row r="119" ht="112" customHeight="1">
      <x:c r="A119" s="12" t="str">
        <x:v>P05-05</x:v>
      </x:c>
      <x:c r="B119" s="12" t="str">
        <x:v>P05</x:v>
      </x:c>
      <x:c r="C119" s="12" t="str">
        <x:v>Checklist exactness</x:v>
      </x:c>
      <x:c r="D119" s="12" t="str">
        <x:v>Required signatures, copies, exhibits, filing/service and follow-up tasks align with real components and conditions.</x:v>
      </x:c>
      <x:c r="E119" s="12" t="str">
        <x:v>Document/task matrix and guide output.</x:v>
      </x:c>
      <x:c r="F119" s="12" t="str">
        <x:v>G + R</x:v>
      </x:c>
      <x:c r="G119" s="12" t="str">
        <x:v>SRC-01; SRC-02; SRC-04</x:v>
      </x:c>
      <x:c r="H119" s="12" t="str">
        <x:v>NOT RUN</x:v>
      </x:c>
      <x:c r="I119" s="12" t="str"/>
    </x:row>
    <x:row r="120" ht="112" customHeight="1">
      <x:c r="A120" s="12" t="str">
        <x:v>P05-06</x:v>
      </x:c>
      <x:c r="B120" s="12" t="str">
        <x:v>P05</x:v>
      </x:c>
      <x:c r="C120" s="12" t="str">
        <x:v>Fee accuracy</x:v>
      </x:c>
      <x:c r="D120" s="12" t="str">
        <x:v>Product purchase, government, records, certification and service costs are separate; total/range math, unknowns and fee waivers are truthful.</x:v>
      </x:c>
      <x:c r="E120" s="12" t="str">
        <x:v>Source fee values and computed rendered totals.</x:v>
      </x:c>
      <x:c r="F120" s="12" t="str">
        <x:v>G + R</x:v>
      </x:c>
      <x:c r="G120" s="12" t="str">
        <x:v>SRC-01; SRC-02; SRC-04</x:v>
      </x:c>
      <x:c r="H120" s="12" t="str">
        <x:v>NOT RUN</x:v>
      </x:c>
      <x:c r="I120" s="12" t="str"/>
    </x:row>
    <x:row r="121" ht="112" customHeight="1">
      <x:c r="A121" s="12" t="str">
        <x:v>P05-07</x:v>
      </x:c>
      <x:c r="B121" s="12" t="str">
        <x:v>P05</x:v>
      </x:c>
      <x:c r="C121" s="12" t="str">
        <x:v>Source date and currentness</x:v>
      </x:c>
      <x:c r="D121" s="12" t="str">
        <x:v>Relevant official fee/procedure sources and verification dates are correct; no stale claim presented as current.</x:v>
      </x:c>
      <x:c r="E121" s="12" t="str">
        <x:v>Source references and rendered date.</x:v>
      </x:c>
      <x:c r="F121" s="12" t="str">
        <x:v>G + R</x:v>
      </x:c>
      <x:c r="G121" s="12" t="str">
        <x:v>SRC-01; SRC-02; SRC-04</x:v>
      </x:c>
      <x:c r="H121" s="12" t="str">
        <x:v>NOT RUN</x:v>
      </x:c>
      <x:c r="I121" s="12" t="str"/>
    </x:row>
    <x:row r="122" ht="112" customHeight="1">
      <x:c r="A122" s="12" t="str">
        <x:v>P05-08</x:v>
      </x:c>
      <x:c r="B122" s="12" t="str">
        <x:v>P05</x:v>
      </x:c>
      <x:c r="C122" s="12" t="str">
        <x:v>Missing guidance data</x:v>
      </x:c>
      <x:c r="D122" s="12" t="str">
        <x:v>Absent required content is an explicit defect, not blank fields or generic filler that claims packet completeness.</x:v>
      </x:c>
      <x:c r="E122" s="12" t="str">
        <x:v>Missing-data negative and accurate output.</x:v>
      </x:c>
      <x:c r="F122" s="12" t="str">
        <x:v>G + R</x:v>
      </x:c>
      <x:c r="G122" s="12" t="str">
        <x:v>SRC-01; SRC-02; SRC-04</x:v>
      </x:c>
      <x:c r="H122" s="12" t="str">
        <x:v>NOT RUN</x:v>
      </x:c>
      <x:c r="I122" s="12" t="str"/>
    </x:row>
    <x:row r="123" ht="112" customHeight="1">
      <x:c r="A123" s="12" t="str">
        <x:v>P05-09</x:v>
      </x:c>
      <x:c r="B123" s="12" t="str">
        <x:v>P05</x:v>
      </x:c>
      <x:c r="C123" s="12" t="str">
        <x:v>Full and court-only split</x:v>
      </x:c>
      <x:c r="D123" s="12" t="str">
        <x:v>Guide pages appear only in full output; court-only bytes/components are not contaminated or changed by guide assembly.</x:v>
      </x:c>
      <x:c r="E123" s="12" t="str">
        <x:v>Paired full/court-only extraction and rendering.</x:v>
      </x:c>
      <x:c r="F123" s="12" t="str">
        <x:v>G + R</x:v>
      </x:c>
      <x:c r="G123" s="12" t="str">
        <x:v>SRC-01; SRC-02; SRC-04</x:v>
      </x:c>
      <x:c r="H123" s="12" t="str">
        <x:v>NOT RUN</x:v>
      </x:c>
      <x:c r="I123" s="12" t="str"/>
    </x:row>
    <x:row r="124" ht="112" customHeight="1">
      <x:c r="A124" s="12" t="str">
        <x:v>P05-10</x:v>
      </x:c>
      <x:c r="B124" s="12" t="str">
        <x:v>P05</x:v>
      </x:c>
      <x:c r="C124" s="12" t="str">
        <x:v>Do-not-file designation</x:v>
      </x:c>
      <x:c r="D124" s="12" t="str">
        <x:v>Every guide page is clearly marked KEEP FOR YOUR RECORDS / DO NOT FILE (equivalent Spanish); filing pages are not.</x:v>
      </x:c>
      <x:c r="E124" s="12" t="str">
        <x:v>Every guide and court page review.</x:v>
      </x:c>
      <x:c r="F124" s="12" t="str">
        <x:v>G + R</x:v>
      </x:c>
      <x:c r="G124" s="12" t="str">
        <x:v>SRC-01; SRC-02; SRC-04</x:v>
      </x:c>
      <x:c r="H124" s="12" t="str">
        <x:v>NOT RUN</x:v>
      </x:c>
      <x:c r="I124" s="12" t="str"/>
    </x:row>
    <x:row r="125" ht="112" customHeight="1">
      <x:c r="A125" s="12" t="str">
        <x:v>P05-11</x:v>
      </x:c>
      <x:c r="B125" s="12" t="str">
        <x:v>P05</x:v>
      </x:c>
      <x:c r="C125" s="12" t="str">
        <x:v>Brand asset packaging</x:v>
      </x:c>
      <x:c r="D125" s="12" t="str">
        <x:v>Logo and necessary render assets work without runtime network/browser fetch in the actual worker.</x:v>
      </x:c>
      <x:c r="E125" s="12" t="str">
        <x:v>Isolated image render and packaged-assets evidence.</x:v>
      </x:c>
      <x:c r="F125" s="12" t="str">
        <x:v>G + R</x:v>
      </x:c>
      <x:c r="G125" s="12" t="str">
        <x:v>SRC-01; SRC-02; SRC-04</x:v>
      </x:c>
      <x:c r="H125" s="12" t="str">
        <x:v>NOT RUN</x:v>
      </x:c>
      <x:c r="I125" s="12" t="str"/>
    </x:row>
    <x:row r="126" ht="112" customHeight="1">
      <x:c r="A126" s="12" t="str">
        <x:v>P05-12</x:v>
      </x:c>
      <x:c r="B126" s="12" t="str">
        <x:v>P05</x:v>
      </x:c>
      <x:c r="C126" s="12" t="str">
        <x:v>Readable overflow</x:v>
      </x:c>
      <x:c r="D126" s="12" t="str">
        <x:v>Four sections may span more pages; long tables, instructions, headings and page numbers remain readable and correct.</x:v>
      </x:c>
      <x:c r="E126" s="12" t="str">
        <x:v>Boundary layouts and full page census.</x:v>
      </x:c>
      <x:c r="F126" s="12" t="str">
        <x:v>G + R</x:v>
      </x:c>
      <x:c r="G126" s="12" t="str">
        <x:v>SRC-01; SRC-02; SRC-04</x:v>
      </x:c>
      <x:c r="H126" s="12" t="str">
        <x:v>NOT RUN</x:v>
      </x:c>
      <x:c r="I126" s="12" t="str"/>
    </x:row>
    <x:row r="127" ht="112" customHeight="1">
      <x:c r="A127" s="12" t="str">
        <x:v>P05-13</x:v>
      </x:c>
      <x:c r="B127" s="12" t="str">
        <x:v>P05</x:v>
      </x:c>
      <x:c r="C127" s="12" t="str">
        <x:v>Spanish substantive parity</x:v>
      </x:c>
      <x:c r="D127" s="12" t="str">
        <x:v>Guide meaning, costs, procedure and action labels match EN, not an old template or English fallback.</x:v>
      </x:c>
      <x:c r="E127" s="12" t="str">
        <x:v>Sentence-level locale alignment review.</x:v>
      </x:c>
      <x:c r="F127" s="12" t="str">
        <x:v>G + R</x:v>
      </x:c>
      <x:c r="G127" s="12" t="str">
        <x:v>SRC-01; SRC-02; SRC-04</x:v>
      </x:c>
      <x:c r="H127" s="12" t="str">
        <x:v>NOT RUN</x:v>
      </x:c>
      <x:c r="I127" s="12" t="str"/>
    </x:row>
    <x:row r="128" ht="112" customHeight="1">
      <x:c r="A128" s="12" t="str">
        <x:v>P05-14</x:v>
      </x:c>
      <x:c r="B128" s="12" t="str">
        <x:v>P05</x:v>
      </x:c>
      <x:c r="C128" s="12" t="str">
        <x:v>Links and portals</x:v>
      </x:c>
      <x:c r="D128" s="12" t="str">
        <x:v>Visible URLs/QRs and clickable targets are correct official destinations and do not expose private tokens.</x:v>
      </x:c>
      <x:c r="E128" s="12" t="str">
        <x:v>Target validation and rendered link metadata.</x:v>
      </x:c>
      <x:c r="F128" s="12" t="str">
        <x:v>G + R</x:v>
      </x:c>
      <x:c r="G128" s="12" t="str">
        <x:v>SRC-01; SRC-02; SRC-04</x:v>
      </x:c>
      <x:c r="H128" s="12" t="str">
        <x:v>NOT RUN</x:v>
      </x:c>
      <x:c r="I128" s="12" t="str"/>
    </x:row>
    <x:row r="129" ht="112" customHeight="1">
      <x:c r="A129" s="12" t="str">
        <x:v>P05-15</x:v>
      </x:c>
      <x:c r="B129" s="12" t="str">
        <x:v>P05</x:v>
      </x:c>
      <x:c r="C129" s="12" t="str">
        <x:v>Versioned provenance</x:v>
      </x:c>
      <x:c r="D129" s="12" t="str">
        <x:v>Guide/template version changes with material output; artifact records identify exact version and sources.</x:v>
      </x:c>
      <x:c r="E129" s="12" t="str">
        <x:v>Version/hash evidence.</x:v>
      </x:c>
      <x:c r="F129" s="12" t="str">
        <x:v>G + R</x:v>
      </x:c>
      <x:c r="G129" s="12" t="str">
        <x:v>SRC-01; SRC-02; SRC-04</x:v>
      </x:c>
      <x:c r="H129" s="12" t="str">
        <x:v>NOT RUN</x:v>
      </x:c>
      <x:c r="I129" s="12" t="str"/>
    </x:row>
    <x:row r="130" ht="112" customHeight="1">
      <x:c r="A130" s="12" t="str">
        <x:v>P05-16</x:v>
      </x:c>
      <x:c r="B130" s="12" t="str">
        <x:v>P05</x:v>
      </x:c>
      <x:c r="C130" s="12" t="str">
        <x:v>Rejected-filing guidance</x:v>
      </x:c>
      <x:c r="D130" s="12" t="str">
        <x:v>Return/rejection, missing attachment, opposition and follow-up steps are practical and within self-help scope.</x:v>
      </x:c>
      <x:c r="E130" s="12" t="str">
        <x:v>Route-specific exception instructions.</x:v>
      </x:c>
      <x:c r="F130" s="12" t="str">
        <x:v>G + R</x:v>
      </x:c>
      <x:c r="G130" s="12" t="str">
        <x:v>SRC-01; SRC-02; SRC-04</x:v>
      </x:c>
      <x:c r="H130" s="12" t="str">
        <x:v>NOT RUN</x:v>
      </x:c>
      <x:c r="I130" s="12" t="str"/>
    </x:row>
    <x:row r="131" ht="112" customHeight="1">
      <x:c r="A131" s="12" t="str">
        <x:v>P05-17</x:v>
      </x:c>
      <x:c r="B131" s="12" t="str">
        <x:v>P05</x:v>
      </x:c>
      <x:c r="C131" s="12" t="str">
        <x:v>No false completed acts</x:v>
      </x:c>
      <x:c r="D131" s="12" t="str">
        <x:v>Guide does not claim filed, served, approved or cleared based solely on generation/payment/download.</x:v>
      </x:c>
      <x:c r="E131" s="12" t="str">
        <x:v>UI/message/guide state comparison.</x:v>
      </x:c>
      <x:c r="F131" s="12" t="str">
        <x:v>G + R</x:v>
      </x:c>
      <x:c r="G131" s="12" t="str">
        <x:v>SRC-01; SRC-02; SRC-04</x:v>
      </x:c>
      <x:c r="H131" s="12" t="str">
        <x:v>NOT RUN</x:v>
      </x:c>
      <x:c r="I131" s="12" t="str"/>
    </x:row>
    <x:row r="132" ht="112" customHeight="1">
      <x:c r="A132" s="12" t="str">
        <x:v>P06-01</x:v>
      </x:c>
      <x:c r="B132" s="12" t="str">
        <x:v>P06</x:v>
      </x:c>
      <x:c r="C132" s="12" t="str">
        <x:v>All offered DTC routes</x:v>
      </x:c>
      <x:c r="D132" s="12" t="str">
        <x:v>Every intended paid route/variant reaches its actual authorized checkout and delivered packet in acceptance, not only a sample route.</x:v>
      </x:c>
      <x:c r="E132" s="12" t="str">
        <x:v>Same-matter E2E case for each applicable route/language.</x:v>
      </x:c>
      <x:c r="F132" s="12" t="str">
        <x:v>G + B + R</x:v>
      </x:c>
      <x:c r="G132" s="12" t="str">
        <x:v>SRC-01; SRC-03; EXT-STRIPE</x:v>
      </x:c>
      <x:c r="H132" s="12" t="str">
        <x:v>NOT RUN</x:v>
      </x:c>
      <x:c r="I132" s="12" t="str"/>
    </x:row>
    <x:row r="133" ht="112" customHeight="1">
      <x:c r="A133" s="12" t="str">
        <x:v>P06-02</x:v>
      </x:c>
      <x:c r="B133" s="12" t="str">
        <x:v>P06</x:v>
      </x:c>
      <x:c r="C133" s="12" t="str">
        <x:v>Price and product binding</x:v>
      </x:c>
      <x:c r="D133" s="12" t="str">
        <x:v>Amount, currency, product and eligibility derive server-side from the approved current contract, not client flags.</x:v>
      </x:c>
      <x:c r="E133" s="12" t="str">
        <x:v>Checkout request tampering and provider readback.</x:v>
      </x:c>
      <x:c r="F133" s="12" t="str">
        <x:v>G + B + R</x:v>
      </x:c>
      <x:c r="G133" s="12" t="str">
        <x:v>SRC-01; SRC-03; EXT-STRIPE</x:v>
      </x:c>
      <x:c r="H133" s="12" t="str">
        <x:v>NOT RUN</x:v>
      </x:c>
      <x:c r="I133" s="12" t="str"/>
    </x:row>
    <x:row r="134" ht="112" customHeight="1">
      <x:c r="A134" s="12" t="str">
        <x:v>P06-03</x:v>
      </x:c>
      <x:c r="B134" s="12" t="str">
        <x:v>P06</x:v>
      </x:c>
      <x:c r="C134" s="12" t="str">
        <x:v>Review before purchase</x:v>
      </x:c>
      <x:c r="D134" s="12" t="str">
        <x:v>True route/generation prerequisites and current verification gate checkout; free steps do not initiate payment.</x:v>
      </x:c>
      <x:c r="E134" s="12" t="str">
        <x:v>Boundary UI/API cases and provider absence proof.</x:v>
      </x:c>
      <x:c r="F134" s="12" t="str">
        <x:v>G + B + R</x:v>
      </x:c>
      <x:c r="G134" s="12" t="str">
        <x:v>SRC-01; SRC-03; EXT-STRIPE</x:v>
      </x:c>
      <x:c r="H134" s="12" t="str">
        <x:v>NOT RUN</x:v>
      </x:c>
      <x:c r="I134" s="12" t="str"/>
    </x:row>
    <x:row r="135" ht="112" customHeight="1">
      <x:c r="A135" s="12" t="str">
        <x:v>P06-04</x:v>
      </x:c>
      <x:c r="B135" s="12" t="str">
        <x:v>P06</x:v>
      </x:c>
      <x:c r="C135" s="12" t="str">
        <x:v>Payment settlement authority</x:v>
      </x:c>
      <x:c r="D135" s="12" t="str">
        <x:v>Signed provider events and correct provider objects establish payment; browser returns or writable row fields cannot mark paid.</x:v>
      </x:c>
      <x:c r="E135" s="12" t="str">
        <x:v>Signature, event, amount/currency and privilege tests.</x:v>
      </x:c>
      <x:c r="F135" s="12" t="str">
        <x:v>G + B + R</x:v>
      </x:c>
      <x:c r="G135" s="12" t="str">
        <x:v>SRC-01; SRC-03; EXT-STRIPE</x:v>
      </x:c>
      <x:c r="H135" s="12" t="str">
        <x:v>NOT RUN</x:v>
      </x:c>
      <x:c r="I135" s="12" t="str"/>
    </x:row>
    <x:row r="136" ht="112" customHeight="1">
      <x:c r="A136" s="12" t="str">
        <x:v>P06-05</x:v>
      </x:c>
      <x:c r="B136" s="12" t="str">
        <x:v>P06</x:v>
      </x:c>
      <x:c r="C136" s="12" t="str">
        <x:v>Exact user and matter</x:v>
      </x:c>
      <x:c r="D136" s="12" t="str">
        <x:v>Order, checkout, verification, payment, render, stored packet and download all bind the same participant/matter.</x:v>
      </x:c>
      <x:c r="E136" s="12" t="str">
        <x:v>Correlated identity/hash chain.</x:v>
      </x:c>
      <x:c r="F136" s="12" t="str">
        <x:v>G + B + R</x:v>
      </x:c>
      <x:c r="G136" s="12" t="str">
        <x:v>SRC-01; SRC-03; EXT-STRIPE</x:v>
      </x:c>
      <x:c r="H136" s="12" t="str">
        <x:v>NOT RUN</x:v>
      </x:c>
      <x:c r="I136" s="12" t="str"/>
    </x:row>
    <x:row r="137" ht="112" customHeight="1">
      <x:c r="A137" s="12" t="str">
        <x:v>P06-06</x:v>
      </x:c>
      <x:c r="B137" s="12" t="str">
        <x:v>P06</x:v>
      </x:c>
      <x:c r="C137" s="12" t="str">
        <x:v>Double clicks and concurrency</x:v>
      </x:c>
      <x:c r="D137" s="12" t="str">
        <x:v>Repeated checkout clicks, parallel tabs and duplicate requests cannot charge twice or create unrelated orders.</x:v>
      </x:c>
      <x:c r="E137" s="12" t="str">
        <x:v>Controlled concurrent request/provider records.</x:v>
      </x:c>
      <x:c r="F137" s="12" t="str">
        <x:v>G + B + R</x:v>
      </x:c>
      <x:c r="G137" s="12" t="str">
        <x:v>SRC-01; SRC-03; EXT-STRIPE</x:v>
      </x:c>
      <x:c r="H137" s="12" t="str">
        <x:v>NOT RUN</x:v>
      </x:c>
      <x:c r="I137" s="12" t="str"/>
    </x:row>
    <x:row r="138" ht="112" customHeight="1">
      <x:c r="A138" s="12" t="str">
        <x:v>P06-07</x:v>
      </x:c>
      <x:c r="B138" s="12" t="str">
        <x:v>P06</x:v>
      </x:c>
      <x:c r="C138" s="12" t="str">
        <x:v>Webhook replay/order</x:v>
      </x:c>
      <x:c r="D138" s="12" t="str">
        <x:v>Duplicate, delayed, reordered or retried events reconcile idempotently; old events do not undo newer valid state.</x:v>
      </x:c>
      <x:c r="E138" s="12" t="str">
        <x:v>Event sequence and durable ledger results.</x:v>
      </x:c>
      <x:c r="F138" s="12" t="str">
        <x:v>G + B + R</x:v>
      </x:c>
      <x:c r="G138" s="12" t="str">
        <x:v>SRC-01; SRC-03; EXT-STRIPE</x:v>
      </x:c>
      <x:c r="H138" s="12" t="str">
        <x:v>NOT RUN</x:v>
      </x:c>
      <x:c r="I138" s="12" t="str"/>
    </x:row>
    <x:row r="139" ht="112" customHeight="1">
      <x:c r="A139" s="12" t="str">
        <x:v>P06-08</x:v>
      </x:c>
      <x:c r="B139" s="12" t="str">
        <x:v>P06</x:v>
      </x:c>
      <x:c r="C139" s="12" t="str">
        <x:v>Declines and cancellation</x:v>
      </x:c>
      <x:c r="D139" s="12" t="str">
        <x:v>Decline, authentication failure, cancelled/expired session and abandoned checkout preserve work and provide usable retry.</x:v>
      </x:c>
      <x:c r="E139" s="12" t="str">
        <x:v>Sandbox scenario browser and provider state.</x:v>
      </x:c>
      <x:c r="F139" s="12" t="str">
        <x:v>G + B + R</x:v>
      </x:c>
      <x:c r="G139" s="12" t="str">
        <x:v>SRC-01; SRC-03; EXT-STRIPE</x:v>
      </x:c>
      <x:c r="H139" s="12" t="str">
        <x:v>NOT RUN</x:v>
      </x:c>
      <x:c r="I139" s="12" t="str"/>
    </x:row>
    <x:row r="140" ht="112" customHeight="1">
      <x:c r="A140" s="12" t="str">
        <x:v>P06-09</x:v>
      </x:c>
      <x:c r="B140" s="12" t="str">
        <x:v>P06</x:v>
      </x:c>
      <x:c r="C140" s="12" t="str">
        <x:v>Discount and zero-charge cases</x:v>
      </x:c>
      <x:c r="D140" s="12" t="str">
        <x:v>Only configured supported discounts/zero totals grant the correct order-bound entitlement; no fabricated paid amount.</x:v>
      </x:c>
      <x:c r="E140" s="12" t="str">
        <x:v>Applicable provider-backed cases or sourced N/A.</x:v>
      </x:c>
      <x:c r="F140" s="12" t="str">
        <x:v>G + B + R</x:v>
      </x:c>
      <x:c r="G140" s="12" t="str">
        <x:v>SRC-01; SRC-03; EXT-STRIPE</x:v>
      </x:c>
      <x:c r="H140" s="12" t="str">
        <x:v>NOT RUN</x:v>
      </x:c>
      <x:c r="I140" s="12" t="str"/>
    </x:row>
    <x:row r="141" ht="112" customHeight="1">
      <x:c r="A141" s="12" t="str">
        <x:v>P06-10</x:v>
      </x:c>
      <x:c r="B141" s="12" t="str">
        <x:v>P06</x:v>
      </x:c>
      <x:c r="C141" s="12" t="str">
        <x:v>Return-before-webhook</x:v>
      </x:c>
      <x:c r="D141" s="12" t="str">
        <x:v>Early return/polling is honest pending state and later converges without a second payment or administrator edit.</x:v>
      </x:c>
      <x:c r="E141" s="12" t="str">
        <x:v>Timed return/event/ready trace.</x:v>
      </x:c>
      <x:c r="F141" s="12" t="str">
        <x:v>G + B + R</x:v>
      </x:c>
      <x:c r="G141" s="12" t="str">
        <x:v>SRC-01; SRC-03; EXT-STRIPE</x:v>
      </x:c>
      <x:c r="H141" s="12" t="str">
        <x:v>NOT RUN</x:v>
      </x:c>
      <x:c r="I141" s="12" t="str"/>
    </x:row>
    <x:row r="142" ht="112" customHeight="1">
      <x:c r="A142" s="12" t="str">
        <x:v>P06-11</x:v>
      </x:c>
      <x:c r="B142" s="12" t="str">
        <x:v>P06</x:v>
      </x:c>
      <x:c r="C142" s="12" t="str">
        <x:v>Refund and dispute handling</x:v>
      </x:c>
      <x:c r="D142" s="12" t="str">
        <x:v>Refund/dispute behavior follows the approved entitlement policy; pending/repeated notifications do not duplicate reversals.</x:v>
      </x:c>
      <x:c r="E142" s="12" t="str">
        <x:v>Sandbox or isolated replay and policy mapping.</x:v>
      </x:c>
      <x:c r="F142" s="12" t="str">
        <x:v>G + B + R</x:v>
      </x:c>
      <x:c r="G142" s="12" t="str">
        <x:v>SRC-01; SRC-03; EXT-STRIPE</x:v>
      </x:c>
      <x:c r="H142" s="12" t="str">
        <x:v>NOT RUN</x:v>
      </x:c>
      <x:c r="I142" s="12" t="str"/>
    </x:row>
    <x:row r="143" ht="112" customHeight="1">
      <x:c r="A143" s="12" t="str">
        <x:v>P06-12</x:v>
      </x:c>
      <x:c r="B143" s="12" t="str">
        <x:v>P06</x:v>
      </x:c>
      <x:c r="C143" s="12" t="str">
        <x:v>Render enqueue boundary</x:v>
      </x:c>
      <x:c r="D143" s="12" t="str">
        <x:v>Only current authorized facts/entitlement create the bound job; unrenderable/held/legacy kinds cannot sneak through.</x:v>
      </x:c>
      <x:c r="E143" s="12" t="str">
        <x:v>Positive plus no-record/held/incorrect-binding cases.</x:v>
      </x:c>
      <x:c r="F143" s="12" t="str">
        <x:v>G + B + R</x:v>
      </x:c>
      <x:c r="G143" s="12" t="str">
        <x:v>SRC-01; SRC-03; EXT-STRIPE</x:v>
      </x:c>
      <x:c r="H143" s="12" t="str">
        <x:v>NOT RUN</x:v>
      </x:c>
      <x:c r="I143" s="12" t="str"/>
    </x:row>
    <x:row r="144" ht="112" customHeight="1">
      <x:c r="A144" s="12" t="str">
        <x:v>P06-13</x:v>
      </x:c>
      <x:c r="B144" s="12" t="str">
        <x:v>P06</x:v>
      </x:c>
      <x:c r="C144" s="12" t="str">
        <x:v>Queue retries and recovery</x:v>
      </x:c>
      <x:c r="D144" s="12" t="str">
        <x:v>Timeout, crash, lease expiry and retries preserve idempotent entitlement and recover rather than orphan a paid matter.</x:v>
      </x:c>
      <x:c r="E144" s="12" t="str">
        <x:v>Job transitions and fault injection.</x:v>
      </x:c>
      <x:c r="F144" s="12" t="str">
        <x:v>G + B + R</x:v>
      </x:c>
      <x:c r="G144" s="12" t="str">
        <x:v>SRC-01; SRC-03; EXT-STRIPE</x:v>
      </x:c>
      <x:c r="H144" s="12" t="str">
        <x:v>NOT RUN</x:v>
      </x:c>
      <x:c r="I144" s="12" t="str"/>
    </x:row>
    <x:row r="145" ht="112" customHeight="1">
      <x:c r="A145" s="12" t="str">
        <x:v>P06-14</x:v>
      </x:c>
      <x:c r="B145" s="12" t="str">
        <x:v>P06</x:v>
      </x:c>
      <x:c r="C145" s="12" t="str">
        <x:v>Artifact attachment CAS</x:v>
      </x:c>
      <x:c r="D145" s="12" t="str">
        <x:v>Attachment is guarded and current verification checked atomically; unauthorized/stale attempts produce no protected write.</x:v>
      </x:c>
      <x:c r="E145" s="12" t="str">
        <x:v>Intercepted writes and DB/CAS evidence.</x:v>
      </x:c>
      <x:c r="F145" s="12" t="str">
        <x:v>G + B + R</x:v>
      </x:c>
      <x:c r="G145" s="12" t="str">
        <x:v>SRC-01; SRC-03; EXT-STRIPE</x:v>
      </x:c>
      <x:c r="H145" s="12" t="str">
        <x:v>NOT RUN</x:v>
      </x:c>
      <x:c r="I145" s="12" t="str"/>
    </x:row>
    <x:row r="146" ht="112" customHeight="1">
      <x:c r="A146" s="12" t="str">
        <x:v>P06-15</x:v>
      </x:c>
      <x:c r="B146" s="12" t="str">
        <x:v>P06</x:v>
      </x:c>
      <x:c r="C146" s="12" t="str">
        <x:v>Stored artifact integrity</x:v>
      </x:c>
      <x:c r="D146" s="12" t="str">
        <x:v>Complete valid expected PDF is durably stored; hash/content-type/length mismatch cannot become ready.</x:v>
      </x:c>
      <x:c r="E146" s="12" t="str">
        <x:v>Storage/object and finalization evidence.</x:v>
      </x:c>
      <x:c r="F146" s="12" t="str">
        <x:v>G + B + R</x:v>
      </x:c>
      <x:c r="G146" s="12" t="str">
        <x:v>SRC-01; SRC-03; EXT-STRIPE</x:v>
      </x:c>
      <x:c r="H146" s="12" t="str">
        <x:v>NOT RUN</x:v>
      </x:c>
      <x:c r="I146" s="12" t="str"/>
    </x:row>
    <x:row r="147" ht="112" customHeight="1">
      <x:c r="A147" s="12" t="str">
        <x:v>P06-16</x:v>
      </x:c>
      <x:c r="B147" s="12" t="str">
        <x:v>P06</x:v>
      </x:c>
      <x:c r="C147" s="12" t="str">
        <x:v>Download authorization</x:v>
      </x:c>
      <x:c r="D147" s="12" t="str">
        <x:v>Owner gets correct bytes; unauthenticated, wrong-user, wrong-matter, revoked and expired access are refused.</x:v>
      </x:c>
      <x:c r="E147" s="12" t="str">
        <x:v>Actual download bytes and denied requests.</x:v>
      </x:c>
      <x:c r="F147" s="12" t="str">
        <x:v>G + B + R</x:v>
      </x:c>
      <x:c r="G147" s="12" t="str">
        <x:v>SRC-01; SRC-03; EXT-STRIPE</x:v>
      </x:c>
      <x:c r="H147" s="12" t="str">
        <x:v>NOT RUN</x:v>
      </x:c>
      <x:c r="I147" s="12" t="str"/>
    </x:row>
    <x:row r="148" ht="112" customHeight="1">
      <x:c r="A148" s="12" t="str">
        <x:v>P06-17</x:v>
      </x:c>
      <x:c r="B148" s="12" t="str">
        <x:v>P06</x:v>
      </x:c>
      <x:c r="C148" s="12" t="str">
        <x:v>Repeat and regeneration</x:v>
      </x:c>
      <x:c r="D148" s="12" t="str">
        <x:v>Repeat downloads do not consume another payment/credit; supported regeneration follows approved change/version rules.</x:v>
      </x:c>
      <x:c r="E148" s="12" t="str">
        <x:v>Payment/ledger before-after and packet identity.</x:v>
      </x:c>
      <x:c r="F148" s="12" t="str">
        <x:v>G + B + R</x:v>
      </x:c>
      <x:c r="G148" s="12" t="str">
        <x:v>SRC-01; SRC-03; EXT-STRIPE</x:v>
      </x:c>
      <x:c r="H148" s="12" t="str">
        <x:v>NOT RUN</x:v>
      </x:c>
      <x:c r="I148" s="12" t="str"/>
    </x:row>
    <x:row r="149" ht="112" customHeight="1">
      <x:c r="A149" s="12" t="str">
        <x:v>P06-18</x:v>
      </x:c>
      <x:c r="B149" s="12" t="str">
        <x:v>P06</x:v>
      </x:c>
      <x:c r="C149" s="12" t="str">
        <x:v>No surprise postpay intake</x:v>
      </x:c>
      <x:c r="D149" s="12" t="str">
        <x:v>After accepted complete review and payment, the participant is not dumped into new unnecessary packet questions.</x:v>
      </x:c>
      <x:c r="E149" s="12" t="str">
        <x:v>Connected UI trace through download.</x:v>
      </x:c>
      <x:c r="F149" s="12" t="str">
        <x:v>G + B + R</x:v>
      </x:c>
      <x:c r="G149" s="12" t="str">
        <x:v>SRC-01; SRC-03; EXT-STRIPE</x:v>
      </x:c>
      <x:c r="H149" s="12" t="str">
        <x:v>NOT RUN</x:v>
      </x:c>
      <x:c r="I149" s="12" t="str"/>
    </x:row>
    <x:row r="150" ht="112" customHeight="1">
      <x:c r="A150" s="12" t="str">
        <x:v>P06-19</x:v>
      </x:c>
      <x:c r="B150" s="12" t="str">
        <x:v>P06</x:v>
      </x:c>
      <x:c r="C150" s="12" t="str">
        <x:v>Ready status coherence</x:v>
      </x:c>
      <x:c r="D150" s="12" t="str">
        <x:v>All UI/API notifications agree with actual stored deliverable state; no ready-before-artifact or unreachable ready CTA.</x:v>
      </x:c>
      <x:c r="E150" s="12" t="str">
        <x:v>Cross-surface timeline.</x:v>
      </x:c>
      <x:c r="F150" s="12" t="str">
        <x:v>G + B + R</x:v>
      </x:c>
      <x:c r="G150" s="12" t="str">
        <x:v>SRC-01; SRC-03; EXT-STRIPE</x:v>
      </x:c>
      <x:c r="H150" s="12" t="str">
        <x:v>NOT RUN</x:v>
      </x:c>
      <x:c r="I150" s="12" t="str"/>
    </x:row>
    <x:row r="151" ht="112" customHeight="1">
      <x:c r="A151" s="12" t="str">
        <x:v>P06-20</x:v>
      </x:c>
      <x:c r="B151" s="12" t="str">
        <x:v>P06</x:v>
      </x:c>
      <x:c r="C151" s="12" t="str">
        <x:v>Failure and support recovery</x:v>
      </x:c>
      <x:c r="D151" s="12" t="str">
        <x:v>Paid-but-stuck and failed download have correct status, recoverable support/retry/refund path without losing ownership.</x:v>
      </x:c>
      <x:c r="E151" s="12" t="str">
        <x:v>Fault-to-resolution scenario.</x:v>
      </x:c>
      <x:c r="F151" s="12" t="str">
        <x:v>G + B + R</x:v>
      </x:c>
      <x:c r="G151" s="12" t="str">
        <x:v>SRC-01; SRC-03; EXT-STRIPE</x:v>
      </x:c>
      <x:c r="H151" s="12" t="str">
        <x:v>NOT RUN</x:v>
      </x:c>
      <x:c r="I151" s="12" t="str"/>
    </x:row>
    <x:row r="152" ht="112" customHeight="1">
      <x:c r="A152" s="12" t="str">
        <x:v>P06-21</x:v>
      </x:c>
      <x:c r="B152" s="12" t="str">
        <x:v>P06</x:v>
      </x:c>
      <x:c r="C152" s="12" t="str">
        <x:v>Unproven price control</x:v>
      </x:c>
      <x:c r="D152" s="12" t="str">
        <x:v>A forged/unproven authority record cannot open price or purchase; the test targets the current control and detects its own mutation.</x:v>
      </x:c>
      <x:c r="E152" s="12" t="str">
        <x:v>Clean baseline plus targeted mutation signal.</x:v>
      </x:c>
      <x:c r="F152" s="12" t="str">
        <x:v>G + B + R</x:v>
      </x:c>
      <x:c r="G152" s="12" t="str">
        <x:v>SRC-01; SRC-03; EXT-STRIPE</x:v>
      </x:c>
      <x:c r="H152" s="12" t="str">
        <x:v>NOT RUN</x:v>
      </x:c>
      <x:c r="I152" s="12" t="str"/>
    </x:row>
    <x:row r="153" ht="112" customHeight="1">
      <x:c r="A153" s="12" t="str">
        <x:v>P06-22</x:v>
      </x:c>
      <x:c r="B153" s="12" t="str">
        <x:v>P06</x:v>
      </x:c>
      <x:c r="C153" s="12" t="str">
        <x:v>No side-effect proof shortcut</x:v>
      </x:c>
      <x:c r="D153" s="12" t="str">
        <x:v>A refusal is checked before charge/credit/attachment/delivery side effects; positive cases complete effects with exact counts.</x:v>
      </x:c>
      <x:c r="E153" s="12" t="str">
        <x:v>Instrumented boundaries plus provider/DB readback.</x:v>
      </x:c>
      <x:c r="F153" s="12" t="str">
        <x:v>G + B + R</x:v>
      </x:c>
      <x:c r="G153" s="12" t="str">
        <x:v>SRC-01; SRC-03; EXT-STRIPE</x:v>
      </x:c>
      <x:c r="H153" s="12" t="str">
        <x:v>NOT RUN</x:v>
      </x:c>
      <x:c r="I153" s="12" t="str"/>
    </x:row>
    <x:row r="154" ht="112" customHeight="1">
      <x:c r="A154" s="12" t="str">
        <x:v>P07-01</x:v>
      </x:c>
      <x:c r="B154" s="12" t="str">
        <x:v>P07</x:v>
      </x:c>
      <x:c r="C154" s="12" t="str">
        <x:v>Partner setup and provisioning</x:v>
      </x:c>
      <x:c r="D154" s="12" t="str">
        <x:v>Existing partner is found without duplication; creation, invitation, onboarding, publication and activation have correct distinct effects.</x:v>
      </x:c>
      <x:c r="E154" s="12" t="str">
        <x:v>Complete operator/admin lifecycle.</x:v>
      </x:c>
      <x:c r="F154" s="12" t="str">
        <x:v>G + B + R</x:v>
      </x:c>
      <x:c r="G154" s="12" t="str">
        <x:v>SRC-01; SRC-06; SRC-07</x:v>
      </x:c>
      <x:c r="H154" s="12" t="str">
        <x:v>NOT RUN</x:v>
      </x:c>
      <x:c r="I154" s="12" t="str"/>
    </x:row>
    <x:row r="155" ht="112" customHeight="1">
      <x:c r="A155" s="12" t="str">
        <x:v>P07-02</x:v>
      </x:c>
      <x:c r="B155" s="12" t="str">
        <x:v>P07</x:v>
      </x:c>
      <x:c r="C155" s="12" t="str">
        <x:v>First-admin invitation</x:v>
      </x:c>
      <x:c r="D155" s="12" t="str">
        <x:v>Correct recipient accepts scoped time-limited invitation; expired/replayed/forwarded/wrong-account tokens fail safely.</x:v>
      </x:c>
      <x:c r="E155" s="12" t="str">
        <x:v>Invitation and auth cases.</x:v>
      </x:c>
      <x:c r="F155" s="12" t="str">
        <x:v>G + B + R</x:v>
      </x:c>
      <x:c r="G155" s="12" t="str">
        <x:v>SRC-01; SRC-06; SRC-07</x:v>
      </x:c>
      <x:c r="H155" s="12" t="str">
        <x:v>NOT RUN</x:v>
      </x:c>
      <x:c r="I155" s="12" t="str"/>
    </x:row>
    <x:row r="156" ht="112" customHeight="1">
      <x:c r="A156" s="12" t="str">
        <x:v>P07-03</x:v>
      </x:c>
      <x:c r="B156" s="12" t="str">
        <x:v>P07</x:v>
      </x:c>
      <x:c r="C156" s="12" t="str">
        <x:v>Onboarding and approvals</x:v>
      </x:c>
      <x:c r="D156" s="12" t="str">
        <x:v>Required decisions, resources and review actions persist; role-limited/read-only sections behave honestly with actionable progress.</x:v>
      </x:c>
      <x:c r="E156" s="12" t="str">
        <x:v>All onboarding step and approval states.</x:v>
      </x:c>
      <x:c r="F156" s="12" t="str">
        <x:v>G + B + R</x:v>
      </x:c>
      <x:c r="G156" s="12" t="str">
        <x:v>SRC-01; SRC-06; SRC-07</x:v>
      </x:c>
      <x:c r="H156" s="12" t="str">
        <x:v>NOT RUN</x:v>
      </x:c>
      <x:c r="I156" s="12" t="str"/>
    </x:row>
    <x:row r="157" ht="112" customHeight="1">
      <x:c r="A157" s="12" t="str">
        <x:v>P07-04</x:v>
      </x:c>
      <x:c r="B157" s="12" t="str">
        <x:v>P07</x:v>
      </x:c>
      <x:c r="C157" s="12" t="str">
        <x:v>Partner configuration</x:v>
      </x:c>
      <x:c r="D157" s="12" t="str">
        <x:v>Scope, geography, branding, landing copy, staff and program settings save correctly without changing other tenants.</x:v>
      </x:c>
      <x:c r="E157" s="12" t="str">
        <x:v>Two-tenant configuration/readback.</x:v>
      </x:c>
      <x:c r="F157" s="12" t="str">
        <x:v>G + B + R</x:v>
      </x:c>
      <x:c r="G157" s="12" t="str">
        <x:v>SRC-01; SRC-06; SRC-07</x:v>
      </x:c>
      <x:c r="H157" s="12" t="str">
        <x:v>NOT RUN</x:v>
      </x:c>
      <x:c r="I157" s="12" t="str"/>
    </x:row>
    <x:row r="158" ht="112" customHeight="1">
      <x:c r="A158" s="12" t="str">
        <x:v>P07-05</x:v>
      </x:c>
      <x:c r="B158" s="12" t="str">
        <x:v>P07</x:v>
      </x:c>
      <x:c r="C158" s="12" t="str">
        <x:v>Public activation</x:v>
      </x:c>
      <x:c r="D158" s="12" t="str">
        <x:v>Draft/paused/unapproved programs are not accidentally public or usable; approved activation exposes intended entry only.</x:v>
      </x:c>
      <x:c r="E158" s="12" t="str">
        <x:v>Visibility/activation state matrix.</x:v>
      </x:c>
      <x:c r="F158" s="12" t="str">
        <x:v>G + B + R</x:v>
      </x:c>
      <x:c r="G158" s="12" t="str">
        <x:v>SRC-01; SRC-06; SRC-07</x:v>
      </x:c>
      <x:c r="H158" s="12" t="str">
        <x:v>NOT RUN</x:v>
      </x:c>
      <x:c r="I158" s="12" t="str"/>
    </x:row>
    <x:row r="159" ht="112" customHeight="1">
      <x:c r="A159" s="12" t="str">
        <x:v>P07-06</x:v>
      </x:c>
      <x:c r="B159" s="12" t="str">
        <x:v>P07</x:v>
      </x:c>
      <x:c r="C159" s="12" t="str">
        <x:v>Access-code lifecycle</x:v>
      </x:c>
      <x:c r="D159" s="12" t="str">
        <x:v>Issued/revoked/expired/reused codes and dates bind correct program/event and cannot confer staff privileges.</x:v>
      </x:c>
      <x:c r="E159" s="12" t="str">
        <x:v>Code/window limits and URL leakage review.</x:v>
      </x:c>
      <x:c r="F159" s="12" t="str">
        <x:v>G + B + R</x:v>
      </x:c>
      <x:c r="G159" s="12" t="str">
        <x:v>SRC-01; SRC-06; SRC-07</x:v>
      </x:c>
      <x:c r="H159" s="12" t="str">
        <x:v>NOT RUN</x:v>
      </x:c>
      <x:c r="I159" s="12" t="str"/>
    </x:row>
    <x:row r="160" ht="112" customHeight="1">
      <x:c r="A160" s="12" t="str">
        <x:v>P07-07</x:v>
      </x:c>
      <x:c r="B160" s="12" t="str">
        <x:v>P07</x:v>
      </x:c>
      <x:c r="C160" s="12" t="str">
        <x:v>Role least privilege</x:v>
      </x:c>
      <x:c r="D160" s="12" t="str">
        <x:v>Admin, staff, reviewer, reporting/export and internal support actions match actual policy, not just hidden buttons.</x:v>
      </x:c>
      <x:c r="E160" s="12" t="str">
        <x:v>UI/API/DB allowed-and-denied matrix.</x:v>
      </x:c>
      <x:c r="F160" s="12" t="str">
        <x:v>G + B + R</x:v>
      </x:c>
      <x:c r="G160" s="12" t="str">
        <x:v>SRC-01; SRC-06; SRC-07</x:v>
      </x:c>
      <x:c r="H160" s="12" t="str">
        <x:v>NOT RUN</x:v>
      </x:c>
      <x:c r="I160" s="12" t="str"/>
    </x:row>
    <x:row r="161" ht="112" customHeight="1">
      <x:c r="A161" s="12" t="str">
        <x:v>P07-08</x:v>
      </x:c>
      <x:c r="B161" s="12" t="str">
        <x:v>P07</x:v>
      </x:c>
      <x:c r="C161" s="12" t="str">
        <x:v>Participant ownership</x:v>
      </x:c>
      <x:c r="D161" s="12" t="str">
        <x:v>Partner association never transfers the participant's account, Briefcase, packet or identity to the organization.</x:v>
      </x:c>
      <x:c r="E161" s="12" t="str">
        <x:v>Ownership and cross-session cases.</x:v>
      </x:c>
      <x:c r="F161" s="12" t="str">
        <x:v>G + B + R</x:v>
      </x:c>
      <x:c r="G161" s="12" t="str">
        <x:v>SRC-01; SRC-06; SRC-07</x:v>
      </x:c>
      <x:c r="H161" s="12" t="str">
        <x:v>NOT RUN</x:v>
      </x:c>
      <x:c r="I161" s="12" t="str"/>
    </x:row>
    <x:row r="162" ht="112" customHeight="1">
      <x:c r="A162" s="12" t="str">
        <x:v>P07-09</x:v>
      </x:c>
      <x:c r="B162" s="12" t="str">
        <x:v>P07</x:v>
      </x:c>
      <x:c r="C162" s="12" t="str">
        <x:v>Sponsored admission states</x:v>
      </x:c>
      <x:c r="D162" s="12" t="str">
        <x:v>No record/held authority denies before partner access; no benefit, admitted benefit and at-cap states are distinguished.</x:v>
      </x:c>
      <x:c r="E162" s="12" t="str">
        <x:v>Real four-state controls with read/write/RPC counters.</x:v>
      </x:c>
      <x:c r="F162" s="12" t="str">
        <x:v>G + B + R</x:v>
      </x:c>
      <x:c r="G162" s="12" t="str">
        <x:v>SRC-01; SRC-06; SRC-07</x:v>
      </x:c>
      <x:c r="H162" s="12" t="str">
        <x:v>NOT RUN</x:v>
      </x:c>
      <x:c r="I162" s="12" t="str"/>
    </x:row>
    <x:row r="163" ht="112" customHeight="1">
      <x:c r="A163" s="12" t="str">
        <x:v>P07-10</x:v>
      </x:c>
      <x:c r="B163" s="12" t="str">
        <x:v>P07</x:v>
      </x:c>
      <x:c r="C163" s="12" t="str">
        <x:v>Cap and overage policies</x:v>
      </x:c>
      <x:c r="D163" s="12" t="str">
        <x:v>Configured cap, grace, pause, overage and window boundaries are enforced exactly; no invented universal numbers.</x:v>
      </x:c>
      <x:c r="E163" s="12" t="str">
        <x:v>Per-profile boundary/parallel cases.</x:v>
      </x:c>
      <x:c r="F163" s="12" t="str">
        <x:v>G + B + R</x:v>
      </x:c>
      <x:c r="G163" s="12" t="str">
        <x:v>SRC-01; SRC-06; SRC-07</x:v>
      </x:c>
      <x:c r="H163" s="12" t="str">
        <x:v>NOT RUN</x:v>
      </x:c>
      <x:c r="I163" s="12" t="str"/>
    </x:row>
    <x:row r="164" ht="112" customHeight="1">
      <x:c r="A164" s="12" t="str">
        <x:v>P07-11</x:v>
      </x:c>
      <x:c r="B164" s="12" t="str">
        <x:v>P07</x:v>
      </x:c>
      <x:c r="C164" s="12" t="str">
        <x:v>Credit consumption</x:v>
      </x:c>
      <x:c r="D164" s="12" t="str">
        <x:v>Exactly one valid qualifying finalization consumes its defined unit; screen/save/guidance/failure/retry/re-download do not.</x:v>
      </x:c>
      <x:c r="E164" s="12" t="str">
        <x:v>Durable event counts and atomic race tests.</x:v>
      </x:c>
      <x:c r="F164" s="12" t="str">
        <x:v>G + B + R</x:v>
      </x:c>
      <x:c r="G164" s="12" t="str">
        <x:v>SRC-01; SRC-06; SRC-07</x:v>
      </x:c>
      <x:c r="H164" s="12" t="str">
        <x:v>NOT RUN</x:v>
      </x:c>
      <x:c r="I164" s="12" t="str"/>
    </x:row>
    <x:row r="165" ht="112" customHeight="1">
      <x:c r="A165" s="12" t="str">
        <x:v>P07-12</x:v>
      </x:c>
      <x:c r="B165" s="12" t="str">
        <x:v>P07</x:v>
      </x:c>
      <x:c r="C165" s="12" t="str">
        <x:v>Sponsor versus DTC</x:v>
      </x:c>
      <x:c r="D165" s="12" t="str">
        <x:v>Valid sponsorship bypasses consumer charging; invalid sponsorship does not silently take money or borrow another tenant's credit.</x:v>
      </x:c>
      <x:c r="E165" s="12" t="str">
        <x:v>Both channel branches and explicit fallback consent.</x:v>
      </x:c>
      <x:c r="F165" s="12" t="str">
        <x:v>G + B + R</x:v>
      </x:c>
      <x:c r="G165" s="12" t="str">
        <x:v>SRC-01; SRC-06; SRC-07</x:v>
      </x:c>
      <x:c r="H165" s="12" t="str">
        <x:v>NOT RUN</x:v>
      </x:c>
      <x:c r="I165" s="12" t="str"/>
    </x:row>
    <x:row r="166" ht="112" customHeight="1">
      <x:c r="A166" s="12" t="str">
        <x:v>P07-13</x:v>
      </x:c>
      <x:c r="B166" s="12" t="str">
        <x:v>P07</x:v>
      </x:c>
      <x:c r="C166" s="12" t="str">
        <x:v>All sponsored routes</x:v>
      </x:c>
      <x:c r="D166" s="12" t="str">
        <x:v>Every intended route in each distinct authorized sponsor/clinic configuration yields correct treatment and successful packet when offered.</x:v>
      </x:c>
      <x:c r="E166" s="12" t="str">
        <x:v>Route/channel E2E matrix.</x:v>
      </x:c>
      <x:c r="F166" s="12" t="str">
        <x:v>G + B + R</x:v>
      </x:c>
      <x:c r="G166" s="12" t="str">
        <x:v>SRC-01; SRC-06; SRC-07</x:v>
      </x:c>
      <x:c r="H166" s="12" t="str">
        <x:v>NOT RUN</x:v>
      </x:c>
      <x:c r="I166" s="12" t="str"/>
    </x:row>
    <x:row r="167" ht="112" customHeight="1">
      <x:c r="A167" s="12" t="str">
        <x:v>P07-14</x:v>
      </x:c>
      <x:c r="B167" s="12" t="str">
        <x:v>P07</x:v>
      </x:c>
      <x:c r="C167" s="12" t="str">
        <x:v>Sponsor billing and invoices</x:v>
      </x:c>
      <x:c r="D167" s="12" t="str">
        <x:v>Overage/usage invoices and credits match authoritative billable events and configured terms; no duplicate invoice cycles.</x:v>
      </x:c>
      <x:c r="E167" s="12" t="str">
        <x:v>Sandbox invoice/event reconciliation.</x:v>
      </x:c>
      <x:c r="F167" s="12" t="str">
        <x:v>G + B + R</x:v>
      </x:c>
      <x:c r="G167" s="12" t="str">
        <x:v>SRC-01; SRC-06; SRC-07</x:v>
      </x:c>
      <x:c r="H167" s="12" t="str">
        <x:v>NOT RUN</x:v>
      </x:c>
      <x:c r="I167" s="12" t="str"/>
    </x:row>
    <x:row r="168" ht="112" customHeight="1">
      <x:c r="A168" s="12" t="str">
        <x:v>P07-15</x:v>
      </x:c>
      <x:c r="B168" s="12" t="str">
        <x:v>P07</x:v>
      </x:c>
      <x:c r="C168" s="12" t="str">
        <x:v>Reporting metric truth</x:v>
      </x:c>
      <x:c r="D168" s="12" t="str">
        <x:v>Starts, screened, eligible, generated, delivered, filed and cleared are distinct; filters, totals, exports and timezone cutoffs agree.</x:v>
      </x:c>
      <x:c r="E168" s="12" t="str">
        <x:v>Events-to-dashboard/CSV reconciliation.</x:v>
      </x:c>
      <x:c r="F168" s="12" t="str">
        <x:v>G + B + R</x:v>
      </x:c>
      <x:c r="G168" s="12" t="str">
        <x:v>SRC-01; SRC-06; SRC-07</x:v>
      </x:c>
      <x:c r="H168" s="12" t="str">
        <x:v>NOT RUN</x:v>
      </x:c>
      <x:c r="I168" s="12" t="str"/>
    </x:row>
    <x:row r="169" ht="112" customHeight="1">
      <x:c r="A169" s="12" t="str">
        <x:v>P07-16</x:v>
      </x:c>
      <x:c r="B169" s="12" t="str">
        <x:v>P07</x:v>
      </x:c>
      <x:c r="C169" s="12" t="str">
        <x:v>Reporting privacy</x:v>
      </x:c>
      <x:c r="D169" s="12" t="str">
        <x:v>Partner/sponsor sees only approved aggregate or scoped data; small-cell and export disclosures follow accepted policy.</x:v>
      </x:c>
      <x:c r="E169" s="12" t="str">
        <x:v>Tenant/role export tests and content review.</x:v>
      </x:c>
      <x:c r="F169" s="12" t="str">
        <x:v>G + B + R</x:v>
      </x:c>
      <x:c r="G169" s="12" t="str">
        <x:v>SRC-01; SRC-06; SRC-07</x:v>
      </x:c>
      <x:c r="H169" s="12" t="str">
        <x:v>NOT RUN</x:v>
      </x:c>
      <x:c r="I169" s="12" t="str"/>
    </x:row>
    <x:row r="170" ht="112" customHeight="1">
      <x:c r="A170" s="12" t="str">
        <x:v>P07-17</x:v>
      </x:c>
      <x:c r="B170" s="12" t="str">
        <x:v>P07</x:v>
      </x:c>
      <x:c r="C170" s="12" t="str">
        <x:v>Staff removal and program closure</x:v>
      </x:c>
      <x:c r="D170" s="12" t="str">
        <x:v>Revoking membership/event access and ending sponsorship removes access appropriately while preserving participant rights.</x:v>
      </x:c>
      <x:c r="E170" s="12" t="str">
        <x:v>Revocation and continued-participant journey.</x:v>
      </x:c>
      <x:c r="F170" s="12" t="str">
        <x:v>G + B + R</x:v>
      </x:c>
      <x:c r="G170" s="12" t="str">
        <x:v>SRC-01; SRC-06; SRC-07</x:v>
      </x:c>
      <x:c r="H170" s="12" t="str">
        <x:v>NOT RUN</x:v>
      </x:c>
      <x:c r="I170" s="12" t="str"/>
    </x:row>
    <x:row r="171" ht="112" customHeight="1">
      <x:c r="A171" s="12" t="str">
        <x:v>P07-18</x:v>
      </x:c>
      <x:c r="B171" s="12" t="str">
        <x:v>P07</x:v>
      </x:c>
      <x:c r="C171" s="12" t="str">
        <x:v>Partner communications</x:v>
      </x:c>
      <x:c r="D171" s="12" t="str">
        <x:v>Invitations, onboarding notices, cap notices and follow-up messages have truthful status, safe links and correct recipients.</x:v>
      </x:c>
      <x:c r="E171" s="12" t="str">
        <x:v>Provider/test-mailbox evidence.</x:v>
      </x:c>
      <x:c r="F171" s="12" t="str">
        <x:v>G + B + R</x:v>
      </x:c>
      <x:c r="G171" s="12" t="str">
        <x:v>SRC-01; SRC-06; SRC-07</x:v>
      </x:c>
      <x:c r="H171" s="12" t="str">
        <x:v>NOT RUN</x:v>
      </x:c>
      <x:c r="I171" s="12" t="str"/>
    </x:row>
    <x:row r="172" ht="112" customHeight="1">
      <x:c r="A172" s="12" t="str">
        <x:v>P07-19</x:v>
      </x:c>
      <x:c r="B172" s="12" t="str">
        <x:v>P07</x:v>
      </x:c>
      <x:c r="C172" s="12" t="str">
        <x:v>Operator support actions</x:v>
      </x:c>
      <x:c r="D172" s="12" t="str">
        <x:v>Privileged support/provisioning is authenticated, scoped and audited; no broad administrative bypass through UI/API.</x:v>
      </x:c>
      <x:c r="E172" s="12" t="str">
        <x:v>Admin action and audit readback.</x:v>
      </x:c>
      <x:c r="F172" s="12" t="str">
        <x:v>G + B + R</x:v>
      </x:c>
      <x:c r="G172" s="12" t="str">
        <x:v>SRC-01; SRC-06; SRC-07</x:v>
      </x:c>
      <x:c r="H172" s="12" t="str">
        <x:v>NOT RUN</x:v>
      </x:c>
      <x:c r="I172" s="12" t="str"/>
    </x:row>
    <x:row r="173" ht="112" customHeight="1">
      <x:c r="A173" s="12" t="str">
        <x:v>P07-20</x:v>
      </x:c>
      <x:c r="B173" s="12" t="str">
        <x:v>P07</x:v>
      </x:c>
      <x:c r="C173" s="12" t="str">
        <x:v>Business profile variation</x:v>
      </x:c>
      <x:c r="D173" s="12" t="str">
        <x:v>All actual contracted/configured partner-profile behaviors are covered, including attribution and continuation terms; uncontracted pilots are not invented.</x:v>
      </x:c>
      <x:c r="E173" s="12" t="str">
        <x:v>Profile inventory and applicability mapping.</x:v>
      </x:c>
      <x:c r="F173" s="12" t="str">
        <x:v>G + B + R</x:v>
      </x:c>
      <x:c r="G173" s="12" t="str">
        <x:v>SRC-01; SRC-06; SRC-07</x:v>
      </x:c>
      <x:c r="H173" s="12" t="str">
        <x:v>NOT RUN</x:v>
      </x:c>
      <x:c r="I173" s="12" t="str"/>
    </x:row>
    <x:row r="174" ht="112" customHeight="1">
      <x:c r="A174" s="12" t="str">
        <x:v>P08-01</x:v>
      </x:c>
      <x:c r="B174" s="12" t="str">
        <x:v>P08</x:v>
      </x:c>
      <x:c r="C174" s="12" t="str">
        <x:v>Event creation and publication</x:v>
      </x:c>
      <x:c r="D174" s="12" t="str">
        <x:v>Event date/timezone, geography, venue, capacity, window, staff, contact and follow-up owner persist accurately; draft is distinct from live.</x:v>
      </x:c>
      <x:c r="E174" s="12" t="str">
        <x:v>Event configuration and displayed-time readback.</x:v>
      </x:c>
      <x:c r="F174" s="12" t="str">
        <x:v>G + B + R + H-C</x:v>
      </x:c>
      <x:c r="G174" s="12" t="str">
        <x:v>SRC-01; SRC-06; SRC-07</x:v>
      </x:c>
      <x:c r="H174" s="12" t="str">
        <x:v>NOT RUN</x:v>
      </x:c>
      <x:c r="I174" s="12" t="str"/>
    </x:row>
    <x:row r="175" ht="112" customHeight="1">
      <x:c r="A175" s="12" t="str">
        <x:v>P08-02</x:v>
      </x:c>
      <x:c r="B175" s="12" t="str">
        <x:v>P08</x:v>
      </x:c>
      <x:c r="C175" s="12" t="str">
        <x:v>Entry and registration</x:v>
      </x:c>
      <x:c r="D175" s="12" t="str">
        <x:v>Participant link/QR routes to correct event; registration/waitlist/duplicate/cancel/window boundaries work atomically.</x:v>
      </x:c>
      <x:c r="E175" s="12" t="str">
        <x:v>Concurrent registration and entry cases.</x:v>
      </x:c>
      <x:c r="F175" s="12" t="str">
        <x:v>G + B + R + H-C</x:v>
      </x:c>
      <x:c r="G175" s="12" t="str">
        <x:v>SRC-01; SRC-06; SRC-07</x:v>
      </x:c>
      <x:c r="H175" s="12" t="str">
        <x:v>NOT RUN</x:v>
      </x:c>
      <x:c r="I175" s="12" t="str"/>
    </x:row>
    <x:row r="176" ht="112" customHeight="1">
      <x:c r="A176" s="12" t="str">
        <x:v>P08-03</x:v>
      </x:c>
      <x:c r="B176" s="12" t="str">
        <x:v>P08</x:v>
      </x:c>
      <x:c r="C176" s="12" t="str">
        <x:v>Self-service clinic journey</x:v>
      </x:c>
      <x:c r="D176" s="12" t="str">
        <x:v>Participant uses own account, maintains event/sponsor attribution and finishes/resumes outside the clinic.</x:v>
      </x:c>
      <x:c r="E176" s="12" t="str">
        <x:v>Complete same-matter event journey.</x:v>
      </x:c>
      <x:c r="F176" s="12" t="str">
        <x:v>G + B + R + H-C</x:v>
      </x:c>
      <x:c r="G176" s="12" t="str">
        <x:v>SRC-01; SRC-06; SRC-07</x:v>
      </x:c>
      <x:c r="H176" s="12" t="str">
        <x:v>NOT RUN</x:v>
      </x:c>
      <x:c r="I176" s="12" t="str"/>
    </x:row>
    <x:row r="177" ht="112" customHeight="1">
      <x:c r="A177" s="12" t="str">
        <x:v>P08-04</x:v>
      </x:c>
      <x:c r="B177" s="12" t="str">
        <x:v>P08</x:v>
      </x:c>
      <x:c r="C177" s="12" t="str">
        <x:v>Assisted consent</x:v>
      </x:c>
      <x:c r="D177" s="12" t="str">
        <x:v>Staff assistance requires explicit scoped current consent; refusal/revocation is usable and no permanent access is implied.</x:v>
      </x:c>
      <x:c r="E177" s="12" t="str">
        <x:v>Consent UI, authorization and audit cases.</x:v>
      </x:c>
      <x:c r="F177" s="12" t="str">
        <x:v>G + B + R + H-C</x:v>
      </x:c>
      <x:c r="G177" s="12" t="str">
        <x:v>SRC-01; SRC-06; SRC-07</x:v>
      </x:c>
      <x:c r="H177" s="12" t="str">
        <x:v>NOT RUN</x:v>
      </x:c>
      <x:c r="I177" s="12" t="str"/>
    </x:row>
    <x:row r="178" ht="112" customHeight="1">
      <x:c r="A178" s="12" t="str">
        <x:v>P08-05</x:v>
      </x:c>
      <x:c r="B178" s="12" t="str">
        <x:v>P08</x:v>
      </x:c>
      <x:c r="C178" s="12" t="str">
        <x:v>Event and role scope</x:v>
      </x:c>
      <x:c r="D178" s="12" t="str">
        <x:v>Staff membership alone does not grant every event or matter; assignment and sensitive permissions are enforced server-side.</x:v>
      </x:c>
      <x:c r="E178" s="12" t="str">
        <x:v>Cross-event/tenant/role cases.</x:v>
      </x:c>
      <x:c r="F178" s="12" t="str">
        <x:v>G + B + R + H-C</x:v>
      </x:c>
      <x:c r="G178" s="12" t="str">
        <x:v>SRC-01; SRC-06; SRC-07</x:v>
      </x:c>
      <x:c r="H178" s="12" t="str">
        <x:v>NOT RUN</x:v>
      </x:c>
      <x:c r="I178" s="12" t="str"/>
    </x:row>
    <x:row r="179" ht="112" customHeight="1">
      <x:c r="A179" s="12" t="str">
        <x:v>P08-06</x:v>
      </x:c>
      <x:c r="B179" s="12" t="str">
        <x:v>P08</x:v>
      </x:c>
      <x:c r="C179" s="12" t="str">
        <x:v>Assisted edit ownership</x:v>
      </x:c>
      <x:c r="D179" s="12" t="str">
        <x:v>Staff edits identify actual actor, preserve participant rights and invalidate affected review; staff cannot attest as the participant.</x:v>
      </x:c>
      <x:c r="E179" s="12" t="str">
        <x:v>Edit/review/attestation evidence.</x:v>
      </x:c>
      <x:c r="F179" s="12" t="str">
        <x:v>G + B + R + H-C</x:v>
      </x:c>
      <x:c r="G179" s="12" t="str">
        <x:v>SRC-01; SRC-06; SRC-07</x:v>
      </x:c>
      <x:c r="H179" s="12" t="str">
        <x:v>NOT RUN</x:v>
      </x:c>
      <x:c r="I179" s="12" t="str"/>
    </x:row>
    <x:row r="180" ht="112" customHeight="1">
      <x:c r="A180" s="12" t="str">
        <x:v>P08-07</x:v>
      </x:c>
      <x:c r="B180" s="12" t="str">
        <x:v>P08</x:v>
      </x:c>
      <x:c r="C180" s="12" t="str">
        <x:v>Ten-person shared-device sequence</x:v>
      </x:c>
      <x:c r="D180" s="12" t="str">
        <x:v>Ten synthetic participants in sequence cannot access prior users' data via back, cache, tabs, autocomplete, downloads or expired sessions.</x:v>
      </x:c>
      <x:c r="E180" s="12" t="str">
        <x:v>Continuous device sequence, storage and navigation tests.</x:v>
      </x:c>
      <x:c r="F180" s="12" t="str">
        <x:v>G + B + R + H-C</x:v>
      </x:c>
      <x:c r="G180" s="12" t="str">
        <x:v>SRC-01; SRC-06; SRC-07</x:v>
      </x:c>
      <x:c r="H180" s="12" t="str">
        <x:v>NOT RUN</x:v>
      </x:c>
      <x:c r="I180" s="12" t="str"/>
    </x:row>
    <x:row r="181" ht="112" customHeight="1">
      <x:c r="A181" s="12" t="str">
        <x:v>P08-08</x:v>
      </x:c>
      <x:c r="B181" s="12" t="str">
        <x:v>P08</x:v>
      </x:c>
      <x:c r="C181" s="12" t="str">
        <x:v>Timeout and end session</x:v>
      </x:c>
      <x:c r="D181" s="12" t="str">
        <x:v>Timeout, explicit End Session, logout and interrupted exit revoke scoped access and clear prohibited local remnants without losing saved server work.</x:v>
      </x:c>
      <x:c r="E181" s="12" t="str">
        <x:v>Timed reset and next-user scenarios.</x:v>
      </x:c>
      <x:c r="F181" s="12" t="str">
        <x:v>G + B + R + H-C</x:v>
      </x:c>
      <x:c r="G181" s="12" t="str">
        <x:v>SRC-01; SRC-06; SRC-07</x:v>
      </x:c>
      <x:c r="H181" s="12" t="str">
        <x:v>NOT RUN</x:v>
      </x:c>
      <x:c r="I181" s="12" t="str"/>
    </x:row>
    <x:row r="182" ht="112" customHeight="1">
      <x:c r="A182" s="12" t="str">
        <x:v>P08-09</x:v>
      </x:c>
      <x:c r="B182" s="12" t="str">
        <x:v>P08</x:v>
      </x:c>
      <x:c r="C182" s="12" t="str">
        <x:v>Network interruption and queues</x:v>
      </x:c>
      <x:c r="D182" s="12" t="str">
        <x:v>Poor Wi-Fi/reconnect does not falsely save/register/sign or double-consume; staff can follow the documented safe fallback.</x:v>
      </x:c>
      <x:c r="E182" s="12" t="str">
        <x:v>Fault-injection and real-network rehearsal.</x:v>
      </x:c>
      <x:c r="F182" s="12" t="str">
        <x:v>G + B + R + H-C</x:v>
      </x:c>
      <x:c r="G182" s="12" t="str">
        <x:v>SRC-01; SRC-06; SRC-07</x:v>
      </x:c>
      <x:c r="H182" s="12" t="str">
        <x:v>NOT RUN</x:v>
      </x:c>
      <x:c r="I182" s="12" t="str"/>
    </x:row>
    <x:row r="183" ht="112" customHeight="1">
      <x:c r="A183" s="12" t="str">
        <x:v>P08-10</x:v>
      </x:c>
      <x:c r="B183" s="12" t="str">
        <x:v>P08</x:v>
      </x:c>
      <x:c r="C183" s="12" t="str">
        <x:v>Cross-device continuation</x:v>
      </x:c>
      <x:c r="D183" s="12" t="str">
        <x:v>Participant resumes correct event/matter on another device without another intake/payment and without staff session leakage.</x:v>
      </x:c>
      <x:c r="E183" s="12" t="str">
        <x:v>A-to-B device/account trace.</x:v>
      </x:c>
      <x:c r="F183" s="12" t="str">
        <x:v>G + B + R + H-C</x:v>
      </x:c>
      <x:c r="G183" s="12" t="str">
        <x:v>SRC-01; SRC-06; SRC-07</x:v>
      </x:c>
      <x:c r="H183" s="12" t="str">
        <x:v>NOT RUN</x:v>
      </x:c>
      <x:c r="I183" s="12" t="str"/>
    </x:row>
    <x:row r="184" ht="112" customHeight="1">
      <x:c r="A184" s="12" t="str">
        <x:v>P08-11</x:v>
      </x:c>
      <x:c r="B184" s="12" t="str">
        <x:v>P08</x:v>
      </x:c>
      <x:c r="C184" s="12" t="str">
        <x:v>Legal Aid profile parity</x:v>
      </x:c>
      <x:c r="D184" s="12" t="str">
        <x:v>Each configured Legal Aid intake uses its approved source field/statement version; no assumption that a linked external form proves native persistence.</x:v>
      </x:c>
      <x:c r="E184" s="12" t="str">
        <x:v>Profile-to-native-field mapping and server readback.</x:v>
      </x:c>
      <x:c r="F184" s="12" t="str">
        <x:v>G + B + R + H-C</x:v>
      </x:c>
      <x:c r="G184" s="12" t="str">
        <x:v>SRC-01; SRC-06; SRC-07</x:v>
      </x:c>
      <x:c r="H184" s="12" t="str">
        <x:v>NOT RUN</x:v>
      </x:c>
      <x:c r="I184" s="12" t="str"/>
    </x:row>
    <x:row r="185" ht="112" customHeight="1">
      <x:c r="A185" s="12" t="str">
        <x:v>P08-12</x:v>
      </x:c>
      <x:c r="B185" s="12" t="str">
        <x:v>P08</x:v>
      </x:c>
      <x:c r="C185" s="12" t="str">
        <x:v>Sensitive intake restrictions</x:v>
      </x:c>
      <x:c r="D185" s="12" t="str">
        <x:v>Financial, household, SSN/citizenship/status data use minimal collection, truthful unknowns and separately authorized review; no zero/default substitution.</x:v>
      </x:c>
      <x:c r="E185" s="12" t="str">
        <x:v>Field/role/encryption/reveal/log evidence.</x:v>
      </x:c>
      <x:c r="F185" s="12" t="str">
        <x:v>G + B + R + H-C</x:v>
      </x:c>
      <x:c r="G185" s="12" t="str">
        <x:v>SRC-01; SRC-06; SRC-07</x:v>
      </x:c>
      <x:c r="H185" s="12" t="str">
        <x:v>NOT RUN</x:v>
      </x:c>
      <x:c r="I185" s="12" t="str"/>
    </x:row>
    <x:row r="186" ht="112" customHeight="1">
      <x:c r="A186" s="12" t="str">
        <x:v>P08-13</x:v>
      </x:c>
      <x:c r="B186" s="12" t="str">
        <x:v>P08</x:v>
      </x:c>
      <x:c r="C186" s="12" t="str">
        <x:v>Program versus remedy decision</x:v>
      </x:c>
      <x:c r="D186" s="12" t="str">
        <x:v>Program eligibility, service acceptance, legal remedy eligibility, packet verification and execution readiness are distinct statuses and authorities.</x:v>
      </x:c>
      <x:c r="E186" s="12" t="str">
        <x:v>State transitions and conflicting outcome cases.</x:v>
      </x:c>
      <x:c r="F186" s="12" t="str">
        <x:v>G + B + R + H-C</x:v>
      </x:c>
      <x:c r="G186" s="12" t="str">
        <x:v>SRC-01; SRC-06; SRC-07</x:v>
      </x:c>
      <x:c r="H186" s="12" t="str">
        <x:v>NOT RUN</x:v>
      </x:c>
      <x:c r="I186" s="12" t="str"/>
    </x:row>
    <x:row r="187" ht="112" customHeight="1">
      <x:c r="A187" s="12" t="str">
        <x:v>P08-14</x:v>
      </x:c>
      <x:c r="B187" s="12" t="str">
        <x:v>P08</x:v>
      </x:c>
      <x:c r="C187" s="12" t="str">
        <x:v>Applicant signatures</x:v>
      </x:c>
      <x:c r="D187" s="12" t="str">
        <x:v>Only the applicant signs intended statements; signatures bind statement version and answer hash; material edits require proper re-attestation.</x:v>
      </x:c>
      <x:c r="E187" s="12" t="str">
        <x:v>Signer identity/hash/revision tests.</x:v>
      </x:c>
      <x:c r="F187" s="12" t="str">
        <x:v>G + B + R + H-C</x:v>
      </x:c>
      <x:c r="G187" s="12" t="str">
        <x:v>SRC-01; SRC-06; SRC-07</x:v>
      </x:c>
      <x:c r="H187" s="12" t="str">
        <x:v>NOT RUN</x:v>
      </x:c>
      <x:c r="I187" s="12" t="str"/>
    </x:row>
    <x:row r="188" ht="112" customHeight="1">
      <x:c r="A188" s="12" t="str">
        <x:v>P08-15</x:v>
      </x:c>
      <x:c r="B188" s="12" t="str">
        <x:v>P08</x:v>
      </x:c>
      <x:c r="C188" s="12" t="str">
        <x:v>Attorney review and conflicts</x:v>
      </x:c>
      <x:c r="D188" s="12" t="str">
        <x:v>Assigned qualified reviewers see needed material and can record requests/decisions; nonlawyers cannot issue the legal decision or imply representation.</x:v>
      </x:c>
      <x:c r="E188" s="12" t="str">
        <x:v>Role/state matrix and human workflow rehearsal.</x:v>
      </x:c>
      <x:c r="F188" s="12" t="str">
        <x:v>G + B + R + H-C</x:v>
      </x:c>
      <x:c r="G188" s="12" t="str">
        <x:v>SRC-01; SRC-06; SRC-07</x:v>
      </x:c>
      <x:c r="H188" s="12" t="str">
        <x:v>NOT RUN</x:v>
      </x:c>
      <x:c r="I188" s="12" t="str"/>
    </x:row>
    <x:row r="189" ht="112" customHeight="1">
      <x:c r="A189" s="12" t="str">
        <x:v>P08-16</x:v>
      </x:c>
      <x:c r="B189" s="12" t="str">
        <x:v>P08</x:v>
      </x:c>
      <x:c r="C189" s="12" t="str">
        <x:v>Court-document execution</x:v>
      </x:c>
      <x:c r="D189" s="12" t="str">
        <x:v>Required signing/notarization order, witness/ID procedure, completed versus unsigned artifacts and re-execution after changes follow the actual contract.</x:v>
      </x:c>
      <x:c r="E189" s="12" t="str">
        <x:v>Execution state and final document version.</x:v>
      </x:c>
      <x:c r="F189" s="12" t="str">
        <x:v>G + B + R + H-C</x:v>
      </x:c>
      <x:c r="G189" s="12" t="str">
        <x:v>SRC-01; SRC-06; SRC-07</x:v>
      </x:c>
      <x:c r="H189" s="12" t="str">
        <x:v>NOT RUN</x:v>
      </x:c>
      <x:c r="I189" s="12" t="str"/>
    </x:row>
    <x:row r="190" ht="112" customHeight="1">
      <x:c r="A190" s="12" t="str">
        <x:v>P08-17</x:v>
      </x:c>
      <x:c r="B190" s="12" t="str">
        <x:v>P08</x:v>
      </x:c>
      <x:c r="C190" s="12" t="str">
        <x:v>Notary desk access</x:v>
      </x:c>
      <x:c r="D190" s="12" t="str">
        <x:v>Notary sees only necessary documents/identity and cannot access unrelated intake or forge completed execution.</x:v>
      </x:c>
      <x:c r="E190" s="12" t="str">
        <x:v>Allowed/denied views and execution audit.</x:v>
      </x:c>
      <x:c r="F190" s="12" t="str">
        <x:v>G + B + R + H-C</x:v>
      </x:c>
      <x:c r="G190" s="12" t="str">
        <x:v>SRC-01; SRC-06; SRC-07</x:v>
      </x:c>
      <x:c r="H190" s="12" t="str">
        <x:v>NOT RUN</x:v>
      </x:c>
      <x:c r="I190" s="12" t="str"/>
    </x:row>
    <x:row r="191" ht="112" customHeight="1">
      <x:c r="A191" s="12" t="str">
        <x:v>P08-18</x:v>
      </x:c>
      <x:c r="B191" s="12" t="str">
        <x:v>P08</x:v>
      </x:c>
      <x:c r="C191" s="12" t="str">
        <x:v>Restricted case-file export</x:v>
      </x:c>
      <x:c r="D191" s="12" t="str">
        <x:v>Court packet, participant guide and partner case file are separate; export recipient/scope/masking/download/retention are correct.</x:v>
      </x:c>
      <x:c r="E191" s="12" t="str">
        <x:v>Actual export files and role/audit evidence.</x:v>
      </x:c>
      <x:c r="F191" s="12" t="str">
        <x:v>G + B + R + H-C</x:v>
      </x:c>
      <x:c r="G191" s="12" t="str">
        <x:v>SRC-01; SRC-06; SRC-07</x:v>
      </x:c>
      <x:c r="H191" s="12" t="str">
        <x:v>NOT RUN</x:v>
      </x:c>
      <x:c r="I191" s="12" t="str"/>
    </x:row>
    <x:row r="192" ht="112" customHeight="1">
      <x:c r="A192" s="12" t="str">
        <x:v>P08-19</x:v>
      </x:c>
      <x:c r="B192" s="12" t="str">
        <x:v>P08</x:v>
      </x:c>
      <x:c r="C192" s="12" t="str">
        <x:v>Follow-up queue</x:v>
      </x:c>
      <x:c r="D192" s="12" t="str">
        <x:v>Next action, responsible person, due date, safe contact and escalation survive event end and are actionable.</x:v>
      </x:c>
      <x:c r="E192" s="12" t="str">
        <x:v>Queue transition and controlled notification.</x:v>
      </x:c>
      <x:c r="F192" s="12" t="str">
        <x:v>G + B + R + H-C</x:v>
      </x:c>
      <x:c r="G192" s="12" t="str">
        <x:v>SRC-01; SRC-06; SRC-07</x:v>
      </x:c>
      <x:c r="H192" s="12" t="str">
        <x:v>NOT RUN</x:v>
      </x:c>
      <x:c r="I192" s="12" t="str"/>
    </x:row>
    <x:row r="193" ht="112" customHeight="1">
      <x:c r="A193" s="12" t="str">
        <x:v>P08-20</x:v>
      </x:c>
      <x:c r="B193" s="12" t="str">
        <x:v>P08</x:v>
      </x:c>
      <x:c r="C193" s="12" t="str">
        <x:v>Clinic reports and incidents</x:v>
      </x:c>
      <x:c r="D193" s="12" t="str">
        <x:v>Event counts reconcile without calling generation clearance; incident entry, escalation and access remain safe and truthful.</x:v>
      </x:c>
      <x:c r="E193" s="12" t="str">
        <x:v>Report/event/incident matrix.</x:v>
      </x:c>
      <x:c r="F193" s="12" t="str">
        <x:v>G + B + R + H-C</x:v>
      </x:c>
      <x:c r="G193" s="12" t="str">
        <x:v>SRC-01; SRC-06; SRC-07</x:v>
      </x:c>
      <x:c r="H193" s="12" t="str">
        <x:v>NOT RUN</x:v>
      </x:c>
      <x:c r="I193" s="12" t="str"/>
    </x:row>
    <x:row r="194" ht="112" customHeight="1">
      <x:c r="A194" s="12" t="str">
        <x:v>P08-21</x:v>
      </x:c>
      <x:c r="B194" s="12" t="str">
        <x:v>P08</x:v>
      </x:c>
      <x:c r="C194" s="12" t="str">
        <x:v>MVLP actual deployed workflow</x:v>
      </x:c>
      <x:c r="D194" s="12" t="str">
        <x:v>When MVLP is offered, its real approved intake/review/execution path works in hosted services, not only a local stand-in; no invented CLS pilot.</x:v>
      </x:c>
      <x:c r="E194" s="12" t="str">
        <x:v>MVLP native hosted journey and profile applicability.</x:v>
      </x:c>
      <x:c r="F194" s="12" t="str">
        <x:v>G + B + R + H-C</x:v>
      </x:c>
      <x:c r="G194" s="12" t="str">
        <x:v>SRC-01; SRC-06; SRC-07</x:v>
      </x:c>
      <x:c r="H194" s="12" t="str">
        <x:v>NOT RUN</x:v>
      </x:c>
      <x:c r="I194" s="12" t="str"/>
    </x:row>
    <x:row r="195" ht="112" customHeight="1">
      <x:c r="A195" s="12" t="str">
        <x:v>P08-22</x:v>
      </x:c>
      <x:c r="B195" s="12" t="str">
        <x:v>P08</x:v>
      </x:c>
      <x:c r="C195" s="12" t="str">
        <x:v>Physical rehearsal</x:v>
      </x:c>
      <x:c r="D195" s="12" t="str">
        <x:v>Staff and participants complete the documented check-in, assistance, print/sign/scan and exit flow on intended devices/network with no coaching workaround.</x:v>
      </x:c>
      <x:c r="E195" s="12" t="str">
        <x:v>Human-observed dress rehearsal and issue list.</x:v>
      </x:c>
      <x:c r="F195" s="12" t="str">
        <x:v>G + B + R + H-C</x:v>
      </x:c>
      <x:c r="G195" s="12" t="str">
        <x:v>SRC-01; SRC-06; SRC-07</x:v>
      </x:c>
      <x:c r="H195" s="12" t="str">
        <x:v>NOT RUN</x:v>
      </x:c>
      <x:c r="I195" s="12" t="str"/>
    </x:row>
    <x:row r="196" ht="112" customHeight="1">
      <x:c r="A196" s="12" t="str">
        <x:v>P08-23</x:v>
      </x:c>
      <x:c r="B196" s="12" t="str">
        <x:v>P08</x:v>
      </x:c>
      <x:c r="C196" s="12" t="str">
        <x:v>Clinic closeout</x:v>
      </x:c>
      <x:c r="D196" s="12" t="str">
        <x:v>Close event safely, reconcile sponsorship, revoke temporary access and preserve participant continuation and assigned follow-up.</x:v>
      </x:c>
      <x:c r="E196" s="12" t="str">
        <x:v>End-of-day and next-day cases.</x:v>
      </x:c>
      <x:c r="F196" s="12" t="str">
        <x:v>G + B + R + H-C</x:v>
      </x:c>
      <x:c r="G196" s="12" t="str">
        <x:v>SRC-01; SRC-06; SRC-07</x:v>
      </x:c>
      <x:c r="H196" s="12" t="str">
        <x:v>NOT RUN</x:v>
      </x:c>
      <x:c r="I196" s="12" t="str"/>
    </x:row>
    <x:row r="197" ht="112" customHeight="1">
      <x:c r="A197" s="12" t="str">
        <x:v>P09-01</x:v>
      </x:c>
      <x:c r="B197" s="12" t="str">
        <x:v>P09</x:v>
      </x:c>
      <x:c r="C197" s="12" t="str">
        <x:v>Authentication attack surface</x:v>
      </x:c>
      <x:c r="D197" s="12" t="str">
        <x:v>Session, token, reset and sign-out controls reject replay/fixation and unsafe origins; cookies/CSRF/CORS follow reviewed deployment contract.</x:v>
      </x:c>
      <x:c r="E197" s="12" t="str">
        <x:v>Authorized isolated HTTP and browser tests.</x:v>
      </x:c>
      <x:c r="F197" s="12" t="str">
        <x:v>G + R + H-S</x:v>
      </x:c>
      <x:c r="G197" s="12" t="str">
        <x:v>SRC-01; EXT-ASVS</x:v>
      </x:c>
      <x:c r="H197" s="12" t="str">
        <x:v>NOT RUN</x:v>
      </x:c>
      <x:c r="I197" s="12" t="str"/>
    </x:row>
    <x:row r="198" ht="112" customHeight="1">
      <x:c r="A198" s="12" t="str">
        <x:v>P09-02</x:v>
      </x:c>
      <x:c r="B198" s="12" t="str">
        <x:v>P09</x:v>
      </x:c>
      <x:c r="C198" s="12" t="str">
        <x:v>Object and tenant authorization</x:v>
      </x:c>
      <x:c r="D198" s="12" t="str">
        <x:v>Every sensitive endpoint/storage object/query proves ownership/role/event scope; UI hiding alone is not security.</x:v>
      </x:c>
      <x:c r="E198" s="12" t="str">
        <x:v>Endpoint-by-role/resource matrix including direct requests.</x:v>
      </x:c>
      <x:c r="F198" s="12" t="str">
        <x:v>G + R + H-S</x:v>
      </x:c>
      <x:c r="G198" s="12" t="str">
        <x:v>SRC-01; EXT-ASVS</x:v>
      </x:c>
      <x:c r="H198" s="12" t="str">
        <x:v>NOT RUN</x:v>
      </x:c>
      <x:c r="I198" s="12" t="str"/>
    </x:row>
    <x:row r="199" ht="112" customHeight="1">
      <x:c r="A199" s="12" t="str">
        <x:v>P09-03</x:v>
      </x:c>
      <x:c r="B199" s="12" t="str">
        <x:v>P09</x:v>
      </x:c>
      <x:c r="C199" s="12" t="str">
        <x:v>Database RLS and grants</x:v>
      </x:c>
      <x:c r="D199" s="12" t="str">
        <x:v>Anonymous, participant, partner and service roles have only intended row/column/RPC privileges on actual hosted schema.</x:v>
      </x:c>
      <x:c r="E199" s="12" t="str">
        <x:v>Hosted readback plus isolated adversarial SQL fixtures.</x:v>
      </x:c>
      <x:c r="F199" s="12" t="str">
        <x:v>G + R + H-S</x:v>
      </x:c>
      <x:c r="G199" s="12" t="str">
        <x:v>SRC-01; EXT-ASVS</x:v>
      </x:c>
      <x:c r="H199" s="12" t="str">
        <x:v>NOT RUN</x:v>
      </x:c>
      <x:c r="I199" s="12" t="str"/>
    </x:row>
    <x:row r="200" ht="112" customHeight="1">
      <x:c r="A200" s="12" t="str">
        <x:v>P09-04</x:v>
      </x:c>
      <x:c r="B200" s="12" t="str">
        <x:v>P09</x:v>
      </x:c>
      <x:c r="C200" s="12" t="str">
        <x:v>Payment field immutability</x:v>
      </x:c>
      <x:c r="D200" s="12" t="str">
        <x:v>Participants cannot insert/update authority-bearing paid, amount, currency, entitlement or verification fields to authorize output.</x:v>
      </x:c>
      <x:c r="E200" s="12" t="str">
        <x:v>Column/RPC/migration negative tests.</x:v>
      </x:c>
      <x:c r="F200" s="12" t="str">
        <x:v>G + R + H-S</x:v>
      </x:c>
      <x:c r="G200" s="12" t="str">
        <x:v>SRC-01; EXT-ASVS</x:v>
      </x:c>
      <x:c r="H200" s="12" t="str">
        <x:v>NOT RUN</x:v>
      </x:c>
      <x:c r="I200" s="12" t="str"/>
    </x:row>
    <x:row r="201" ht="112" customHeight="1">
      <x:c r="A201" s="12" t="str">
        <x:v>P09-05</x:v>
      </x:c>
      <x:c r="B201" s="12" t="str">
        <x:v>P09</x:v>
      </x:c>
      <x:c r="C201" s="12" t="str">
        <x:v>Service-role boundary</x:v>
      </x:c>
      <x:c r="D201" s="12" t="str">
        <x:v>Privileged clients/secrets stay server-side; participant IDs and authority come from verified context rather than request data.</x:v>
      </x:c>
      <x:c r="E201" s="12" t="str">
        <x:v>Bundle/source/log scan and tampered requests.</x:v>
      </x:c>
      <x:c r="F201" s="12" t="str">
        <x:v>G + R + H-S</x:v>
      </x:c>
      <x:c r="G201" s="12" t="str">
        <x:v>SRC-01; EXT-ASVS</x:v>
      </x:c>
      <x:c r="H201" s="12" t="str">
        <x:v>NOT RUN</x:v>
      </x:c>
      <x:c r="I201" s="12" t="str"/>
    </x:row>
    <x:row r="202" ht="112" customHeight="1">
      <x:c r="A202" s="12" t="str">
        <x:v>P09-06</x:v>
      </x:c>
      <x:c r="B202" s="12" t="str">
        <x:v>P09</x:v>
      </x:c>
      <x:c r="C202" s="12" t="str">
        <x:v>Storage isolation</x:v>
      </x:c>
      <x:c r="D202" s="12" t="str">
        <x:v>Private buckets, signed URLs, filenames and list operations cannot expose another user's record; revocation/expiry work.</x:v>
      </x:c>
      <x:c r="E202" s="12" t="str">
        <x:v>Storage URL/list/download attacks on synthetic objects.</x:v>
      </x:c>
      <x:c r="F202" s="12" t="str">
        <x:v>G + R + H-S</x:v>
      </x:c>
      <x:c r="G202" s="12" t="str">
        <x:v>SRC-01; EXT-ASVS</x:v>
      </x:c>
      <x:c r="H202" s="12" t="str">
        <x:v>NOT RUN</x:v>
      </x:c>
      <x:c r="I202" s="12" t="str"/>
    </x:row>
    <x:row r="203" ht="112" customHeight="1">
      <x:c r="A203" s="12" t="str">
        <x:v>P09-07</x:v>
      </x:c>
      <x:c r="B203" s="12" t="str">
        <x:v>P09</x:v>
      </x:c>
      <x:c r="C203" s="12" t="str">
        <x:v>Sensitive encryption and redaction</x:v>
      </x:c>
      <x:c r="D203" s="12" t="str">
        <x:v>Restricted intake is protected under the accepted cryptographic design, access audited and cleartext excluded from inappropriate storage/logs.</x:v>
      </x:c>
      <x:c r="E203" s="12" t="str">
        <x:v>Ciphertext/reveal/access/export evidence.</x:v>
      </x:c>
      <x:c r="F203" s="12" t="str">
        <x:v>G + R + H-S</x:v>
      </x:c>
      <x:c r="G203" s="12" t="str">
        <x:v>SRC-01; EXT-ASVS</x:v>
      </x:c>
      <x:c r="H203" s="12" t="str">
        <x:v>NOT RUN</x:v>
      </x:c>
      <x:c r="I203" s="12" t="str"/>
    </x:row>
    <x:row r="204" ht="112" customHeight="1">
      <x:c r="A204" s="12" t="str">
        <x:v>P09-08</x:v>
      </x:c>
      <x:c r="B204" s="12" t="str">
        <x:v>P09</x:v>
      </x:c>
      <x:c r="C204" s="12" t="str">
        <x:v>Logs analytics and traces</x:v>
      </x:c>
      <x:c r="D204" s="12" t="str">
        <x:v>Secrets, raw identifiers, case narrative and legal-aid data do not leak to telemetry, URLs, client errors or third-party recordings.</x:v>
      </x:c>
      <x:c r="E204" s="12" t="str">
        <x:v>Sanitized logs, browser payloads and provider configuration.</x:v>
      </x:c>
      <x:c r="F204" s="12" t="str">
        <x:v>G + R + H-S</x:v>
      </x:c>
      <x:c r="G204" s="12" t="str">
        <x:v>SRC-01; EXT-ASVS</x:v>
      </x:c>
      <x:c r="H204" s="12" t="str">
        <x:v>NOT RUN</x:v>
      </x:c>
      <x:c r="I204" s="12" t="str"/>
    </x:row>
    <x:row r="205" ht="112" customHeight="1">
      <x:c r="A205" s="12" t="str">
        <x:v>P09-09</x:v>
      </x:c>
      <x:c r="B205" s="12" t="str">
        <x:v>P09</x:v>
      </x:c>
      <x:c r="C205" s="12" t="str">
        <x:v>Input and injection defenses</x:v>
      </x:c>
      <x:c r="D205" s="12" t="str">
        <x:v>Applicable SQL/HTML/script/template/command/URL inputs are safe; legal text remains content, never executed instructions.</x:v>
      </x:c>
      <x:c r="E205" s="12" t="str">
        <x:v>Context-specific negative cases and code review.</x:v>
      </x:c>
      <x:c r="F205" s="12" t="str">
        <x:v>G + R + H-S</x:v>
      </x:c>
      <x:c r="G205" s="12" t="str">
        <x:v>SRC-01; EXT-ASVS</x:v>
      </x:c>
      <x:c r="H205" s="12" t="str">
        <x:v>NOT RUN</x:v>
      </x:c>
      <x:c r="I205" s="12" t="str"/>
    </x:row>
    <x:row r="206" ht="112" customHeight="1">
      <x:c r="A206" s="12" t="str">
        <x:v>P09-10</x:v>
      </x:c>
      <x:c r="B206" s="12" t="str">
        <x:v>P09</x:v>
      </x:c>
      <x:c r="C206" s="12" t="str">
        <x:v>Uploads and parsing</x:v>
      </x:c>
      <x:c r="D206" s="12" t="str">
        <x:v>File type/size/content validation, filename/path handling and parser isolation prevent malicious documents, traversal and unsupported active content.</x:v>
      </x:c>
      <x:c r="E206" s="12" t="str">
        <x:v>Synthetic upload/PDF/HTML/ZIP adversarial cases.</x:v>
      </x:c>
      <x:c r="F206" s="12" t="str">
        <x:v>G + R + H-S</x:v>
      </x:c>
      <x:c r="G206" s="12" t="str">
        <x:v>SRC-01; EXT-ASVS</x:v>
      </x:c>
      <x:c r="H206" s="12" t="str">
        <x:v>NOT RUN</x:v>
      </x:c>
      <x:c r="I206" s="12" t="str"/>
    </x:row>
    <x:row r="207" ht="112" customHeight="1">
      <x:c r="A207" s="12" t="str">
        <x:v>P09-11</x:v>
      </x:c>
      <x:c r="B207" s="12" t="str">
        <x:v>P09</x:v>
      </x:c>
      <x:c r="C207" s="12" t="str">
        <x:v>Data rights</x:v>
      </x:c>
      <x:c r="D207" s="12" t="str">
        <x:v>Export/delete/retention actions authenticate owner, cover app/storage/derived data and communicate lawful retention limits accurately.</x:v>
      </x:c>
      <x:c r="E207" s="12" t="str">
        <x:v>Synthetic data lifecycle and policy comparison.</x:v>
      </x:c>
      <x:c r="F207" s="12" t="str">
        <x:v>G + R + H-S</x:v>
      </x:c>
      <x:c r="G207" s="12" t="str">
        <x:v>SRC-01; EXT-ASVS</x:v>
      </x:c>
      <x:c r="H207" s="12" t="str">
        <x:v>NOT RUN</x:v>
      </x:c>
      <x:c r="I207" s="12" t="str"/>
    </x:row>
    <x:row r="208" ht="112" customHeight="1">
      <x:c r="A208" s="12" t="str">
        <x:v>P09-12</x:v>
      </x:c>
      <x:c r="B208" s="12" t="str">
        <x:v>P09</x:v>
      </x:c>
      <x:c r="C208" s="12" t="str">
        <x:v>Audit record integrity</x:v>
      </x:c>
      <x:c r="D208" s="12" t="str">
        <x:v>Review, consent, execution and financial authority records cannot be silently overwritten or attributed to the wrong actor.</x:v>
      </x:c>
      <x:c r="E208" s="12" t="str">
        <x:v>Tamper and revision readback cases.</x:v>
      </x:c>
      <x:c r="F208" s="12" t="str">
        <x:v>G + R + H-S</x:v>
      </x:c>
      <x:c r="G208" s="12" t="str">
        <x:v>SRC-01; EXT-ASVS</x:v>
      </x:c>
      <x:c r="H208" s="12" t="str">
        <x:v>NOT RUN</x:v>
      </x:c>
      <x:c r="I208" s="12" t="str"/>
    </x:row>
    <x:row r="209" ht="112" customHeight="1">
      <x:c r="A209" s="12" t="str">
        <x:v>P09-13</x:v>
      </x:c>
      <x:c r="B209" s="12" t="str">
        <x:v>P09</x:v>
      </x:c>
      <x:c r="C209" s="12" t="str">
        <x:v>Concurrency and replay</x:v>
      </x:c>
      <x:c r="D209" s="12" t="str">
        <x:v>Duplicate jobs, webhook retries, double sign, race at caps and stale verification cannot violate financial/document invariants.</x:v>
      </x:c>
      <x:c r="E209" s="12" t="str">
        <x:v>Controlled race and invariant checks.</x:v>
      </x:c>
      <x:c r="F209" s="12" t="str">
        <x:v>G + R + H-S</x:v>
      </x:c>
      <x:c r="G209" s="12" t="str">
        <x:v>SRC-01; EXT-ASVS</x:v>
      </x:c>
      <x:c r="H209" s="12" t="str">
        <x:v>NOT RUN</x:v>
      </x:c>
      <x:c r="I209" s="12" t="str"/>
    </x:row>
    <x:row r="210" ht="112" customHeight="1">
      <x:c r="A210" s="12" t="str">
        <x:v>P09-14</x:v>
      </x:c>
      <x:c r="B210" s="12" t="str">
        <x:v>P09</x:v>
      </x:c>
      <x:c r="C210" s="12" t="str">
        <x:v>Dependencies and secrets</x:v>
      </x:c>
      <x:c r="D210" s="12" t="str">
        <x:v>Applicable dependency vulnerabilities, exposed credentials and risky rendering/network permissions are triaged against actual exposure.</x:v>
      </x:c>
      <x:c r="E210" s="12" t="str">
        <x:v>Pinned dependency/secret scan and disposition.</x:v>
      </x:c>
      <x:c r="F210" s="12" t="str">
        <x:v>G + R + H-S</x:v>
      </x:c>
      <x:c r="G210" s="12" t="str">
        <x:v>SRC-01; EXT-ASVS</x:v>
      </x:c>
      <x:c r="H210" s="12" t="str">
        <x:v>NOT RUN</x:v>
      </x:c>
      <x:c r="I210" s="12" t="str"/>
    </x:row>
    <x:row r="211" ht="112" customHeight="1">
      <x:c r="A211" s="12" t="str">
        <x:v>P09-15</x:v>
      </x:c>
      <x:c r="B211" s="12" t="str">
        <x:v>P09</x:v>
      </x:c>
      <x:c r="C211" s="12" t="str">
        <x:v>Rate limits and abuse</x:v>
      </x:c>
      <x:c r="D211" s="12" t="str">
        <x:v>Public/auth/payment/AI/upload endpoints handle abuse and budget exhaustion without data leakage or fake success.</x:v>
      </x:c>
      <x:c r="E211" s="12" t="str">
        <x:v>Bounded acceptance load/abuse cases.</x:v>
      </x:c>
      <x:c r="F211" s="12" t="str">
        <x:v>G + R + H-S</x:v>
      </x:c>
      <x:c r="G211" s="12" t="str">
        <x:v>SRC-01; EXT-ASVS</x:v>
      </x:c>
      <x:c r="H211" s="12" t="str">
        <x:v>NOT RUN</x:v>
      </x:c>
      <x:c r="I211" s="12" t="str"/>
    </x:row>
    <x:row r="212" ht="112" customHeight="1">
      <x:c r="A212" s="12" t="str">
        <x:v>P09-16</x:v>
      </x:c>
      <x:c r="B212" s="12" t="str">
        <x:v>P09</x:v>
      </x:c>
      <x:c r="C212" s="12" t="str">
        <x:v>Document adversarial boundaries</x:v>
      </x:c>
      <x:c r="D212" s="12" t="str">
        <x:v>Prompt injection, embedded active content, forged authority, unsafe URLs and malicious metadata cannot alter approved packet selection/output.</x:v>
      </x:c>
      <x:c r="E212" s="12" t="str">
        <x:v>Malicious synthetic document and source fixtures.</x:v>
      </x:c>
      <x:c r="F212" s="12" t="str">
        <x:v>G + R + H-S</x:v>
      </x:c>
      <x:c r="G212" s="12" t="str">
        <x:v>SRC-01; EXT-ASVS</x:v>
      </x:c>
      <x:c r="H212" s="12" t="str">
        <x:v>NOT RUN</x:v>
      </x:c>
      <x:c r="I212" s="12" t="str"/>
    </x:row>
    <x:row r="213" ht="112" customHeight="1">
      <x:c r="A213" s="12" t="str">
        <x:v>P09-17</x:v>
      </x:c>
      <x:c r="B213" s="12" t="str">
        <x:v>P09</x:v>
      </x:c>
      <x:c r="C213" s="12" t="str">
        <x:v>Authorization after revocation</x:v>
      </x:c>
      <x:c r="D213" s="12" t="str">
        <x:v>Removed staff, cancelled consent, expired sponsor/event and changed review cannot keep cached authority.</x:v>
      </x:c>
      <x:c r="E213" s="12" t="str">
        <x:v>Old-session and stale-cache direct API cases.</x:v>
      </x:c>
      <x:c r="F213" s="12" t="str">
        <x:v>G + R + H-S</x:v>
      </x:c>
      <x:c r="G213" s="12" t="str">
        <x:v>SRC-01; EXT-ASVS</x:v>
      </x:c>
      <x:c r="H213" s="12" t="str">
        <x:v>NOT RUN</x:v>
      </x:c>
      <x:c r="I213" s="12" t="str"/>
    </x:row>
    <x:row r="214" ht="112" customHeight="1">
      <x:c r="A214" s="12" t="str">
        <x:v>P09-18</x:v>
      </x:c>
      <x:c r="B214" s="12" t="str">
        <x:v>P09</x:v>
      </x:c>
      <x:c r="C214" s="12" t="str">
        <x:v>Migration and rollback integrity</x:v>
      </x:c>
      <x:c r="D214" s="12" t="str">
        <x:v>Applied schema matches tested contract; upgrades and rollback preserve ownership, payments, immutable receipts and data.</x:v>
      </x:c>
      <x:c r="E214" s="12" t="str">
        <x:v>Staging backup/restore/migration results.</x:v>
      </x:c>
      <x:c r="F214" s="12" t="str">
        <x:v>G + R + H-S</x:v>
      </x:c>
      <x:c r="G214" s="12" t="str">
        <x:v>SRC-01; EXT-ASVS</x:v>
      </x:c>
      <x:c r="H214" s="12" t="str">
        <x:v>NOT RUN</x:v>
      </x:c>
      <x:c r="I214" s="12" t="str"/>
    </x:row>
    <x:row r="215" ht="112" customHeight="1">
      <x:c r="A215" s="12" t="str">
        <x:v>P09-19</x:v>
      </x:c>
      <x:c r="B215" s="12" t="str">
        <x:v>P09</x:v>
      </x:c>
      <x:c r="C215" s="12" t="str">
        <x:v>Focused security assurance</x:v>
      </x:c>
      <x:c r="D215" s="12" t="str">
        <x:v>Independent security expertise reviews high-risk uncovered boundaries; an automated scan is not labeled a penetration test or certification.</x:v>
      </x:c>
      <x:c r="E215" s="12" t="str">
        <x:v>Scoped reviewer report and unresolved-risk record.</x:v>
      </x:c>
      <x:c r="F215" s="12" t="str">
        <x:v>G + R + H-S</x:v>
      </x:c>
      <x:c r="G215" s="12" t="str">
        <x:v>SRC-01; EXT-ASVS</x:v>
      </x:c>
      <x:c r="H215" s="12" t="str">
        <x:v>NOT RUN</x:v>
      </x:c>
      <x:c r="I215" s="12" t="str"/>
    </x:row>
    <x:row r="216" ht="112" customHeight="1">
      <x:c r="A216" s="12" t="str">
        <x:v>P09-20</x:v>
      </x:c>
      <x:c r="B216" s="12" t="str">
        <x:v>P09</x:v>
      </x:c>
      <x:c r="C216" s="12" t="str">
        <x:v>Safe QA conduct</x:v>
      </x:c>
      <x:c r="D216" s="12" t="str">
        <x:v>Tests stay within approved targets/rates/identities; production writes, real charges, filing and external communications need actual authorization.</x:v>
      </x:c>
      <x:c r="E216" s="12" t="str">
        <x:v>Scope/sandbox assertions and audit trail.</x:v>
      </x:c>
      <x:c r="F216" s="12" t="str">
        <x:v>G + R + H-S</x:v>
      </x:c>
      <x:c r="G216" s="12" t="str">
        <x:v>SRC-01; EXT-ASVS</x:v>
      </x:c>
      <x:c r="H216" s="12" t="str">
        <x:v>NOT RUN</x:v>
      </x:c>
      <x:c r="I216" s="12" t="str"/>
    </x:row>
    <x:row r="217" ht="112" customHeight="1">
      <x:c r="A217" s="12" t="str">
        <x:v>P10-01</x:v>
      </x:c>
      <x:c r="B217" s="12" t="str">
        <x:v>P10</x:v>
      </x:c>
      <x:c r="C217" s="12" t="str">
        <x:v>Accessibility success criteria</x:v>
      </x:c>
      <x:c r="D217" s="12" t="str">
        <x:v>Use WCAG 2.2 A/AA criteria for applicable UI plus current accepted requirements; automation alone is not conformance proof.</x:v>
      </x:c>
      <x:c r="E217" s="12" t="str">
        <x:v>Per-criterion automated/manual applicability and evidence.</x:v>
      </x:c>
      <x:c r="F217" s="12" t="str">
        <x:v>G + R + H-A + H-C</x:v>
      </x:c>
      <x:c r="G217" s="12" t="str">
        <x:v>SRC-01; EXT-W3C; EXT-PW</x:v>
      </x:c>
      <x:c r="H217" s="12" t="str">
        <x:v>NOT RUN</x:v>
      </x:c>
      <x:c r="I217" s="12" t="str"/>
    </x:row>
    <x:row r="218" ht="112" customHeight="1">
      <x:c r="A218" s="12" t="str">
        <x:v>P10-02</x:v>
      </x:c>
      <x:c r="B218" s="12" t="str">
        <x:v>P10</x:v>
      </x:c>
      <x:c r="C218" s="12" t="str">
        <x:v>Keyboard focus and navigation</x:v>
      </x:c>
      <x:c r="D218" s="12" t="str">
        <x:v>Every actionable control works without mouse; focus is visible/logical, restored after dialogs and not obscured or trapped.</x:v>
      </x:c>
      <x:c r="E218" s="12" t="str">
        <x:v>Keyboard sequences across all distinct states.</x:v>
      </x:c>
      <x:c r="F218" s="12" t="str">
        <x:v>G + R + H-A + H-C</x:v>
      </x:c>
      <x:c r="G218" s="12" t="str">
        <x:v>SRC-01; EXT-W3C; EXT-PW</x:v>
      </x:c>
      <x:c r="H218" s="12" t="str">
        <x:v>NOT RUN</x:v>
      </x:c>
      <x:c r="I218" s="12" t="str"/>
    </x:row>
    <x:row r="219" ht="112" customHeight="1">
      <x:c r="A219" s="12" t="str">
        <x:v>P10-03</x:v>
      </x:c>
      <x:c r="B219" s="12" t="str">
        <x:v>P10</x:v>
      </x:c>
      <x:c r="C219" s="12" t="str">
        <x:v>Labels and accessible errors</x:v>
      </x:c>
      <x:c r="D219" s="12" t="str">
        <x:v>Names, roles, instructions, required states and error summaries are programmatically associated and announced usefully.</x:v>
      </x:c>
      <x:c r="E219" s="12" t="str">
        <x:v>DOM/axe plus assistive-technology observation.</x:v>
      </x:c>
      <x:c r="F219" s="12" t="str">
        <x:v>G + R + H-A + H-C</x:v>
      </x:c>
      <x:c r="G219" s="12" t="str">
        <x:v>SRC-01; EXT-W3C; EXT-PW</x:v>
      </x:c>
      <x:c r="H219" s="12" t="str">
        <x:v>NOT RUN</x:v>
      </x:c>
      <x:c r="I219" s="12" t="str"/>
    </x:row>
    <x:row r="220" ht="112" customHeight="1">
      <x:c r="A220" s="12" t="str">
        <x:v>P10-04</x:v>
      </x:c>
      <x:c r="B220" s="12" t="str">
        <x:v>P10</x:v>
      </x:c>
      <x:c r="C220" s="12" t="str">
        <x:v>Zoom reflow and contrast</x:v>
      </x:c>
      <x:c r="D220" s="12" t="str">
        <x:v>Text, contrast, resize/reflow, target sizes and noncolor cues remain usable on intended screens and magnification.</x:v>
      </x:c>
      <x:c r="E220" s="12" t="str">
        <x:v>Measured UI plus zoom/mobile screenshots.</x:v>
      </x:c>
      <x:c r="F220" s="12" t="str">
        <x:v>G + R + H-A + H-C</x:v>
      </x:c>
      <x:c r="G220" s="12" t="str">
        <x:v>SRC-01; EXT-W3C; EXT-PW</x:v>
      </x:c>
      <x:c r="H220" s="12" t="str">
        <x:v>NOT RUN</x:v>
      </x:c>
      <x:c r="I220" s="12" t="str"/>
    </x:row>
    <x:row r="221" ht="112" customHeight="1">
      <x:c r="A221" s="12" t="str">
        <x:v>P10-05</x:v>
      </x:c>
      <x:c r="B221" s="12" t="str">
        <x:v>P10</x:v>
      </x:c>
      <x:c r="C221" s="12" t="str">
        <x:v>Screen-reader real use</x:v>
      </x:c>
      <x:c r="D221" s="12" t="str">
        <x:v>Qualified human uses actual supported screen-reader/browser combinations for critical journeys and dynamic states.</x:v>
      </x:c>
      <x:c r="E221" s="12" t="str">
        <x:v>Assistive-tech session notes/recording and defects.</x:v>
      </x:c>
      <x:c r="F221" s="12" t="str">
        <x:v>G + R + H-A + H-C</x:v>
      </x:c>
      <x:c r="G221" s="12" t="str">
        <x:v>SRC-01; EXT-W3C; EXT-PW</x:v>
      </x:c>
      <x:c r="H221" s="12" t="str">
        <x:v>NOT RUN</x:v>
      </x:c>
      <x:c r="I221" s="12" t="str"/>
    </x:row>
    <x:row r="222" ht="112" customHeight="1">
      <x:c r="A222" s="12" t="str">
        <x:v>P10-06</x:v>
      </x:c>
      <x:c r="B222" s="12" t="str">
        <x:v>P10</x:v>
      </x:c>
      <x:c r="C222" s="12" t="str">
        <x:v>Accessible authentication/timeouts</x:v>
      </x:c>
      <x:c r="D222" s="12" t="str">
        <x:v>Auth/recovery, memory demands, OTP flows and timeout warning/extension meet applicable accessibility and safety needs.</x:v>
      </x:c>
      <x:c r="E222" s="12" t="str">
        <x:v>Auth and timed human/browser tests.</x:v>
      </x:c>
      <x:c r="F222" s="12" t="str">
        <x:v>G + R + H-A + H-C</x:v>
      </x:c>
      <x:c r="G222" s="12" t="str">
        <x:v>SRC-01; EXT-W3C; EXT-PW</x:v>
      </x:c>
      <x:c r="H222" s="12" t="str">
        <x:v>NOT RUN</x:v>
      </x:c>
      <x:c r="I222" s="12" t="str"/>
    </x:row>
    <x:row r="223" ht="112" customHeight="1">
      <x:c r="A223" s="12" t="str">
        <x:v>P10-07</x:v>
      </x:c>
      <x:c r="B223" s="12" t="str">
        <x:v>P10</x:v>
      </x:c>
      <x:c r="C223" s="12" t="str">
        <x:v>Every locale string</x:v>
      </x:c>
      <x:c r="D223" s="12" t="str">
        <x:v>All customer-facing prompts, messages, statuses, guide content and dynamic data render correctly in EN/ES with no missing keys or fallback.</x:v>
      </x:c>
      <x:c r="E223" s="12" t="str">
        <x:v>String/state coverage and bilingual review.</x:v>
      </x:c>
      <x:c r="F223" s="12" t="str">
        <x:v>G + R + H-A + H-C</x:v>
      </x:c>
      <x:c r="G223" s="12" t="str">
        <x:v>SRC-01; EXT-W3C; EXT-PW</x:v>
      </x:c>
      <x:c r="H223" s="12" t="str">
        <x:v>NOT RUN</x:v>
      </x:c>
      <x:c r="I223" s="12" t="str"/>
    </x:row>
    <x:row r="224" ht="112" customHeight="1">
      <x:c r="A224" s="12" t="str">
        <x:v>P10-08</x:v>
      </x:c>
      <x:c r="B224" s="12" t="str">
        <x:v>P10</x:v>
      </x:c>
      <x:c r="C224" s="12" t="str">
        <x:v>Translation comprehension</x:v>
      </x:c>
      <x:c r="D224" s="12" t="str">
        <x:v>Important legal/safety/consent wording and complex new Spanish content are understandable to a fluent human; no false equivalence from machine translation.</x:v>
      </x:c>
      <x:c r="E224" s="12" t="str">
        <x:v>Bilingual reviewer findings and corrected strings.</x:v>
      </x:c>
      <x:c r="F224" s="12" t="str">
        <x:v>G + R + H-A + H-C</x:v>
      </x:c>
      <x:c r="G224" s="12" t="str">
        <x:v>SRC-01; EXT-W3C; EXT-PW</x:v>
      </x:c>
      <x:c r="H224" s="12" t="str">
        <x:v>NOT RUN</x:v>
      </x:c>
      <x:c r="I224" s="12" t="str"/>
    </x:row>
    <x:row r="225" ht="112" customHeight="1">
      <x:c r="A225" s="12" t="str">
        <x:v>P10-09</x:v>
      </x:c>
      <x:c r="B225" s="12" t="str">
        <x:v>P10</x:v>
      </x:c>
      <x:c r="C225" s="12" t="str">
        <x:v>Document accessibility</x:v>
      </x:c>
      <x:c r="D225" s="12" t="str">
        <x:v>Guides provide appropriate reading order, language, headings and text alternatives; inaccessible official forms are not altered unlawfully or claimed accessible.</x:v>
      </x:c>
      <x:c r="E225" s="12" t="str">
        <x:v>PDF inspection and accessible alternative/workflow evidence.</x:v>
      </x:c>
      <x:c r="F225" s="12" t="str">
        <x:v>G + R + H-A + H-C</x:v>
      </x:c>
      <x:c r="G225" s="12" t="str">
        <x:v>SRC-01; EXT-W3C; EXT-PW</x:v>
      </x:c>
      <x:c r="H225" s="12" t="str">
        <x:v>NOT RUN</x:v>
      </x:c>
      <x:c r="I225" s="12" t="str"/>
    </x:row>
    <x:row r="226" ht="112" customHeight="1">
      <x:c r="A226" s="12" t="str">
        <x:v>P10-10</x:v>
      </x:c>
      <x:c r="B226" s="12" t="str">
        <x:v>P10</x:v>
      </x:c>
      <x:c r="C226" s="12" t="str">
        <x:v>Browser engines</x:v>
      </x:c>
      <x:c r="D226" s="12" t="str">
        <x:v>Declared supported desktop engines run critical state/channel paths; engine failures are not hidden as retries.</x:v>
      </x:c>
      <x:c r="E226" s="12" t="str">
        <x:v>Pinned Chromium/Firefox/WebKit projects and results.</x:v>
      </x:c>
      <x:c r="F226" s="12" t="str">
        <x:v>G + R + H-A + H-C</x:v>
      </x:c>
      <x:c r="G226" s="12" t="str">
        <x:v>SRC-01; EXT-W3C; EXT-PW</x:v>
      </x:c>
      <x:c r="H226" s="12" t="str">
        <x:v>NOT RUN</x:v>
      </x:c>
      <x:c r="I226" s="12" t="str"/>
    </x:row>
    <x:row r="227" ht="112" customHeight="1">
      <x:c r="A227" s="12" t="str">
        <x:v>P10-11</x:v>
      </x:c>
      <x:c r="B227" s="12" t="str">
        <x:v>P10</x:v>
      </x:c>
      <x:c r="C227" s="12" t="str">
        <x:v>Real mobile and clinic devices</x:v>
      </x:c>
      <x:c r="D227" s="12" t="str">
        <x:v>Actual iOS/Android/clinic devices cover keyboard, autofill, PDF view/download, file uploads and session reset beyond emulation.</x:v>
      </x:c>
      <x:c r="E227" s="12" t="str">
        <x:v>Device/operator evidence.</x:v>
      </x:c>
      <x:c r="F227" s="12" t="str">
        <x:v>G + R + H-A + H-C</x:v>
      </x:c>
      <x:c r="G227" s="12" t="str">
        <x:v>SRC-01; EXT-W3C; EXT-PW</x:v>
      </x:c>
      <x:c r="H227" s="12" t="str">
        <x:v>NOT RUN</x:v>
      </x:c>
      <x:c r="I227" s="12" t="str"/>
    </x:row>
    <x:row r="228" ht="112" customHeight="1">
      <x:c r="A228" s="12" t="str">
        <x:v>P10-12</x:v>
      </x:c>
      <x:c r="B228" s="12" t="str">
        <x:v>P10</x:v>
      </x:c>
      <x:c r="C228" s="12" t="str">
        <x:v>Responsive all screens</x:v>
      </x:c>
      <x:c r="D228" s="12" t="str">
        <x:v>Every distinct UI state is inspected at desktop/mobile widths, long content and text size; no overlap or hidden critical actions.</x:v>
      </x:c>
      <x:c r="E228" s="12" t="str">
        <x:v>Per-state screenshots and reviewed index.</x:v>
      </x:c>
      <x:c r="F228" s="12" t="str">
        <x:v>G + R + H-A + H-C</x:v>
      </x:c>
      <x:c r="G228" s="12" t="str">
        <x:v>SRC-01; EXT-W3C; EXT-PW</x:v>
      </x:c>
      <x:c r="H228" s="12" t="str">
        <x:v>NOT RUN</x:v>
      </x:c>
      <x:c r="I228" s="12" t="str"/>
    </x:row>
    <x:row r="229" ht="112" customHeight="1">
      <x:c r="A229" s="12" t="str">
        <x:v>P10-13</x:v>
      </x:c>
      <x:c r="B229" s="12" t="str">
        <x:v>P10</x:v>
      </x:c>
      <x:c r="C229" s="12" t="str">
        <x:v>Load and response budget</x:v>
      </x:c>
      <x:c r="D229" s="12" t="str">
        <x:v>Screen/save/auth/payment-return/render/download perform within agreed numeric budgets at intended concurrent clinic/consumer load.</x:v>
      </x:c>
      <x:c r="E229" s="12" t="str">
        <x:v>p50/p95/error rate/throughput and agreed targets.</x:v>
      </x:c>
      <x:c r="F229" s="12" t="str">
        <x:v>G + R + H-A + H-C</x:v>
      </x:c>
      <x:c r="G229" s="12" t="str">
        <x:v>SRC-01; EXT-W3C; EXT-PW</x:v>
      </x:c>
      <x:c r="H229" s="12" t="str">
        <x:v>NOT RUN</x:v>
      </x:c>
      <x:c r="I229" s="12" t="str"/>
    </x:row>
    <x:row r="230" ht="112" customHeight="1">
      <x:c r="A230" s="12" t="str">
        <x:v>P10-14</x:v>
      </x:c>
      <x:c r="B230" s="12" t="str">
        <x:v>P10</x:v>
      </x:c>
      <x:c r="C230" s="12" t="str">
        <x:v>Cold start and resource limits</x:v>
      </x:c>
      <x:c r="D230" s="12" t="str">
        <x:v>Worker cold start, memory limits, large packets and storage/network latency degrade safely and recover without duplicate charges.</x:v>
      </x:c>
      <x:c r="E230" s="12" t="str">
        <x:v>Cold/large/slow runtime measurements.</x:v>
      </x:c>
      <x:c r="F230" s="12" t="str">
        <x:v>G + R + H-A + H-C</x:v>
      </x:c>
      <x:c r="G230" s="12" t="str">
        <x:v>SRC-01; EXT-W3C; EXT-PW</x:v>
      </x:c>
      <x:c r="H230" s="12" t="str">
        <x:v>NOT RUN</x:v>
      </x:c>
      <x:c r="I230" s="12" t="str"/>
    </x:row>
    <x:row r="231" ht="112" customHeight="1">
      <x:c r="A231" s="12" t="str">
        <x:v>P10-15</x:v>
      </x:c>
      <x:c r="B231" s="12" t="str">
        <x:v>P10</x:v>
      </x:c>
      <x:c r="C231" s="12" t="str">
        <x:v>Failure-mode UX</x:v>
      </x:c>
      <x:c r="D231" s="12" t="str">
        <x:v>Provider outage, offline reconnect, slow APIs, browser refresh and render failures have honest recoverable states.</x:v>
      </x:c>
      <x:c r="E231" s="12" t="str">
        <x:v>Controlled fault scenarios.</x:v>
      </x:c>
      <x:c r="F231" s="12" t="str">
        <x:v>G + R + H-A + H-C</x:v>
      </x:c>
      <x:c r="G231" s="12" t="str">
        <x:v>SRC-01; EXT-W3C; EXT-PW</x:v>
      </x:c>
      <x:c r="H231" s="12" t="str">
        <x:v>NOT RUN</x:v>
      </x:c>
      <x:c r="I231" s="12" t="str"/>
    </x:row>
    <x:row r="232" ht="112" customHeight="1">
      <x:c r="A232" s="12" t="str">
        <x:v>P10-16</x:v>
      </x:c>
      <x:c r="B232" s="12" t="str">
        <x:v>P10</x:v>
      </x:c>
      <x:c r="C232" s="12" t="str">
        <x:v>PDF print and scan use</x:v>
      </x:c>
      <x:c r="D232" s="12" t="str">
        <x:v>Actual letter-printing/scale/margins/signature space/legibility and clinic scan-return workflows are usable.</x:v>
      </x:c>
      <x:c r="E232" s="12" t="str">
        <x:v>Representative physical print/scan human evidence plus all digital pages.</x:v>
      </x:c>
      <x:c r="F232" s="12" t="str">
        <x:v>G + R + H-A + H-C</x:v>
      </x:c>
      <x:c r="G232" s="12" t="str">
        <x:v>SRC-01; EXT-W3C; EXT-PW</x:v>
      </x:c>
      <x:c r="H232" s="12" t="str">
        <x:v>NOT RUN</x:v>
      </x:c>
      <x:c r="I232" s="12" t="str"/>
    </x:row>
    <x:row r="233" ht="112" customHeight="1">
      <x:c r="A233" s="12" t="str">
        <x:v>P10-17</x:v>
      </x:c>
      <x:c r="B233" s="12" t="str">
        <x:v>P10</x:v>
      </x:c>
      <x:c r="C233" s="12" t="str">
        <x:v>Accessible help and human comprehension</x:v>
      </x:c>
      <x:c r="D233" s="12" t="str">
        <x:v>New users can identify cost, next task, filing material and help without insider explanation; disclosures are not contradictory.</x:v>
      </x:c>
      <x:c r="E233" s="12" t="str">
        <x:v>Short observed EN/ES participant tasks.</x:v>
      </x:c>
      <x:c r="F233" s="12" t="str">
        <x:v>G + R + H-A + H-C</x:v>
      </x:c>
      <x:c r="G233" s="12" t="str">
        <x:v>SRC-01; EXT-W3C; EXT-PW</x:v>
      </x:c>
      <x:c r="H233" s="12" t="str">
        <x:v>NOT RUN</x:v>
      </x:c>
      <x:c r="I233" s="12" t="str"/>
    </x:row>
    <x:row r="234" ht="112" customHeight="1">
      <x:c r="A234" s="12" t="str">
        <x:v>P10-18</x:v>
      </x:c>
      <x:c r="B234" s="12" t="str">
        <x:v>P10</x:v>
      </x:c>
      <x:c r="C234" s="12" t="str">
        <x:v>Operational endurance</x:v>
      </x:c>
      <x:c r="D234" s="12" t="str">
        <x:v>A bounded sustained-load and repeated clinic cycle meets targets without growing leaks, stuck work or accounting drift.</x:v>
      </x:c>
      <x:c r="E234" s="12" t="str">
        <x:v>Soak summary and end-state reconciliation.</x:v>
      </x:c>
      <x:c r="F234" s="12" t="str">
        <x:v>G + R + H-A + H-C</x:v>
      </x:c>
      <x:c r="G234" s="12" t="str">
        <x:v>SRC-01; EXT-W3C; EXT-PW</x:v>
      </x:c>
      <x:c r="H234" s="12" t="str">
        <x:v>NOT RUN</x:v>
      </x:c>
      <x:c r="I234" s="12" t="str"/>
    </x:row>
    <x:row r="235" ht="112" customHeight="1">
      <x:c r="A235" s="12" t="str">
        <x:v>P11-01</x:v>
      </x:c>
      <x:c r="B235" s="12" t="str">
        <x:v>P11</x:v>
      </x:c>
      <x:c r="C235" s="12" t="str">
        <x:v>All required instances resolved</x:v>
      </x:c>
      <x:c r="D235" s="12" t="str">
        <x:v>Every in-scope route/component/journey/page/role/variant instance is passed or a supported true N/A; blocked/unreviewed/skipped is not a pass.</x:v>
      </x:c>
      <x:c r="E235" s="12" t="str">
        <x:v>Coverage reconciliation and applicability evidence.</x:v>
      </x:c>
      <x:c r="F235" s="12" t="str">
        <x:v>G + R + H-O</x:v>
      </x:c>
      <x:c r="G235" s="12" t="str">
        <x:v>SRC-01; SRC-02</x:v>
      </x:c>
      <x:c r="H235" s="12" t="str">
        <x:v>NOT RUN</x:v>
      </x:c>
      <x:c r="I235" s="12" t="str"/>
    </x:row>
    <x:row r="236" ht="112" customHeight="1">
      <x:c r="A236" s="12" t="str">
        <x:v>P11-02</x:v>
      </x:c>
      <x:c r="B236" s="12" t="str">
        <x:v>P11</x:v>
      </x:c>
      <x:c r="C236" s="12" t="str">
        <x:v>All 51 jurisdiction sign-off</x:v>
      </x:c>
      <x:c r="D236" s="12" t="str">
        <x:v>Each jurisdiction has legal, document, UX/channel, local-scope and evidence status; none inherits another state's pass.</x:v>
      </x:c>
      <x:c r="E236" s="12" t="str">
        <x:v>Jurisdiction coverage roll-up.</x:v>
      </x:c>
      <x:c r="F236" s="12" t="str">
        <x:v>G + R + H-O</x:v>
      </x:c>
      <x:c r="G236" s="12" t="str">
        <x:v>SRC-01; SRC-02</x:v>
      </x:c>
      <x:c r="H236" s="12" t="str">
        <x:v>NOT RUN</x:v>
      </x:c>
      <x:c r="I236" s="12" t="str"/>
    </x:row>
    <x:row r="237" ht="112" customHeight="1">
      <x:c r="A237" s="12" t="str">
        <x:v>P11-03</x:v>
      </x:c>
      <x:c r="B237" s="12" t="str">
        <x:v>P11</x:v>
      </x:c>
      <x:c r="C237" s="12" t="str">
        <x:v>No hidden coverage reduction</x:v>
      </x:c>
      <x:c r="D237" s="12" t="str">
        <x:v>No intended route was removed, suppressed or renamed unsupported to clear QA; authorized scope change remains separately visible.</x:v>
      </x:c>
      <x:c r="E237" s="12" t="str">
        <x:v>Frozen versus final scope diff.</x:v>
      </x:c>
      <x:c r="F237" s="12" t="str">
        <x:v>G + R + H-O</x:v>
      </x:c>
      <x:c r="G237" s="12" t="str">
        <x:v>SRC-01; SRC-02</x:v>
      </x:c>
      <x:c r="H237" s="12" t="str">
        <x:v>NOT RUN</x:v>
      </x:c>
      <x:c r="I237" s="12" t="str"/>
    </x:row>
    <x:row r="238" ht="112" customHeight="1">
      <x:c r="A238" s="12" t="str">
        <x:v>P11-04</x:v>
      </x:c>
      <x:c r="B238" s="12" t="str">
        <x:v>P11</x:v>
      </x:c>
      <x:c r="C238" s="12" t="str">
        <x:v>Required tests truly pass</x:v>
      </x:c>
      <x:c r="D238" s="12" t="str">
        <x:v>Current build/type/lint/release jobs all execute and pass; absent/filtered/skipped jobs and first-page-only workflow listings are reconciled.</x:v>
      </x:c>
      <x:c r="E238" s="12" t="str">
        <x:v>Complete run/job/step/artifact inventory.</x:v>
      </x:c>
      <x:c r="F238" s="12" t="str">
        <x:v>G + R + H-O</x:v>
      </x:c>
      <x:c r="G238" s="12" t="str">
        <x:v>SRC-01; SRC-02</x:v>
      </x:c>
      <x:c r="H238" s="12" t="str">
        <x:v>NOT RUN</x:v>
      </x:c>
      <x:c r="I238" s="12" t="str"/>
    </x:row>
    <x:row r="239" ht="112" customHeight="1">
      <x:c r="A239" s="12" t="str">
        <x:v>P11-05</x:v>
      </x:c>
      <x:c r="B239" s="12" t="str">
        <x:v>P11</x:v>
      </x:c>
      <x:c r="C239" s="12" t="str">
        <x:v>Fix retest and blast radius</x:v>
      </x:c>
      <x:c r="D239" s="12" t="str">
        <x:v>Each fix has failing-before/passing-after proof and tests for all affected shared consumers; unchanged evidence is reused only when applicable.</x:v>
      </x:c>
      <x:c r="E239" s="12" t="str">
        <x:v>Defect closure links and dependency delta.</x:v>
      </x:c>
      <x:c r="F239" s="12" t="str">
        <x:v>G + R + H-O</x:v>
      </x:c>
      <x:c r="G239" s="12" t="str">
        <x:v>SRC-01; SRC-02</x:v>
      </x:c>
      <x:c r="H239" s="12" t="str">
        <x:v>NOT RUN</x:v>
      </x:c>
      <x:c r="I239" s="12" t="str"/>
    </x:row>
    <x:row r="240" ht="112" customHeight="1">
      <x:c r="A240" s="12" t="str">
        <x:v>P11-06</x:v>
      </x:c>
      <x:c r="B240" s="12" t="str">
        <x:v>P11</x:v>
      </x:c>
      <x:c r="C240" s="12" t="str">
        <x:v>No baseline-test false positives</x:v>
      </x:c>
      <x:c r="D240" s="12" t="str">
        <x:v>Expected mutation failures are attributed to intended invariant; no-op/crash/unchanged-red cannot earn detection.</x:v>
      </x:c>
      <x:c r="E240" s="12" t="str">
        <x:v>Harness controls and targeted signal evidence.</x:v>
      </x:c>
      <x:c r="F240" s="12" t="str">
        <x:v>G + R + H-O</x:v>
      </x:c>
      <x:c r="G240" s="12" t="str">
        <x:v>SRC-01; SRC-02</x:v>
      </x:c>
      <x:c r="H240" s="12" t="str">
        <x:v>NOT RUN</x:v>
      </x:c>
      <x:c r="I240" s="12" t="str"/>
    </x:row>
    <x:row r="241" ht="112" customHeight="1">
      <x:c r="A241" s="12" t="str">
        <x:v>P11-07</x:v>
      </x:c>
      <x:c r="B241" s="12" t="str">
        <x:v>P11</x:v>
      </x:c>
      <x:c r="C241" s="12" t="str">
        <x:v>Final artifact integrity</x:v>
      </x:c>
      <x:c r="D241" s="12" t="str">
        <x:v>Final source/templates/data/assets match accepted worker image and emitted files; no mutable tag substitution or post-test unreviewed output.</x:v>
      </x:c>
      <x:c r="E241" s="12" t="str">
        <x:v>Exact release tuple and download hashes.</x:v>
      </x:c>
      <x:c r="F241" s="12" t="str">
        <x:v>G + R + H-O</x:v>
      </x:c>
      <x:c r="G241" s="12" t="str">
        <x:v>SRC-01; SRC-02</x:v>
      </x:c>
      <x:c r="H241" s="12" t="str">
        <x:v>NOT RUN</x:v>
      </x:c>
      <x:c r="I241" s="12" t="str"/>
    </x:row>
    <x:row r="242" ht="112" customHeight="1">
      <x:c r="A242" s="12" t="str">
        <x:v>P11-08</x:v>
      </x:c>
      <x:c r="B242" s="12" t="str">
        <x:v>P11</x:v>
      </x:c>
      <x:c r="C242" s="12" t="str">
        <x:v>Actual migration state</x:v>
      </x:c>
      <x:c r="D242" s="12" t="str">
        <x:v>Necessary schema and compatibility migrations are applied in target and checked; committed SQL alone is insufficient.</x:v>
      </x:c>
      <x:c r="E242" s="12" t="str">
        <x:v>Target migration readback and recovery record.</x:v>
      </x:c>
      <x:c r="F242" s="12" t="str">
        <x:v>G + R + H-O</x:v>
      </x:c>
      <x:c r="G242" s="12" t="str">
        <x:v>SRC-01; SRC-02</x:v>
      </x:c>
      <x:c r="H242" s="12" t="str">
        <x:v>NOT RUN</x:v>
      </x:c>
      <x:c r="I242" s="12" t="str"/>
    </x:row>
    <x:row r="243" ht="112" customHeight="1">
      <x:c r="A243" s="12" t="str">
        <x:v>P11-09</x:v>
      </x:c>
      <x:c r="B243" s="12" t="str">
        <x:v>P11</x:v>
      </x:c>
      <x:c r="C243" s="12" t="str">
        <x:v>Hosted full DTC journey</x:v>
      </x:c>
      <x:c r="D243" s="12" t="str">
        <x:v>Final candidate completes real sandbox payment through exact generated/downloaded packet, without admin shortcut.</x:v>
      </x:c>
      <x:c r="E243" s="12" t="str">
        <x:v>Connected browser/provider/DB/worker/artifact trace.</x:v>
      </x:c>
      <x:c r="F243" s="12" t="str">
        <x:v>G + R + H-O</x:v>
      </x:c>
      <x:c r="G243" s="12" t="str">
        <x:v>SRC-01; SRC-02</x:v>
      </x:c>
      <x:c r="H243" s="12" t="str">
        <x:v>NOT RUN</x:v>
      </x:c>
      <x:c r="I243" s="12" t="str"/>
    </x:row>
    <x:row r="244" ht="112" customHeight="1">
      <x:c r="A244" s="12" t="str">
        <x:v>P11-10</x:v>
      </x:c>
      <x:c r="B244" s="12" t="str">
        <x:v>P11</x:v>
      </x:c>
      <x:c r="C244" s="12" t="str">
        <x:v>Hosted RCAP and clinic journeys</x:v>
      </x:c>
      <x:c r="D244" s="12" t="str">
        <x:v>All distinct intended partner/clinic profiles complete corresponding hosted sponsor and follow-up workflows.</x:v>
      </x:c>
      <x:c r="E244" s="12" t="str">
        <x:v>Hosted end-to-end evidence and channel matrix.</x:v>
      </x:c>
      <x:c r="F244" s="12" t="str">
        <x:v>G + R + H-O</x:v>
      </x:c>
      <x:c r="G244" s="12" t="str">
        <x:v>SRC-01; SRC-02</x:v>
      </x:c>
      <x:c r="H244" s="12" t="str">
        <x:v>NOT RUN</x:v>
      </x:c>
      <x:c r="I244" s="12" t="str"/>
    </x:row>
    <x:row r="245" ht="112" customHeight="1">
      <x:c r="A245" s="12" t="str">
        <x:v>P11-11</x:v>
      </x:c>
      <x:c r="B245" s="12" t="str">
        <x:v>P11</x:v>
      </x:c>
      <x:c r="C245" s="12" t="str">
        <x:v>Approval applicability</x:v>
      </x:c>
      <x:c r="D245" s="12" t="str">
        <x:v>Required owner/legal/output/security/human checks correspond to the final changed artifacts and scope; no forged or blindly rolled approvals.</x:v>
      </x:c>
      <x:c r="E245" s="12" t="str">
        <x:v>Final review records and bindings.</x:v>
      </x:c>
      <x:c r="F245" s="12" t="str">
        <x:v>G + R + H-O</x:v>
      </x:c>
      <x:c r="G245" s="12" t="str">
        <x:v>SRC-01; SRC-02</x:v>
      </x:c>
      <x:c r="H245" s="12" t="str">
        <x:v>NOT RUN</x:v>
      </x:c>
      <x:c r="I245" s="12" t="str"/>
    </x:row>
    <x:row r="246" ht="112" customHeight="1">
      <x:c r="A246" s="12" t="str">
        <x:v>P11-12</x:v>
      </x:c>
      <x:c r="B246" s="12" t="str">
        <x:v>P11</x:v>
      </x:c>
      <x:c r="C246" s="12" t="str">
        <x:v>Production promotion permission</x:v>
      </x:c>
      <x:c r="D246" s="12" t="str">
        <x:v>Exact target and accepted candidate have genuine authorization; outstanding push/production holds are not overridden by QA.</x:v>
      </x:c>
      <x:c r="E246" s="12" t="str">
        <x:v>Owner decision and deployment identity.</x:v>
      </x:c>
      <x:c r="F246" s="12" t="str">
        <x:v>G + R + H-O</x:v>
      </x:c>
      <x:c r="G246" s="12" t="str">
        <x:v>SRC-01; SRC-02</x:v>
      </x:c>
      <x:c r="H246" s="12" t="str">
        <x:v>NOT RUN</x:v>
      </x:c>
      <x:c r="I246" s="12" t="str"/>
    </x:row>
    <x:row r="247" ht="112" customHeight="1">
      <x:c r="A247" s="12" t="str">
        <x:v>P11-13</x:v>
      </x:c>
      <x:c r="B247" s="12" t="str">
        <x:v>P11</x:v>
      </x:c>
      <x:c r="C247" s="12" t="str">
        <x:v>Production smoke</x:v>
      </x:c>
      <x:c r="D247" s="12" t="str">
        <x:v>Authorized real-domain entry/auth/save/review/help/download boundary checks confirm deployed candidate, configuration and packaged assets.</x:v>
      </x:c>
      <x:c r="E247" s="12" t="str">
        <x:v>Smoke results, deployment ID and sanitized runtime logs.</x:v>
      </x:c>
      <x:c r="F247" s="12" t="str">
        <x:v>G + R + H-O</x:v>
      </x:c>
      <x:c r="G247" s="12" t="str">
        <x:v>SRC-01; SRC-02</x:v>
      </x:c>
      <x:c r="H247" s="12" t="str">
        <x:v>NOT RUN</x:v>
      </x:c>
      <x:c r="I247" s="12" t="str"/>
    </x:row>
    <x:row r="248" ht="112" customHeight="1">
      <x:c r="A248" s="12" t="str">
        <x:v>P11-14</x:v>
      </x:c>
      <x:c r="B248" s="12" t="str">
        <x:v>P11</x:v>
      </x:c>
      <x:c r="C248" s="12" t="str">
        <x:v>Operations and alerts</x:v>
      </x:c>
      <x:c r="D248" s="12" t="str">
        <x:v>Stuck paid work, render/download failures, security/clinic incidents and provider errors reach a named responder; no sensitive telemetry.</x:v>
      </x:c>
      <x:c r="E248" s="12" t="str">
        <x:v>Controlled alert/support drill and ownership.</x:v>
      </x:c>
      <x:c r="F248" s="12" t="str">
        <x:v>G + R + H-O</x:v>
      </x:c>
      <x:c r="G248" s="12" t="str">
        <x:v>SRC-01; SRC-02</x:v>
      </x:c>
      <x:c r="H248" s="12" t="str">
        <x:v>NOT RUN</x:v>
      </x:c>
      <x:c r="I248" s="12" t="str"/>
    </x:row>
    <x:row r="249" ht="112" customHeight="1">
      <x:c r="A249" s="12" t="str">
        <x:v>P11-15</x:v>
      </x:c>
      <x:c r="B249" s="12" t="str">
        <x:v>P11</x:v>
      </x:c>
      <x:c r="C249" s="12" t="str">
        <x:v>Refund/recovery and rollback</x:v>
      </x:c>
      <x:c r="D249" s="12" t="str">
        <x:v>Existing support/refund/retry and known-good rollback procedures are executable, protect entitlements and match current schema.</x:v>
      </x:c>
      <x:c r="E249" s="12" t="str">
        <x:v>Sandbox operations rehearsal and rollback target.</x:v>
      </x:c>
      <x:c r="F249" s="12" t="str">
        <x:v>G + R + H-O</x:v>
      </x:c>
      <x:c r="G249" s="12" t="str">
        <x:v>SRC-01; SRC-02</x:v>
      </x:c>
      <x:c r="H249" s="12" t="str">
        <x:v>NOT RUN</x:v>
      </x:c>
      <x:c r="I249" s="12" t="str"/>
    </x:row>
    <x:row r="250" ht="112" customHeight="1">
      <x:c r="A250" s="12" t="str">
        <x:v>P11-16</x:v>
      </x:c>
      <x:c r="B250" s="12" t="str">
        <x:v>P11</x:v>
      </x:c>
      <x:c r="C250" s="12" t="str">
        <x:v>No mutation/test residue</x:v>
      </x:c>
      <x:c r="D250" s="12" t="str">
        <x:v>All processes complete, files restore, test users/artifacts are handled by policy and no synthetic data contaminates customer metrics.</x:v>
      </x:c>
      <x:c r="E250" s="12" t="str">
        <x:v>Final tree/process and fixture cleanup evidence.</x:v>
      </x:c>
      <x:c r="F250" s="12" t="str">
        <x:v>G + R + H-O</x:v>
      </x:c>
      <x:c r="G250" s="12" t="str">
        <x:v>SRC-01; SRC-02</x:v>
      </x:c>
      <x:c r="H250" s="12" t="str">
        <x:v>NOT RUN</x:v>
      </x:c>
      <x:c r="I250" s="12" t="str"/>
    </x:row>
    <x:row r="251" ht="112" customHeight="1">
      <x:c r="A251" s="12" t="str">
        <x:v>P11-17</x:v>
      </x:c>
      <x:c r="B251" s="12" t="str">
        <x:v>P11</x:v>
      </x:c>
      <x:c r="C251" s="12" t="str">
        <x:v>Final report is bounded</x:v>
      </x:c>
      <x:c r="D251" s="12" t="str">
        <x:v>Report exact reviewed release, counts, coverage, direct vs delegated proofs, human decisions, and open defects; never promise flawless future behavior.</x:v>
      </x:c>
      <x:c r="E251" s="12" t="str">
        <x:v>Signed final QA recommendation with links.</x:v>
      </x:c>
      <x:c r="F251" s="12" t="str">
        <x:v>G + R + H-O</x:v>
      </x:c>
      <x:c r="G251" s="12" t="str">
        <x:v>SRC-01; SRC-02</x:v>
      </x:c>
      <x:c r="H251" s="12" t="str">
        <x:v>NOT RUN</x:v>
      </x:c>
      <x:c r="I251" s="12" t="str"/>
    </x:row>
    <x:row r="252" ht="112" customHeight="1">
      <x:c r="A252" s="12" t="str">
        <x:v>P11-18</x:v>
      </x:c>
      <x:c r="B252" s="12" t="str">
        <x:v>P11</x:v>
      </x:c>
      <x:c r="C252" s="12" t="str">
        <x:v>Finish and maintenance handoff</x:v>
      </x:c>
      <x:c r="D252" s="12" t="str">
        <x:v>Required work is complete before launch recommendation; later legal/form/software changes trigger scoped regression, not permanent audit work.</x:v>
      </x:c>
      <x:c r="E252" s="12" t="str">
        <x:v>Final decision and existing maintenance owner.</x:v>
      </x:c>
      <x:c r="F252" s="12" t="str">
        <x:v>G + R + H-O</x:v>
      </x:c>
      <x:c r="G252" s="12" t="str">
        <x:v>SRC-01; SRC-02</x:v>
      </x:c>
      <x:c r="H252" s="12" t="str">
        <x:v>NOT RUN</x:v>
      </x:c>
      <x:c r="I252" s="12" t="str"/>
    </x:row>
  </x:sheetData>
  <x:mergeCells>
    <x:mergeCell ref="A1:I1"/>
    <x:mergeCell ref="A2:I2"/>
  </x:mergeCells>
  <x:conditionalFormatting sqref="H5:H1000">
    <x:cfRule type="expression" dxfId="5" priority="1">
      <x:formula>H5="PASS"</x:formula>
    </x:cfRule>
    <x:cfRule type="expression" dxfId="6" priority="2">
      <x:formula>H5="FAIL"</x:formula>
    </x:cfRule>
    <x:cfRule type="expression" dxfId="7" priority="3">
      <x:formula>H5="BLOCKED"</x:formula>
    </x:cfRule>
    <x:cfRule type="expression" dxfId="8" priority="4">
      <x:formula>H5="STALE"</x:formula>
    </x:cfRule>
    <x:cfRule type="expression" dxfId="9" priority="5">
      <x:formula>H5="IN PROGRESS"</x:formula>
    </x:cfRule>
  </x:conditionalFormatting>
  <x:dataValidations count="1">
    <x:dataValidation type="list" sqref="H5:H1000">
      <x:formula1>"NOT RUN,IN PROGRESS,PASS,FAIL,BLOCKED,NOT APPLICABLE,STALE"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7a3553a6f047f7"/>
  </x:tableParts>
</x:worksheet>
</file>

<file path=xl/worksheets/sheet4.xml><?xml version="1.0" encoding="utf-8"?>
<x:worksheet xmlns:ns1="http://schemas.openxmlformats.org/officeDocument/2006/relationships"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40" hidden="0" customWidth="1"/>
    <x:col min="5" max="5" width="40" hidden="0" customWidth="1"/>
    <x:col min="6" max="6" width="18" hidden="0" customWidth="1"/>
    <x:col min="7" max="7" width="12" hidden="0" customWidth="1"/>
    <x:col min="8" max="8" width="34" hidden="0" customWidth="1"/>
    <x:col min="9" max="9" width="20" hidden="0" customWidth="1"/>
    <x:col min="10" max="10" width="40" hidden="0" customWidth="1"/>
    <x:col min="11" max="11" width="40" hidden="0" customWidth="1"/>
    <x:col min="12" max="12" width="20" hidden="0" customWidth="1"/>
    <x:col min="13" max="13" width="16" hidden="0" customWidth="1"/>
    <x:col min="14" max="14" width="40" hidden="0" customWidth="1"/>
  </x:cols>
  <x:sheetData>
    <x:row r="1" ht="32" customHeight="1">
      <x:c r="A1" s="3" t="str">
        <x:v>FINAL QA / EXECUTION INSTANCES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4" customHeight="1">
      <x:c r="A2" s="7" t="str">
        <x:v>Populate at P00 from actual scope. One row per Control × Entity × meaningful Variant. Add rows to this table (no fixed count limit). Missing/blocked/stale/skipped is never PASS.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2" customHeight="1">
      <x:c r="A4" s="18" t="str">
        <x:v>Case ID</x:v>
      </x:c>
      <x:c r="B4" s="18" t="str">
        <x:v>Control ID</x:v>
      </x:c>
      <x:c r="C4" s="18" t="str">
        <x:v>Jurisdiction</x:v>
      </x:c>
      <x:c r="D4" s="18" t="str">
        <x:v>Entity / exact route</x:v>
      </x:c>
      <x:c r="E4" s="18" t="str">
        <x:v>Local / component / outcome variant</x:v>
      </x:c>
      <x:c r="F4" s="18" t="str">
        <x:v>Channel</x:v>
      </x:c>
      <x:c r="G4" s="18" t="str">
        <x:v>Locale</x:v>
      </x:c>
      <x:c r="H4" s="18" t="str">
        <x:v>Candidate / config version</x:v>
      </x:c>
      <x:c r="I4" s="18" t="str">
        <x:v>Status</x:v>
      </x:c>
      <x:c r="J4" s="18" t="str">
        <x:v>Observed result</x:v>
      </x:c>
      <x:c r="K4" s="18" t="str">
        <x:v>Evidence locator</x:v>
      </x:c>
      <x:c r="L4" s="18" t="str">
        <x:v>Reviewer</x:v>
      </x:c>
      <x:c r="M4" s="18" t="str">
        <x:v>Defect ID</x:v>
      </x:c>
      <x:c r="N4" s="18" t="str">
        <x:v>N/A or reuse rationale</x:v>
      </x:c>
    </x:row>
    <x:row r="5">
      <x:c r="A5" t="inlineStr">
        <x:is>
          <x:t>D4-RECOVERY-F1F2</x:t>
        </x:is>
      </x:c>
      <x:c r="B5" t="inlineStr">
        <x:is>
          <x:t>P08-08</x:t>
        </x:is>
      </x:c>
      <x:c r="C5" t="inlineStr">
        <x:is>
          <x:t>All 51</x:t>
        </x:is>
      </x:c>
      <x:c r="D5" t="inlineStr">
        <x:is>
          <x:t>Clinic reset prepare/close/complete</x:t>
        </x:is>
      </x:c>
      <x:c r="E5" t="inlineStr">
        <x:is>
          <x:t>Network/preparation/expiry/re-auth/reload faults</x:t>
        </x:is>
      </x:c>
      <x:c r="F5" t="inlineStr">
        <x:is>
          <x:t>Shared</x:t>
        </x:is>
      </x:c>
      <x:c r="G5" t="inlineStr">
        <x:is>
          <x:t>EN</x:t>
        </x:is>
      </x:c>
      <x:c r="H5" t="inlineStr">
        <x:is>
          <x:t>Amendment commit containing this record</x:t>
        </x:is>
      </x:c>
      <x:c r="I5" t="inlineStr">
        <x:is>
          <x:t>IN PROGRESS</x:t>
        </x:is>
      </x:c>
      <x:c r="J5" t="inlineStr">
        <x:is>
          <x:t>Local controls pass; independent review and hosted scope pending</x:t>
        </x:is>
      </x:c>
      <x:c r="K5" t="inlineStr">
        <x:is>
          <x:t>CODEX_D3_D4_PRODUCT_SUCCESSOR_REVISION/REVIEW.md</x:t>
        </x:is>
      </x:c>
      <x:c r="L5" t="inlineStr">
        <x:is>
          <x:t>Claude review pending</x:t>
        </x:is>
      </x:c>
      <x:c r="M5" t="inlineStr">
        <x:is>
          <x:t>CLAUDE-4723-F1-F2</x:t>
        </x:is>
      </x:c>
      <x:c r="N5" t="inlineStr">
        <x:is>
          <x:t>D3 implementation unchanged</x:t>
        </x:is>
      </x:c>
    </x:row>
    <x:row r="6">
      <x:c r="A6" t="inlineStr">
        <x:is>
          <x:t>D4-ENTRY-F4</x:t>
        </x:is>
      </x:c>
      <x:c r="B6" t="inlineStr">
        <x:is>
          <x:t>P08-08</x:t>
        </x:is>
      </x:c>
      <x:c r="C6" t="inlineStr">
        <x:is>
          <x:t>All 51</x:t>
        </x:is>
      </x:c>
      <x:c r="D6" t="inlineStr">
        <x:is>
          <x:t>/clinic/reset; /clinic; /clinic/&lt;eventSlug&gt;</x:t>
        </x:is>
      </x:c>
      <x:c r="E6" t="inlineStr">
        <x:is>
          <x:t>Canonical event association; missing/invalid context</x:t>
        </x:is>
      </x:c>
      <x:c r="F6" t="inlineStr">
        <x:is>
          <x:t>Shared</x:t>
        </x:is>
      </x:c>
      <x:c r="G6" t="inlineStr">
        <x:is>
          <x:t>EN</x:t>
        </x:is>
      </x:c>
      <x:c r="H6" t="inlineStr">
        <x:is>
          <x:t>Amendment commit containing this record</x:t>
        </x:is>
      </x:c>
      <x:c r="I6" t="inlineStr">
        <x:is>
          <x:t>IN PROGRESS</x:t>
        </x:is>
      </x:c>
      <x:c r="J6" t="inlineStr">
        <x:is>
          <x:t>Actual product routes in compiled/browser controls</x:t>
        </x:is>
      </x:c>
      <x:c r="K6" t="inlineStr">
        <x:is>
          <x:t>CODEX_D3_D4_PRODUCT_SUCCESSOR_REVISION/REVIEW.md</x:t>
        </x:is>
      </x:c>
      <x:c r="L6" t="inlineStr">
        <x:is>
          <x:t>Claude review pending</x:t>
        </x:is>
      </x:c>
      <x:c r="M6" t="inlineStr">
        <x:is>
          <x:t>CLAUDE-4723-F4</x:t>
        </x:is>
      </x:c>
      <x:c r="N6" t="inlineStr">
        <x:is>
          <x:t>No synthetic success landing</x:t>
        </x:is>
      </x:c>
    </x:row>
    <x:row r="7">
      <x:c r="A7" t="inlineStr">
        <x:is>
          <x:t>D4-BOUNDARY-O3</x:t>
        </x:is>
      </x:c>
      <x:c r="B7" t="inlineStr">
        <x:is>
          <x:t>P09-17</x:t>
        </x:is>
      </x:c>
      <x:c r="C7" t="inlineStr">
        <x:is>
          <x:t>All 51</x:t>
        </x:is>
      </x:c>
      <x:c r="D7" t="inlineStr">
        <x:is>
          <x:t>Proxy documents/RSC/private APIs</x:t>
        </x:is>
      </x:c>
      <x:c r="E7" t="inlineStr">
        <x:is>
          <x:t>Locked response, not DOM mask</x:t>
        </x:is>
      </x:c>
      <x:c r="F7" t="inlineStr">
        <x:is>
          <x:t>Shared</x:t>
        </x:is>
      </x:c>
      <x:c r="G7" t="inlineStr">
        <x:is>
          <x:t>EN</x:t>
        </x:is>
      </x:c>
      <x:c r="H7" t="inlineStr">
        <x:is>
          <x:t>Amendment commit containing this record</x:t>
        </x:is>
      </x:c>
      <x:c r="I7" t="inlineStr">
        <x:is>
          <x:t>IN PROGRESS</x:t>
        </x:is>
      </x:c>
      <x:c r="J7" t="inlineStr">
        <x:is>
          <x:t>Full-build HTTP evidence in revision package</x:t>
        </x:is>
      </x:c>
      <x:c r="K7" t="inlineStr">
        <x:is>
          <x:t>CODEX_D3_D4_PRODUCT_SUCCESSOR_REVISION/evidence/full-build-boundary.log</x:t>
        </x:is>
      </x:c>
      <x:c r="L7" t="inlineStr">
        <x:is>
          <x:t>Claude review pending</x:t>
        </x:is>
      </x:c>
      <x:c r="M7" t="inlineStr">
        <x:is>
          <x:t>CLAUDE-4723-O3</x:t>
        </x:is>
      </x:c>
      <x:c r="N7" t="inlineStr">
        <x:is>
          <x:t>Marker restricts; does not authorize</x:t>
        </x:is>
      </x:c>
    </x:row>
    <x:row r="8">
      <x:c r="A8" t="inlineStr">
        <x:is>
          <x:t>D4-CONNECTED-F3</x:t>
        </x:is>
      </x:c>
      <x:c r="B8" t="inlineStr">
        <x:is>
          <x:t>P09-01</x:t>
        </x:is>
      </x:c>
      <x:c r="C8" t="inlineStr">
        <x:is>
          <x:t>All 51</x:t>
        </x:is>
      </x:c>
      <x:c r="D8" t="inlineStr">
        <x:is>
          <x:t>Current endpoint lifecycle</x:t>
        </x:is>
      </x:c>
      <x:c r="E8" t="inlineStr">
        <x:is>
          <x:t>D1 preventive denial; D2 shutdown; canonical PG closure</x:t>
        </x:is>
      </x:c>
      <x:c r="F8" t="inlineStr">
        <x:is>
          <x:t>Shared</x:t>
        </x:is>
      </x:c>
      <x:c r="G8" t="inlineStr">
        <x:is>
          <x:t>EN</x:t>
        </x:is>
      </x:c>
      <x:c r="H8" t="inlineStr">
        <x:is>
          <x:t>Amendment commit containing this record</x:t>
        </x:is>
      </x:c>
      <x:c r="I8" t="inlineStr">
        <x:is>
          <x:t>IN PROGRESS</x:t>
        </x:is>
      </x:c>
      <x:c r="J8" t="inlineStr">
        <x:is>
          <x:t>Current connected positive/negative controls; historical fixture separately pinned</x:t>
        </x:is>
      </x:c>
      <x:c r="K8" t="inlineStr">
        <x:is>
          <x:t>CODEX_D3_D4_PRODUCT_SUCCESSOR_REVISION/evidence/connected-successor.log</x:t>
        </x:is>
      </x:c>
      <x:c r="L8" t="inlineStr">
        <x:is>
          <x:t>Claude review pending</x:t>
        </x:is>
      </x:c>
      <x:c r="M8" t="inlineStr">
        <x:is>
          <x:t>CLAUDE-4723-F3</x:t>
        </x:is>
      </x:c>
      <x:c r="N8" t="inlineStr">
        <x:is>
          <x:t>No hosted checkpoint repin</x:t>
        </x:is>
      </x:c>
    </x:row>
    <x:row r="9">
      <x:c r="A9" t="inlineStr">
        <x:is>
          <x:t>B001-NV-automatic_discharge</x:t>
        </x:is>
      </x:c>
      <x:c r="B9" t="inlineStr">
        <x:is>
          <x:t>P02-06</x:t>
        </x:is>
      </x:c>
      <x:c r="C9" t="inlineStr">
        <x:is>
          <x:t>NV</x:t>
        </x:is>
      </x:c>
      <x:c r="D9" t="inlineStr">
        <x:is>
          <x:t>NV:probation-or-specialty-court-dismissal-set-aside-sealing</x:t>
        </x:is>
      </x:c>
      <x:c r="E9" t="inlineStr">
        <x:is>
          <x:t>automatic_discharge</x:t>
        </x:is>
      </x:c>
      <x:c r="F9" t="inlineStr">
        <x:is>
          <x:t>Public API</x:t>
        </x:is>
      </x:c>
      <x:c r="G9" t="inlineStr">
        <x:is>
          <x:t>canonical wire</x:t>
        </x:is>
      </x:c>
      <x:c r="H9" t="inlineStr">
        <x:is>
          <x:t>f5204e12ddb8e7445a70ef2c043dd2173e7e676e</x:t>
        </x:is>
      </x:c>
      <x:c r="I9" t="inlineStr">
        <x:is>
          <x:t>PASS</x:t>
        </x:is>
      </x:c>
      <x:c r="J9" t="inlineStr">
        <x:is>
          <x:t>Runtime: expected guidance_only; observed guidance_only; HTTP 200; commercial flags held=True. Independent QA NOT RUN.</x:t>
        </x:is>
      </x:c>
      <x:c r="K9" t="inlineStr">
        <x:is>
          <x:t>/workspaces/training-modules-09-10/output/nationwide-correction-execution-20261011/checkpoints/active-assignments-20261012-v1/final-acceptance-batch-001/API-RESULTS-v1.json</x:t>
        </x:is>
      </x:c>
      <x:c r="L9" t="inlineStr">
        <x:is>
          <x:t>R Codex executed; G independent QA pending; H-L qualified legal review pending</x:t>
        </x:is>
      </x:c>
      <x:c r="M9" t="inlineStr">
        <x:is>
          <x:t>GA-42</x:t>
        </x:is>
      </x:c>
      <x:c r="N9" t="inlineStr">
        <x:is>
          <x:t>Only exact source-derived assertion, not complete route or delivery. EXPECTED.json</x:t>
        </x:is>
      </x:c>
    </x:row>
    <x:row r="10">
      <x:c r="A10" t="inlineStr">
        <x:is>
          <x:t>B001-NV-petition_elapsed</x:t>
        </x:is>
      </x:c>
      <x:c r="B10" t="inlineStr">
        <x:is>
          <x:t>P02-03</x:t>
        </x:is>
      </x:c>
      <x:c r="C10" t="inlineStr">
        <x:is>
          <x:t>NV</x:t>
        </x:is>
      </x:c>
      <x:c r="D10" t="inlineStr">
        <x:is>
          <x:t>NV:probation-or-specialty-court-dismissal-set-aside-sealing</x:t>
        </x:is>
      </x:c>
      <x:c r="E10" t="inlineStr">
        <x:is>
          <x:t>petition_elapsed</x:t>
        </x:is>
      </x:c>
      <x:c r="F10" t="inlineStr">
        <x:is>
          <x:t>Public API</x:t>
        </x:is>
      </x:c>
      <x:c r="G10" t="inlineStr">
        <x:is>
          <x:t>canonical wire</x:t>
        </x:is>
      </x:c>
      <x:c r="H10" t="inlineStr">
        <x:is>
          <x:t>f5204e12ddb8e7445a70ef2c043dd2173e7e676e</x:t>
        </x:is>
      </x:c>
      <x:c r="I10" t="inlineStr">
        <x:is>
          <x:t>PASS</x:t>
        </x:is>
      </x:c>
      <x:c r="J10" t="inlineStr">
        <x:is>
          <x:t>Runtime: expected packet_ready_with_caution; observed packet_ready_with_caution; HTTP 200; commercial flags held=True. Independent QA NOT RUN.</x:t>
        </x:is>
      </x:c>
      <x:c r="K10" t="inlineStr">
        <x:is>
          <x:t>/workspaces/training-modules-09-10/output/nationwide-correction-execution-20261011/checkpoints/active-assignments-20261012-v1/final-acceptance-batch-001/API-RESULTS-v1.json</x:t>
        </x:is>
      </x:c>
      <x:c r="L10" t="inlineStr">
        <x:is>
          <x:t>R Codex executed; G independent QA pending; H-L qualified legal review pending</x:t>
        </x:is>
      </x:c>
      <x:c r="M10" t="inlineStr">
        <x:is>
          <x:t>GA-42</x:t>
        </x:is>
      </x:c>
      <x:c r="N10" t="inlineStr">
        <x:is>
          <x:t>Only exact source-derived assertion, not complete route or delivery. EXPECTED.json</x:t>
        </x:is>
      </x:c>
    </x:row>
    <x:row r="11">
      <x:c r="A11" t="inlineStr">
        <x:is>
          <x:t>B001-NV-petition_recent</x:t>
        </x:is>
      </x:c>
      <x:c r="B11" t="inlineStr">
        <x:is>
          <x:t>P02-03</x:t>
        </x:is>
      </x:c>
      <x:c r="C11" t="inlineStr">
        <x:is>
          <x:t>NV</x:t>
        </x:is>
      </x:c>
      <x:c r="D11" t="inlineStr">
        <x:is>
          <x:t>NV:probation-or-specialty-court-dismissal-set-aside-sealing</x:t>
        </x:is>
      </x:c>
      <x:c r="E11" t="inlineStr">
        <x:is>
          <x:t>petition_recent</x:t>
        </x:is>
      </x:c>
      <x:c r="F11" t="inlineStr">
        <x:is>
          <x:t>Public API</x:t>
        </x:is>
      </x:c>
      <x:c r="G11" t="inlineStr">
        <x:is>
          <x:t>canonical wire</x:t>
        </x:is>
      </x:c>
      <x:c r="H11" t="inlineStr">
        <x:is>
          <x:t>f5204e12ddb8e7445a70ef2c043dd2173e7e676e</x:t>
        </x:is>
      </x:c>
      <x:c r="I11" t="inlineStr">
        <x:is>
          <x:t>PASS</x:t>
        </x:is>
      </x:c>
      <x:c r="J11" t="inlineStr">
        <x:is>
          <x:t>Runtime: expected not_yet; observed not_yet; HTTP 200; commercial flags held=True. Independent QA NOT RUN.</x:t>
        </x:is>
      </x:c>
      <x:c r="K11" t="inlineStr">
        <x:is>
          <x:t>/workspaces/training-modules-09-10/output/nationwide-correction-execution-20261011/checkpoints/active-assignments-20261012-v1/final-acceptance-batch-001/API-RESULTS-v1.json</x:t>
        </x:is>
      </x:c>
      <x:c r="L11" t="inlineStr">
        <x:is>
          <x:t>R Codex executed; G independent QA pending; H-L qualified legal review pending</x:t>
        </x:is>
      </x:c>
      <x:c r="M11" t="inlineStr">
        <x:is>
          <x:t>GA-42</x:t>
        </x:is>
      </x:c>
      <x:c r="N11" t="inlineStr">
        <x:is>
          <x:t>Only exact source-derived assertion, not complete route or delivery. EXPECTED.json</x:t>
        </x:is>
      </x:c>
    </x:row>
    <x:row r="12">
      <x:c r="A12" t="inlineStr">
        <x:is>
          <x:t>B001-NV-excluded_charge</x:t>
        </x:is>
      </x:c>
      <x:c r="B12" t="inlineStr">
        <x:is>
          <x:t>P02-03</x:t>
        </x:is>
      </x:c>
      <x:c r="C12" t="inlineStr">
        <x:is>
          <x:t>NV</x:t>
        </x:is>
      </x:c>
      <x:c r="D12" t="inlineStr">
        <x:is>
          <x:t>NV:probation-or-specialty-court-dismissal-set-aside-sealing</x:t>
        </x:is>
      </x:c>
      <x:c r="E12" t="inlineStr">
        <x:is>
          <x:t>excluded_charge</x:t>
        </x:is>
      </x:c>
      <x:c r="F12" t="inlineStr">
        <x:is>
          <x:t>Public API</x:t>
        </x:is>
      </x:c>
      <x:c r="G12" t="inlineStr">
        <x:is>
          <x:t>canonical wire</x:t>
        </x:is>
      </x:c>
      <x:c r="H12" t="inlineStr">
        <x:is>
          <x:t>f5204e12ddb8e7445a70ef2c043dd2173e7e676e</x:t>
        </x:is>
      </x:c>
      <x:c r="I12" t="inlineStr">
        <x:is>
          <x:t>PASS</x:t>
        </x:is>
      </x:c>
      <x:c r="J12" t="inlineStr">
        <x:is>
          <x:t>Runtime: expected likely_not_eligible; observed likely_not_eligible; HTTP 200; commercial flags held=True. Independent QA NOT RUN.</x:t>
        </x:is>
      </x:c>
      <x:c r="K12" t="inlineStr">
        <x:is>
          <x:t>/workspaces/training-modules-09-10/output/nationwide-correction-execution-20261011/checkpoints/active-assignments-20261012-v1/final-acceptance-batch-001/API-RESULTS-v1.json</x:t>
        </x:is>
      </x:c>
      <x:c r="L12" t="inlineStr">
        <x:is>
          <x:t>R Codex executed; G independent QA pending; H-L qualified legal review pending</x:t>
        </x:is>
      </x:c>
      <x:c r="M12" t="inlineStr">
        <x:is>
          <x:t>GA-42</x:t>
        </x:is>
      </x:c>
      <x:c r="N12" t="inlineStr">
        <x:is>
          <x:t>Only exact source-derived assertion, not complete route or delivery. EXPECTED.json</x:t>
        </x:is>
      </x:c>
    </x:row>
    <x:row r="13">
      <x:c r="A13" t="inlineStr">
        <x:is>
          <x:t>B001-NV-unknown_disposition</x:t>
        </x:is>
      </x:c>
      <x:c r="B13" t="inlineStr">
        <x:is>
          <x:t>P02-05</x:t>
        </x:is>
      </x:c>
      <x:c r="C13" t="inlineStr">
        <x:is>
          <x:t>NV</x:t>
        </x:is>
      </x:c>
      <x:c r="D13" t="inlineStr">
        <x:is>
          <x:t>NV:probation-or-specialty-court-dismissal-set-aside-sealing</x:t>
        </x:is>
      </x:c>
      <x:c r="E13" t="inlineStr">
        <x:is>
          <x:t>unknown_disposition</x:t>
        </x:is>
      </x:c>
      <x:c r="F13" t="inlineStr">
        <x:is>
          <x:t>Public API</x:t>
        </x:is>
      </x:c>
      <x:c r="G13" t="inlineStr">
        <x:is>
          <x:t>canonical wire</x:t>
        </x:is>
      </x:c>
      <x:c r="H13" t="inlineStr">
        <x:is>
          <x:t>f5204e12ddb8e7445a70ef2c043dd2173e7e676e</x:t>
        </x:is>
      </x:c>
      <x:c r="I13" t="inlineStr">
        <x:is>
          <x:t>PASS</x:t>
        </x:is>
      </x:c>
      <x:c r="J13" t="inlineStr">
        <x:is>
          <x:t>Runtime: expected needs_more_info; observed needs_more_info; HTTP 200; commercial flags held=True. Independent QA NOT RUN.</x:t>
        </x:is>
      </x:c>
      <x:c r="K13" t="inlineStr">
        <x:is>
          <x:t>/workspaces/training-modules-09-10/output/nationwide-correction-execution-20261011/checkpoints/active-assignments-20261012-v1/final-acceptance-batch-001/API-RESULTS-v1.json</x:t>
        </x:is>
      </x:c>
      <x:c r="L13" t="inlineStr">
        <x:is>
          <x:t>R Codex executed; G independent QA pending; H-L qualified legal review pending</x:t>
        </x:is>
      </x:c>
      <x:c r="M13" t="inlineStr">
        <x:is>
          <x:t>GA-42</x:t>
        </x:is>
      </x:c>
      <x:c r="N13" t="inlineStr">
        <x:is>
          <x:t>Only exact source-derived assertion, not complete route or delivery. EXPECTED.json</x:t>
        </x:is>
      </x:c>
    </x:row>
    <x:row r="14">
      <x:c r="A14" t="inlineStr">
        <x:is>
          <x:t>B001-NV-seven-year-day-before</x:t>
        </x:is>
      </x:c>
      <x:c r="B14" t="inlineStr">
        <x:is>
          <x:t>P02-04</x:t>
        </x:is>
      </x:c>
      <x:c r="C14" t="inlineStr">
        <x:is>
          <x:t>NV</x:t>
        </x:is>
      </x:c>
      <x:c r="D14" t="inlineStr">
        <x:is>
          <x:t>NV:probation-or-specialty-court-dismissal-set-aside-sealing</x:t>
        </x:is>
      </x:c>
      <x:c r="E14" t="inlineStr">
        <x:is>
          <x:t>boundary</x:t>
        </x:is>
      </x:c>
      <x:c r="F14" t="inlineStr">
        <x:is>
          <x:t>Public API</x:t>
        </x:is>
      </x:c>
      <x:c r="G14" t="inlineStr">
        <x:is>
          <x:t>canonical wire</x:t>
        </x:is>
      </x:c>
      <x:c r="H14" t="inlineStr">
        <x:is>
          <x:t>f5204e12ddb8e7445a70ef2c043dd2173e7e676e</x:t>
        </x:is>
      </x:c>
      <x:c r="I14" t="inlineStr">
        <x:is>
          <x:t>PASS</x:t>
        </x:is>
      </x:c>
      <x:c r="J14" t="inlineStr">
        <x:is>
          <x:t>Runtime: expected not_yet; observed not_yet; HTTP 200; commercial flags held=True. Independent QA NOT RUN.</x:t>
        </x:is>
      </x:c>
      <x:c r="K14" t="inlineStr">
        <x:is>
          <x:t>/workspaces/training-modules-09-10/output/nationwide-correction-execution-20261011/checkpoints/active-assignments-20261012-v1/final-acceptance-batch-001/API-RESULTS-v1.json</x:t>
        </x:is>
      </x:c>
      <x:c r="L14" t="inlineStr">
        <x:is>
          <x:t>R Codex executed; G independent QA pending; H-L qualified legal review pending</x:t>
        </x:is>
      </x:c>
      <x:c r="M14" t="inlineStr">
        <x:is>
          <x:t>GA-42</x:t>
        </x:is>
      </x:c>
      <x:c r="N14" t="inlineStr">
        <x:is>
          <x:t>Only exact source-derived assertion, not complete route or delivery. EXPECTED.json</x:t>
        </x:is>
      </x:c>
    </x:row>
    <x:row r="15">
      <x:c r="A15" t="inlineStr">
        <x:is>
          <x:t>B001-NV-seven-year-anniversary</x:t>
        </x:is>
      </x:c>
      <x:c r="B15" t="inlineStr">
        <x:is>
          <x:t>P02-04</x:t>
        </x:is>
      </x:c>
      <x:c r="C15" t="inlineStr">
        <x:is>
          <x:t>NV</x:t>
        </x:is>
      </x:c>
      <x:c r="D15" t="inlineStr">
        <x:is>
          <x:t>NV:probation-or-specialty-court-dismissal-set-aside-sealing</x:t>
        </x:is>
      </x:c>
      <x:c r="E15" t="inlineStr">
        <x:is>
          <x:t>boundary</x:t>
        </x:is>
      </x:c>
      <x:c r="F15" t="inlineStr">
        <x:is>
          <x:t>Public API</x:t>
        </x:is>
      </x:c>
      <x:c r="G15" t="inlineStr">
        <x:is>
          <x:t>canonical wire</x:t>
        </x:is>
      </x:c>
      <x:c r="H15" t="inlineStr">
        <x:is>
          <x:t>f5204e12ddb8e7445a70ef2c043dd2173e7e676e</x:t>
        </x:is>
      </x:c>
      <x:c r="I15" t="inlineStr">
        <x:is>
          <x:t>PASS</x:t>
        </x:is>
      </x:c>
      <x:c r="J15" t="inlineStr">
        <x:is>
          <x:t>Runtime: expected packet_ready_with_caution; observed packet_ready_with_caution; HTTP 200; commercial flags held=True. Independent QA NOT RUN.</x:t>
        </x:is>
      </x:c>
      <x:c r="K15" t="inlineStr">
        <x:is>
          <x:t>/workspaces/training-modules-09-10/output/nationwide-correction-execution-20261011/checkpoints/active-assignments-20261012-v1/final-acceptance-batch-001/API-RESULTS-v1.json</x:t>
        </x:is>
      </x:c>
      <x:c r="L15" t="inlineStr">
        <x:is>
          <x:t>R Codex executed; G independent QA pending; H-L qualified legal review pending</x:t>
        </x:is>
      </x:c>
      <x:c r="M15" t="inlineStr">
        <x:is>
          <x:t>GA-42</x:t>
        </x:is>
      </x:c>
      <x:c r="N15" t="inlineStr">
        <x:is>
          <x:t>Only exact source-derived assertion, not complete route or delivery. EXPECTED.json</x:t>
        </x:is>
      </x:c>
    </x:row>
    <x:row r="16">
      <x:c r="A16" t="inlineStr">
        <x:is>
          <x:t>B001-NV-seven-year-day-after</x:t>
        </x:is>
      </x:c>
      <x:c r="B16" t="inlineStr">
        <x:is>
          <x:t>P02-04</x:t>
        </x:is>
      </x:c>
      <x:c r="C16" t="inlineStr">
        <x:is>
          <x:t>NV</x:t>
        </x:is>
      </x:c>
      <x:c r="D16" t="inlineStr">
        <x:is>
          <x:t>NV:probation-or-specialty-court-dismissal-set-aside-sealing</x:t>
        </x:is>
      </x:c>
      <x:c r="E16" t="inlineStr">
        <x:is>
          <x:t>boundary</x:t>
        </x:is>
      </x:c>
      <x:c r="F16" t="inlineStr">
        <x:is>
          <x:t>Public API</x:t>
        </x:is>
      </x:c>
      <x:c r="G16" t="inlineStr">
        <x:is>
          <x:t>canonical wire</x:t>
        </x:is>
      </x:c>
      <x:c r="H16" t="inlineStr">
        <x:is>
          <x:t>f5204e12ddb8e7445a70ef2c043dd2173e7e676e</x:t>
        </x:is>
      </x:c>
      <x:c r="I16" t="inlineStr">
        <x:is>
          <x:t>PASS</x:t>
        </x:is>
      </x:c>
      <x:c r="J16" t="inlineStr">
        <x:is>
          <x:t>Runtime: expected packet_ready_with_caution; observed packet_ready_with_caution; HTTP 200; commercial flags held=True. Independent QA NOT RUN.</x:t>
        </x:is>
      </x:c>
      <x:c r="K16" t="inlineStr">
        <x:is>
          <x:t>/workspaces/training-modules-09-10/output/nationwide-correction-execution-20261011/checkpoints/active-assignments-20261012-v1/final-acceptance-batch-001/API-RESULTS-v1.json</x:t>
        </x:is>
      </x:c>
      <x:c r="L16" t="inlineStr">
        <x:is>
          <x:t>R Codex executed; G independent QA pending; H-L qualified legal review pending</x:t>
        </x:is>
      </x:c>
      <x:c r="M16" t="inlineStr">
        <x:is>
          <x:t>GA-42</x:t>
        </x:is>
      </x:c>
      <x:c r="N16" t="inlineStr">
        <x:is>
          <x:t>Only exact source-derived assertion, not complete route or delivery. EXPECTED.json</x:t>
        </x:is>
      </x:c>
    </x:row>
    <x:row r="17">
      <x:c r="A17" t="inlineStr">
        <x:is>
          <x:t>B001-NY-positive</x:t>
        </x:is>
      </x:c>
      <x:c r="B17" t="inlineStr">
        <x:is>
          <x:t>P02-03</x:t>
        </x:is>
      </x:c>
      <x:c r="C17" t="inlineStr">
        <x:is>
          <x:t>NY</x:t>
        </x:is>
      </x:c>
      <x:c r="D17" t="inlineStr">
        <x:is>
          <x:t>NY:discretionary-conviction-sealing-by-petition-under-cpl-160-59</x:t>
        </x:is>
      </x:c>
      <x:c r="E17" t="inlineStr">
        <x:is>
          <x:t>positive</x:t>
        </x:is>
      </x:c>
      <x:c r="F17" t="inlineStr">
        <x:is>
          <x:t>Public API</x:t>
        </x:is>
      </x:c>
      <x:c r="G17" t="inlineStr">
        <x:is>
          <x:t>canonical wire</x:t>
        </x:is>
      </x:c>
      <x:c r="H17" t="inlineStr">
        <x:is>
          <x:t>f5204e12ddb8e7445a70ef2c043dd2173e7e676e</x:t>
        </x:is>
      </x:c>
      <x:c r="I17" t="inlineStr">
        <x:is>
          <x:t>PASS</x:t>
        </x:is>
      </x:c>
      <x:c r="J17" t="inlineStr">
        <x:is>
          <x:t>Runtime: expected packet_ready_with_caution; observed packet_ready_with_caution; HTTP 200; commercial flags held=True. Independent QA NOT RUN.</x:t>
        </x:is>
      </x:c>
      <x:c r="K17" t="inlineStr">
        <x:is>
          <x:t>/workspaces/training-modules-09-10/output/nationwide-correction-execution-20261011/checkpoints/active-assignments-20261012-v1/final-acceptance-batch-001/API-RESULTS-v1.json</x:t>
        </x:is>
      </x:c>
      <x:c r="L17" t="inlineStr">
        <x:is>
          <x:t>R Codex executed; G independent QA pending; H-L qualified legal review pending</x:t>
        </x:is>
      </x:c>
      <x:c r="M17" t="inlineStr">
        <x:is>
          <x:t>GA-19</x:t>
        </x:is>
      </x:c>
      <x:c r="N17" t="inlineStr">
        <x:is>
          <x:t>Only exact source-derived assertion, not complete route or delivery. EXPECTED.json</x:t>
        </x:is>
      </x:c>
    </x:row>
    <x:row r="18">
      <x:c r="A18" t="inlineStr">
        <x:is>
          <x:t>B001-NY-later-conviction</x:t>
        </x:is>
      </x:c>
      <x:c r="B18" t="inlineStr">
        <x:is>
          <x:t>P02-03</x:t>
        </x:is>
      </x:c>
      <x:c r="C18" t="inlineStr">
        <x:is>
          <x:t>NY</x:t>
        </x:is>
      </x:c>
      <x:c r="D18" t="inlineStr">
        <x:is>
          <x:t>NY:discretionary-conviction-sealing-by-petition-under-cpl-160-59</x:t>
        </x:is>
      </x:c>
      <x:c r="E18" t="inlineStr">
        <x:is>
          <x:t>later-conviction</x:t>
        </x:is>
      </x:c>
      <x:c r="F18" t="inlineStr">
        <x:is>
          <x:t>Public API</x:t>
        </x:is>
      </x:c>
      <x:c r="G18" t="inlineStr">
        <x:is>
          <x:t>canonical wire</x:t>
        </x:is>
      </x:c>
      <x:c r="H18" t="inlineStr">
        <x:is>
          <x:t>f5204e12ddb8e7445a70ef2c043dd2173e7e676e</x:t>
        </x:is>
      </x:c>
      <x:c r="I18" t="inlineStr">
        <x:is>
          <x:t>PASS</x:t>
        </x:is>
      </x:c>
      <x:c r="J18" t="inlineStr">
        <x:is>
          <x:t>Runtime: expected likely_not_eligible; observed likely_not_eligible; HTTP 200; commercial flags held=True. Independent QA NOT RUN.</x:t>
        </x:is>
      </x:c>
      <x:c r="K18" t="inlineStr">
        <x:is>
          <x:t>/workspaces/training-modules-09-10/output/nationwide-correction-execution-20261011/checkpoints/active-assignments-20261012-v1/final-acceptance-batch-001/API-RESULTS-v1.json</x:t>
        </x:is>
      </x:c>
      <x:c r="L18" t="inlineStr">
        <x:is>
          <x:t>R Codex executed; G independent QA pending; H-L qualified legal review pending</x:t>
        </x:is>
      </x:c>
      <x:c r="M18" t="inlineStr">
        <x:is>
          <x:t>GA-19</x:t>
        </x:is>
      </x:c>
      <x:c r="N18" t="inlineStr">
        <x:is>
          <x:t>Only exact source-derived assertion, not complete route or delivery. EXPECTED.json</x:t>
        </x:is>
      </x:c>
    </x:row>
    <x:row r="19">
      <x:c r="A19" t="inlineStr">
        <x:is>
          <x:t>B001-NY-later-unknown</x:t>
        </x:is>
      </x:c>
      <x:c r="B19" t="inlineStr">
        <x:is>
          <x:t>P02-05</x:t>
        </x:is>
      </x:c>
      <x:c r="C19" t="inlineStr">
        <x:is>
          <x:t>NY</x:t>
        </x:is>
      </x:c>
      <x:c r="D19" t="inlineStr">
        <x:is>
          <x:t>NY:discretionary-conviction-sealing-by-petition-under-cpl-160-59</x:t>
        </x:is>
      </x:c>
      <x:c r="E19" t="inlineStr">
        <x:is>
          <x:t>later-unknown</x:t>
        </x:is>
      </x:c>
      <x:c r="F19" t="inlineStr">
        <x:is>
          <x:t>Public API</x:t>
        </x:is>
      </x:c>
      <x:c r="G19" t="inlineStr">
        <x:is>
          <x:t>canonical wire</x:t>
        </x:is>
      </x:c>
      <x:c r="H19" t="inlineStr">
        <x:is>
          <x:t>f5204e12ddb8e7445a70ef2c043dd2173e7e676e</x:t>
        </x:is>
      </x:c>
      <x:c r="I19" t="inlineStr">
        <x:is>
          <x:t>PASS</x:t>
        </x:is>
      </x:c>
      <x:c r="J19" t="inlineStr">
        <x:is>
          <x:t>Runtime: expected needs_review; observed needs_review; HTTP 200; commercial flags held=True. Independent QA NOT RUN.</x:t>
        </x:is>
      </x:c>
      <x:c r="K19" t="inlineStr">
        <x:is>
          <x:t>/workspaces/training-modules-09-10/output/nationwide-correction-execution-20261011/checkpoints/active-assignments-20261012-v1/final-acceptance-batch-001/API-RESULTS-v1.json</x:t>
        </x:is>
      </x:c>
      <x:c r="L19" t="inlineStr">
        <x:is>
          <x:t>R Codex executed; G independent QA pending; H-L qualified legal review pending</x:t>
        </x:is>
      </x:c>
      <x:c r="M19" t="inlineStr">
        <x:is>
          <x:t>GA-19</x:t>
        </x:is>
      </x:c>
      <x:c r="N19" t="inlineStr">
        <x:is>
          <x:t>Only exact source-derived assertion, not complete route or delivery. EXPECTED.json</x:t>
        </x:is>
      </x:c>
    </x:row>
    <x:row r="20">
      <x:c r="A20" t="inlineStr">
        <x:is>
          <x:t>B001-NY-arrest</x:t>
        </x:is>
      </x:c>
      <x:c r="B20" t="inlineStr">
        <x:is>
          <x:t>P02-03</x:t>
        </x:is>
      </x:c>
      <x:c r="C20" t="inlineStr">
        <x:is>
          <x:t>NY</x:t>
        </x:is>
      </x:c>
      <x:c r="D20" t="inlineStr">
        <x:is>
          <x:t>NY:discretionary-conviction-sealing-by-petition-under-cpl-160-59</x:t>
        </x:is>
      </x:c>
      <x:c r="E20" t="inlineStr">
        <x:is>
          <x:t>arrest</x:t>
        </x:is>
      </x:c>
      <x:c r="F20" t="inlineStr">
        <x:is>
          <x:t>Public API</x:t>
        </x:is>
      </x:c>
      <x:c r="G20" t="inlineStr">
        <x:is>
          <x:t>canonical wire</x:t>
        </x:is>
      </x:c>
      <x:c r="H20" t="inlineStr">
        <x:is>
          <x:t>f5204e12ddb8e7445a70ef2c043dd2173e7e676e</x:t>
        </x:is>
      </x:c>
      <x:c r="I20" t="inlineStr">
        <x:is>
          <x:t>PASS</x:t>
        </x:is>
      </x:c>
      <x:c r="J20" t="inlineStr">
        <x:is>
          <x:t>Runtime: expected likely_not_eligible; observed likely_not_eligible; HTTP 200; commercial flags held=True. Independent QA NOT RUN.</x:t>
        </x:is>
      </x:c>
      <x:c r="K20" t="inlineStr">
        <x:is>
          <x:t>/workspaces/training-modules-09-10/output/nationwide-correction-execution-20261011/checkpoints/active-assignments-20261012-v1/final-acceptance-batch-001/API-RESULTS-v1.json</x:t>
        </x:is>
      </x:c>
      <x:c r="L20" t="inlineStr">
        <x:is>
          <x:t>R Codex executed; G independent QA pending; H-L qualified legal review pending</x:t>
        </x:is>
      </x:c>
      <x:c r="M20" t="inlineStr">
        <x:is>
          <x:t>GA-19</x:t>
        </x:is>
      </x:c>
      <x:c r="N20" t="inlineStr">
        <x:is>
          <x:t>Only exact source-derived assertion, not complete route or delivery. EXPECTED.json</x:t>
        </x:is>
      </x:c>
    </x:row>
    <x:row r="21">
      <x:c r="A21" t="inlineStr">
        <x:is>
          <x:t>B001-NY-arrest-unknown</x:t>
        </x:is>
      </x:c>
      <x:c r="B21" t="inlineStr">
        <x:is>
          <x:t>P02-05</x:t>
        </x:is>
      </x:c>
      <x:c r="C21" t="inlineStr">
        <x:is>
          <x:t>NY</x:t>
        </x:is>
      </x:c>
      <x:c r="D21" t="inlineStr">
        <x:is>
          <x:t>NY:discretionary-conviction-sealing-by-petition-under-cpl-160-59</x:t>
        </x:is>
      </x:c>
      <x:c r="E21" t="inlineStr">
        <x:is>
          <x:t>arrest-unknown</x:t>
        </x:is>
      </x:c>
      <x:c r="F21" t="inlineStr">
        <x:is>
          <x:t>Public API</x:t>
        </x:is>
      </x:c>
      <x:c r="G21" t="inlineStr">
        <x:is>
          <x:t>canonical wire</x:t>
        </x:is>
      </x:c>
      <x:c r="H21" t="inlineStr">
        <x:is>
          <x:t>f5204e12ddb8e7445a70ef2c043dd2173e7e676e</x:t>
        </x:is>
      </x:c>
      <x:c r="I21" t="inlineStr">
        <x:is>
          <x:t>PASS</x:t>
        </x:is>
      </x:c>
      <x:c r="J21" t="inlineStr">
        <x:is>
          <x:t>Runtime: expected needs_review; observed needs_review; HTTP 200; commercial flags held=True. Independent QA NOT RUN.</x:t>
        </x:is>
      </x:c>
      <x:c r="K21" t="inlineStr">
        <x:is>
          <x:t>/workspaces/training-modules-09-10/output/nationwide-correction-execution-20261011/checkpoints/active-assignments-20261012-v1/final-acceptance-batch-001/API-RESULTS-v1.json</x:t>
        </x:is>
      </x:c>
      <x:c r="L21" t="inlineStr">
        <x:is>
          <x:t>R Codex executed; G independent QA pending; H-L qualified legal review pending</x:t>
        </x:is>
      </x:c>
      <x:c r="M21" t="inlineStr">
        <x:is>
          <x:t>GA-19</x:t>
        </x:is>
      </x:c>
      <x:c r="N21" t="inlineStr">
        <x:is>
          <x:t>Only exact source-derived assertion, not complete route or delivery. EXPECTED.json</x:t>
        </x:is>
      </x:c>
    </x:row>
    <x:row r="22">
      <x:c r="A22" t="inlineStr">
        <x:is>
          <x:t>B001-NY-ten-year-before</x:t>
        </x:is>
      </x:c>
      <x:c r="B22" t="inlineStr">
        <x:is>
          <x:t>P02-04</x:t>
        </x:is>
      </x:c>
      <x:c r="C22" t="inlineStr">
        <x:is>
          <x:t>NY</x:t>
        </x:is>
      </x:c>
      <x:c r="D22" t="inlineStr">
        <x:is>
          <x:t>NY:discretionary-conviction-sealing-by-petition-under-cpl-160-59</x:t>
        </x:is>
      </x:c>
      <x:c r="E22" t="inlineStr">
        <x:is>
          <x:t>ten-year-before</x:t>
        </x:is>
      </x:c>
      <x:c r="F22" t="inlineStr">
        <x:is>
          <x:t>Public API</x:t>
        </x:is>
      </x:c>
      <x:c r="G22" t="inlineStr">
        <x:is>
          <x:t>canonical wire</x:t>
        </x:is>
      </x:c>
      <x:c r="H22" t="inlineStr">
        <x:is>
          <x:t>f5204e12ddb8e7445a70ef2c043dd2173e7e676e</x:t>
        </x:is>
      </x:c>
      <x:c r="I22" t="inlineStr">
        <x:is>
          <x:t>PASS</x:t>
        </x:is>
      </x:c>
      <x:c r="J22" t="inlineStr">
        <x:is>
          <x:t>Runtime: expected not_yet; observed not_yet; HTTP 200; commercial flags held=True. Independent QA NOT RUN.</x:t>
        </x:is>
      </x:c>
      <x:c r="K22" t="inlineStr">
        <x:is>
          <x:t>/workspaces/training-modules-09-10/output/nationwide-correction-execution-20261011/checkpoints/active-assignments-20261012-v1/final-acceptance-batch-001/API-RESULTS-v1.json</x:t>
        </x:is>
      </x:c>
      <x:c r="L22" t="inlineStr">
        <x:is>
          <x:t>R Codex executed; G independent QA pending; H-L qualified legal review pending</x:t>
        </x:is>
      </x:c>
      <x:c r="M22" t="inlineStr">
        <x:is>
          <x:t>GA-19</x:t>
        </x:is>
      </x:c>
      <x:c r="N22" t="inlineStr">
        <x:is>
          <x:t>Only exact source-derived assertion, not complete route or delivery. EXPECTED.json</x:t>
        </x:is>
      </x:c>
    </x:row>
    <x:row r="23">
      <x:c r="A23" t="inlineStr">
        <x:is>
          <x:t>B001-NY-ten-year-on</x:t>
        </x:is>
      </x:c>
      <x:c r="B23" t="inlineStr">
        <x:is>
          <x:t>P02-04</x:t>
        </x:is>
      </x:c>
      <x:c r="C23" t="inlineStr">
        <x:is>
          <x:t>NY</x:t>
        </x:is>
      </x:c>
      <x:c r="D23" t="inlineStr">
        <x:is>
          <x:t>NY:discretionary-conviction-sealing-by-petition-under-cpl-160-59</x:t>
        </x:is>
      </x:c>
      <x:c r="E23" t="inlineStr">
        <x:is>
          <x:t>ten-year-on</x:t>
        </x:is>
      </x:c>
      <x:c r="F23" t="inlineStr">
        <x:is>
          <x:t>Public API</x:t>
        </x:is>
      </x:c>
      <x:c r="G23" t="inlineStr">
        <x:is>
          <x:t>canonical wire</x:t>
        </x:is>
      </x:c>
      <x:c r="H23" t="inlineStr">
        <x:is>
          <x:t>f5204e12ddb8e7445a70ef2c043dd2173e7e676e</x:t>
        </x:is>
      </x:c>
      <x:c r="I23" t="inlineStr">
        <x:is>
          <x:t>PASS</x:t>
        </x:is>
      </x:c>
      <x:c r="J23" t="inlineStr">
        <x:is>
          <x:t>Runtime: expected packet_ready_with_caution; observed packet_ready_with_caution; HTTP 200; commercial flags held=True. Independent QA NOT RUN.</x:t>
        </x:is>
      </x:c>
      <x:c r="K23" t="inlineStr">
        <x:is>
          <x:t>/workspaces/training-modules-09-10/output/nationwide-correction-execution-20261011/checkpoints/active-assignments-20261012-v1/final-acceptance-batch-001/API-RESULTS-v1.json</x:t>
        </x:is>
      </x:c>
      <x:c r="L23" t="inlineStr">
        <x:is>
          <x:t>R Codex executed; G independent QA pending; H-L qualified legal review pending</x:t>
        </x:is>
      </x:c>
      <x:c r="M23" t="inlineStr">
        <x:is>
          <x:t>GA-19</x:t>
        </x:is>
      </x:c>
      <x:c r="N23" t="inlineStr">
        <x:is>
          <x:t>Only exact source-derived assertion, not complete route or delivery. EXPECTED.json</x:t>
        </x:is>
      </x:c>
    </x:row>
    <x:row r="24">
      <x:c r="A24" t="inlineStr">
        <x:is>
          <x:t>B001-NY-ten-year-after</x:t>
        </x:is>
      </x:c>
      <x:c r="B24" t="inlineStr">
        <x:is>
          <x:t>P02-04</x:t>
        </x:is>
      </x:c>
      <x:c r="C24" t="inlineStr">
        <x:is>
          <x:t>NY</x:t>
        </x:is>
      </x:c>
      <x:c r="D24" t="inlineStr">
        <x:is>
          <x:t>NY:discretionary-conviction-sealing-by-petition-under-cpl-160-59</x:t>
        </x:is>
      </x:c>
      <x:c r="E24" t="inlineStr">
        <x:is>
          <x:t>ten-year-after</x:t>
        </x:is>
      </x:c>
      <x:c r="F24" t="inlineStr">
        <x:is>
          <x:t>Public API</x:t>
        </x:is>
      </x:c>
      <x:c r="G24" t="inlineStr">
        <x:is>
          <x:t>canonical wire</x:t>
        </x:is>
      </x:c>
      <x:c r="H24" t="inlineStr">
        <x:is>
          <x:t>f5204e12ddb8e7445a70ef2c043dd2173e7e676e</x:t>
        </x:is>
      </x:c>
      <x:c r="I24" t="inlineStr">
        <x:is>
          <x:t>PASS</x:t>
        </x:is>
      </x:c>
      <x:c r="J24" t="inlineStr">
        <x:is>
          <x:t>Runtime: expected packet_ready_with_caution; observed packet_ready_with_caution; HTTP 200; commercial flags held=True. Independent QA NOT RUN.</x:t>
        </x:is>
      </x:c>
      <x:c r="K24" t="inlineStr">
        <x:is>
          <x:t>/workspaces/training-modules-09-10/output/nationwide-correction-execution-20261011/checkpoints/active-assignments-20261012-v1/final-acceptance-batch-001/API-RESULTS-v1.json</x:t>
        </x:is>
      </x:c>
      <x:c r="L24" t="inlineStr">
        <x:is>
          <x:t>R Codex executed; G independent QA pending; H-L qualified legal review pending</x:t>
        </x:is>
      </x:c>
      <x:c r="M24" t="inlineStr">
        <x:is>
          <x:t>GA-19</x:t>
        </x:is>
      </x:c>
      <x:c r="N24" t="inlineStr">
        <x:is>
          <x:t>Only exact source-derived assertion, not complete route or delivery. EXPECTED.json</x:t>
        </x:is>
      </x:c>
    </x:row>
    <x:row r="25">
      <x:c r="A25" t="inlineStr">
        <x:is>
          <x:t>B001-NY-invalid-calendar</x:t>
        </x:is>
      </x:c>
      <x:c r="B25" t="inlineStr">
        <x:is>
          <x:t>P02-04</x:t>
        </x:is>
      </x:c>
      <x:c r="C25" t="inlineStr">
        <x:is>
          <x:t>NY</x:t>
        </x:is>
      </x:c>
      <x:c r="D25" t="inlineStr">
        <x:is>
          <x:t>NY:discretionary-conviction-sealing-by-petition-under-cpl-160-59</x:t>
        </x:is>
      </x:c>
      <x:c r="E25" t="inlineStr">
        <x:is>
          <x:t>invalid-calendar</x:t>
        </x:is>
      </x:c>
      <x:c r="F25" t="inlineStr">
        <x:is>
          <x:t>Public API</x:t>
        </x:is>
      </x:c>
      <x:c r="G25" t="inlineStr">
        <x:is>
          <x:t>canonical wire</x:t>
        </x:is>
      </x:c>
      <x:c r="H25" t="inlineStr">
        <x:is>
          <x:t>f5204e12ddb8e7445a70ef2c043dd2173e7e676e</x:t>
        </x:is>
      </x:c>
      <x:c r="I25" t="inlineStr">
        <x:is>
          <x:t>FAIL</x:t>
        </x:is>
      </x:c>
      <x:c r="J25" t="inlineStr">
        <x:is>
          <x:t>Runtime: expected needs_more_info; observed packet_ready_with_caution; HTTP 200; commercial flags held=True. Independent QA NOT RUN.</x:t>
        </x:is>
      </x:c>
      <x:c r="K25" t="inlineStr">
        <x:is>
          <x:t>/workspaces/training-modules-09-10/output/nationwide-correction-execution-20261011/checkpoints/active-assignments-20261012-v1/final-acceptance-batch-001/API-RESULTS-v1.json</x:t>
        </x:is>
      </x:c>
      <x:c r="L25" t="inlineStr">
        <x:is>
          <x:t>R Codex executed; G independent QA pending; H-L qualified legal review pending</x:t>
        </x:is>
      </x:c>
      <x:c r="M25" t="inlineStr">
        <x:is>
          <x:t>GA-19</x:t>
        </x:is>
      </x:c>
      <x:c r="N25" t="inlineStr">
        <x:is>
          <x:t>Only exact source-derived assertion, not complete route or delivery. EXPECTED.json</x:t>
        </x:is>
      </x:c>
    </x:row>
    <x:row r="26">
      <x:c r="A26" t="inlineStr">
        <x:is>
          <x:t>B001-NY-positive-retest</x:t>
        </x:is>
      </x:c>
      <x:c r="B26" t="inlineStr">
        <x:is>
          <x:t>P02-03</x:t>
        </x:is>
      </x:c>
      <x:c r="C26" t="inlineStr">
        <x:is>
          <x:t>NY</x:t>
        </x:is>
      </x:c>
      <x:c r="D26" t="inlineStr">
        <x:is>
          <x:t>NY:discretionary-conviction-sealing-by-petition-under-cpl-160-59</x:t>
        </x:is>
      </x:c>
      <x:c r="E26" t="inlineStr">
        <x:is>
          <x:t>positive</x:t>
        </x:is>
      </x:c>
      <x:c r="F26" t="inlineStr">
        <x:is>
          <x:t>Public API</x:t>
        </x:is>
      </x:c>
      <x:c r="G26" t="inlineStr">
        <x:is>
          <x:t>canonical wire</x:t>
        </x:is>
      </x:c>
      <x:c r="H26" t="inlineStr">
        <x:is>
          <x:t>f5204e12d + atomic source hashes in ATOMIC-CORRECTION.json</x:t>
        </x:is>
      </x:c>
      <x:c r="I26" t="inlineStr">
        <x:is>
          <x:t>PASS</x:t>
        </x:is>
      </x:c>
      <x:c r="J26" t="inlineStr">
        <x:is>
          <x:t>Runtime: expected packet_ready_with_caution; observed packet_ready_with_caution; HTTP 200; commercial flags held=True. Independent QA NOT RUN.</x:t>
        </x:is>
      </x:c>
      <x:c r="K26" t="inlineStr">
        <x:is>
          <x:t>/workspaces/training-modules-09-10/output/nationwide-correction-execution-20261011/checkpoints/active-assignments-20261012-v1/final-acceptance-batch-001/API-RESULTS-correction-v2.json</x:t>
        </x:is>
      </x:c>
      <x:c r="L26" t="inlineStr">
        <x:is>
          <x:t>R Codex executed; G independent QA pending; H-L qualified legal review pending</x:t>
        </x:is>
      </x:c>
      <x:c r="M26" t="inlineStr">
        <x:is>
          <x:t>GA-19</x:t>
        </x:is>
      </x:c>
      <x:c r="N26" t="inlineStr">
        <x:is>
          <x:t>Only exact source-derived assertion, not complete route or delivery. EXPECTED.json</x:t>
        </x:is>
      </x:c>
    </x:row>
    <x:row r="27">
      <x:c r="A27" t="inlineStr">
        <x:is>
          <x:t>B001-NY-later-conviction-retest</x:t>
        </x:is>
      </x:c>
      <x:c r="B27" t="inlineStr">
        <x:is>
          <x:t>P02-03</x:t>
        </x:is>
      </x:c>
      <x:c r="C27" t="inlineStr">
        <x:is>
          <x:t>NY</x:t>
        </x:is>
      </x:c>
      <x:c r="D27" t="inlineStr">
        <x:is>
          <x:t>NY:discretionary-conviction-sealing-by-petition-under-cpl-160-59</x:t>
        </x:is>
      </x:c>
      <x:c r="E27" t="inlineStr">
        <x:is>
          <x:t>later-conviction</x:t>
        </x:is>
      </x:c>
      <x:c r="F27" t="inlineStr">
        <x:is>
          <x:t>Public API</x:t>
        </x:is>
      </x:c>
      <x:c r="G27" t="inlineStr">
        <x:is>
          <x:t>canonical wire</x:t>
        </x:is>
      </x:c>
      <x:c r="H27" t="inlineStr">
        <x:is>
          <x:t>f5204e12d + atomic source hashes in ATOMIC-CORRECTION.json</x:t>
        </x:is>
      </x:c>
      <x:c r="I27" t="inlineStr">
        <x:is>
          <x:t>PASS</x:t>
        </x:is>
      </x:c>
      <x:c r="J27" t="inlineStr">
        <x:is>
          <x:t>Runtime: expected likely_not_eligible; observed likely_not_eligible; HTTP 200; commercial flags held=True. Independent QA NOT RUN.</x:t>
        </x:is>
      </x:c>
      <x:c r="K27" t="inlineStr">
        <x:is>
          <x:t>/workspaces/training-modules-09-10/output/nationwide-correction-execution-20261011/checkpoints/active-assignments-20261012-v1/final-acceptance-batch-001/API-RESULTS-correction-v2.json</x:t>
        </x:is>
      </x:c>
      <x:c r="L27" t="inlineStr">
        <x:is>
          <x:t>R Codex executed; G independent QA pending; H-L qualified legal review pending</x:t>
        </x:is>
      </x:c>
      <x:c r="M27" t="inlineStr">
        <x:is>
          <x:t>GA-19</x:t>
        </x:is>
      </x:c>
      <x:c r="N27" t="inlineStr">
        <x:is>
          <x:t>Only exact source-derived assertion, not complete route or delivery. EXPECTED.json</x:t>
        </x:is>
      </x:c>
    </x:row>
    <x:row r="28">
      <x:c r="A28" t="inlineStr">
        <x:is>
          <x:t>B001-NY-later-unknown-retest</x:t>
        </x:is>
      </x:c>
      <x:c r="B28" t="inlineStr">
        <x:is>
          <x:t>P02-05</x:t>
        </x:is>
      </x:c>
      <x:c r="C28" t="inlineStr">
        <x:is>
          <x:t>NY</x:t>
        </x:is>
      </x:c>
      <x:c r="D28" t="inlineStr">
        <x:is>
          <x:t>NY:discretionary-conviction-sealing-by-petition-under-cpl-160-59</x:t>
        </x:is>
      </x:c>
      <x:c r="E28" t="inlineStr">
        <x:is>
          <x:t>later-unknown</x:t>
        </x:is>
      </x:c>
      <x:c r="F28" t="inlineStr">
        <x:is>
          <x:t>Public API</x:t>
        </x:is>
      </x:c>
      <x:c r="G28" t="inlineStr">
        <x:is>
          <x:t>canonical wire</x:t>
        </x:is>
      </x:c>
      <x:c r="H28" t="inlineStr">
        <x:is>
          <x:t>f5204e12d + atomic source hashes in ATOMIC-CORRECTION.json</x:t>
        </x:is>
      </x:c>
      <x:c r="I28" t="inlineStr">
        <x:is>
          <x:t>PASS</x:t>
        </x:is>
      </x:c>
      <x:c r="J28" t="inlineStr">
        <x:is>
          <x:t>Runtime: expected needs_review; observed needs_review; HTTP 200; commercial flags held=True. Independent QA NOT RUN.</x:t>
        </x:is>
      </x:c>
      <x:c r="K28" t="inlineStr">
        <x:is>
          <x:t>/workspaces/training-modules-09-10/output/nationwide-correction-execution-20261011/checkpoints/active-assignments-20261012-v1/final-acceptance-batch-001/API-RESULTS-correction-v2.json</x:t>
        </x:is>
      </x:c>
      <x:c r="L28" t="inlineStr">
        <x:is>
          <x:t>R Codex executed; G independent QA pending; H-L qualified legal review pending</x:t>
        </x:is>
      </x:c>
      <x:c r="M28" t="inlineStr">
        <x:is>
          <x:t>GA-19</x:t>
        </x:is>
      </x:c>
      <x:c r="N28" t="inlineStr">
        <x:is>
          <x:t>Only exact source-derived assertion, not complete route or delivery. EXPECTED.json</x:t>
        </x:is>
      </x:c>
    </x:row>
    <x:row r="29">
      <x:c r="A29" t="inlineStr">
        <x:is>
          <x:t>B001-NY-arrest-retest</x:t>
        </x:is>
      </x:c>
      <x:c r="B29" t="inlineStr">
        <x:is>
          <x:t>P02-03</x:t>
        </x:is>
      </x:c>
      <x:c r="C29" t="inlineStr">
        <x:is>
          <x:t>NY</x:t>
        </x:is>
      </x:c>
      <x:c r="D29" t="inlineStr">
        <x:is>
          <x:t>NY:discretionary-conviction-sealing-by-petition-under-cpl-160-59</x:t>
        </x:is>
      </x:c>
      <x:c r="E29" t="inlineStr">
        <x:is>
          <x:t>arrest</x:t>
        </x:is>
      </x:c>
      <x:c r="F29" t="inlineStr">
        <x:is>
          <x:t>Public API</x:t>
        </x:is>
      </x:c>
      <x:c r="G29" t="inlineStr">
        <x:is>
          <x:t>canonical wire</x:t>
        </x:is>
      </x:c>
      <x:c r="H29" t="inlineStr">
        <x:is>
          <x:t>f5204e12d + atomic source hashes in ATOMIC-CORRECTION.json</x:t>
        </x:is>
      </x:c>
      <x:c r="I29" t="inlineStr">
        <x:is>
          <x:t>PASS</x:t>
        </x:is>
      </x:c>
      <x:c r="J29" t="inlineStr">
        <x:is>
          <x:t>Runtime: expected likely_not_eligible; observed likely_not_eligible; HTTP 200; commercial flags held=True. Independent QA NOT RUN.</x:t>
        </x:is>
      </x:c>
      <x:c r="K29" t="inlineStr">
        <x:is>
          <x:t>/workspaces/training-modules-09-10/output/nationwide-correction-execution-20261011/checkpoints/active-assignments-20261012-v1/final-acceptance-batch-001/API-RESULTS-correction-v2.json</x:t>
        </x:is>
      </x:c>
      <x:c r="L29" t="inlineStr">
        <x:is>
          <x:t>R Codex executed; G independent QA pending; H-L qualified legal review pending</x:t>
        </x:is>
      </x:c>
      <x:c r="M29" t="inlineStr">
        <x:is>
          <x:t>GA-19</x:t>
        </x:is>
      </x:c>
      <x:c r="N29" t="inlineStr">
        <x:is>
          <x:t>Only exact source-derived assertion, not complete route or delivery. EXPECTED.json</x:t>
        </x:is>
      </x:c>
    </x:row>
    <x:row r="30">
      <x:c r="A30" t="inlineStr">
        <x:is>
          <x:t>B001-NY-arrest-unknown-retest</x:t>
        </x:is>
      </x:c>
      <x:c r="B30" t="inlineStr">
        <x:is>
          <x:t>P02-05</x:t>
        </x:is>
      </x:c>
      <x:c r="C30" t="inlineStr">
        <x:is>
          <x:t>NY</x:t>
        </x:is>
      </x:c>
      <x:c r="D30" t="inlineStr">
        <x:is>
          <x:t>NY:discretionary-conviction-sealing-by-petition-under-cpl-160-59</x:t>
        </x:is>
      </x:c>
      <x:c r="E30" t="inlineStr">
        <x:is>
          <x:t>arrest-unknown</x:t>
        </x:is>
      </x:c>
      <x:c r="F30" t="inlineStr">
        <x:is>
          <x:t>Public API</x:t>
        </x:is>
      </x:c>
      <x:c r="G30" t="inlineStr">
        <x:is>
          <x:t>canonical wire</x:t>
        </x:is>
      </x:c>
      <x:c r="H30" t="inlineStr">
        <x:is>
          <x:t>f5204e12d + atomic source hashes in ATOMIC-CORRECTION.json</x:t>
        </x:is>
      </x:c>
      <x:c r="I30" t="inlineStr">
        <x:is>
          <x:t>PASS</x:t>
        </x:is>
      </x:c>
      <x:c r="J30" t="inlineStr">
        <x:is>
          <x:t>Runtime: expected needs_review; observed needs_review; HTTP 200; commercial flags held=True. Independent QA NOT RUN.</x:t>
        </x:is>
      </x:c>
      <x:c r="K30" t="inlineStr">
        <x:is>
          <x:t>/workspaces/training-modules-09-10/output/nationwide-correction-execution-20261011/checkpoints/active-assignments-20261012-v1/final-acceptance-batch-001/API-RESULTS-correction-v2.json</x:t>
        </x:is>
      </x:c>
      <x:c r="L30" t="inlineStr">
        <x:is>
          <x:t>R Codex executed; G independent QA pending; H-L qualified legal review pending</x:t>
        </x:is>
      </x:c>
      <x:c r="M30" t="inlineStr">
        <x:is>
          <x:t>GA-19</x:t>
        </x:is>
      </x:c>
      <x:c r="N30" t="inlineStr">
        <x:is>
          <x:t>Only exact source-derived assertion, not complete route or delivery. EXPECTED.json</x:t>
        </x:is>
      </x:c>
    </x:row>
    <x:row r="31">
      <x:c r="A31" t="inlineStr">
        <x:is>
          <x:t>B001-NY-ten-year-before-retest</x:t>
        </x:is>
      </x:c>
      <x:c r="B31" t="inlineStr">
        <x:is>
          <x:t>P02-04</x:t>
        </x:is>
      </x:c>
      <x:c r="C31" t="inlineStr">
        <x:is>
          <x:t>NY</x:t>
        </x:is>
      </x:c>
      <x:c r="D31" t="inlineStr">
        <x:is>
          <x:t>NY:discretionary-conviction-sealing-by-petition-under-cpl-160-59</x:t>
        </x:is>
      </x:c>
      <x:c r="E31" t="inlineStr">
        <x:is>
          <x:t>ten-year-before</x:t>
        </x:is>
      </x:c>
      <x:c r="F31" t="inlineStr">
        <x:is>
          <x:t>Public API</x:t>
        </x:is>
      </x:c>
      <x:c r="G31" t="inlineStr">
        <x:is>
          <x:t>canonical wire</x:t>
        </x:is>
      </x:c>
      <x:c r="H31" t="inlineStr">
        <x:is>
          <x:t>f5204e12d + atomic source hashes in ATOMIC-CORRECTION.json</x:t>
        </x:is>
      </x:c>
      <x:c r="I31" t="inlineStr">
        <x:is>
          <x:t>PASS</x:t>
        </x:is>
      </x:c>
      <x:c r="J31" t="inlineStr">
        <x:is>
          <x:t>Runtime: expected not_yet; observed not_yet; HTTP 200; commercial flags held=True. Independent QA NOT RUN.</x:t>
        </x:is>
      </x:c>
      <x:c r="K31" t="inlineStr">
        <x:is>
          <x:t>/workspaces/training-modules-09-10/output/nationwide-correction-execution-20261011/checkpoints/active-assignments-20261012-v1/final-acceptance-batch-001/API-RESULTS-correction-v2.json</x:t>
        </x:is>
      </x:c>
      <x:c r="L31" t="inlineStr">
        <x:is>
          <x:t>R Codex executed; G independent QA pending; H-L qualified legal review pending</x:t>
        </x:is>
      </x:c>
      <x:c r="M31" t="inlineStr">
        <x:is>
          <x:t>GA-19</x:t>
        </x:is>
      </x:c>
      <x:c r="N31" t="inlineStr">
        <x:is>
          <x:t>Only exact source-derived assertion, not complete route or delivery. EXPECTED.json</x:t>
        </x:is>
      </x:c>
    </x:row>
    <x:row r="32">
      <x:c r="A32" t="inlineStr">
        <x:is>
          <x:t>B001-NY-ten-year-on-retest</x:t>
        </x:is>
      </x:c>
      <x:c r="B32" t="inlineStr">
        <x:is>
          <x:t>P02-04</x:t>
        </x:is>
      </x:c>
      <x:c r="C32" t="inlineStr">
        <x:is>
          <x:t>NY</x:t>
        </x:is>
      </x:c>
      <x:c r="D32" t="inlineStr">
        <x:is>
          <x:t>NY:discretionary-conviction-sealing-by-petition-under-cpl-160-59</x:t>
        </x:is>
      </x:c>
      <x:c r="E32" t="inlineStr">
        <x:is>
          <x:t>ten-year-on</x:t>
        </x:is>
      </x:c>
      <x:c r="F32" t="inlineStr">
        <x:is>
          <x:t>Public API</x:t>
        </x:is>
      </x:c>
      <x:c r="G32" t="inlineStr">
        <x:is>
          <x:t>canonical wire</x:t>
        </x:is>
      </x:c>
      <x:c r="H32" t="inlineStr">
        <x:is>
          <x:t>f5204e12d + atomic source hashes in ATOMIC-CORRECTION.json</x:t>
        </x:is>
      </x:c>
      <x:c r="I32" t="inlineStr">
        <x:is>
          <x:t>PASS</x:t>
        </x:is>
      </x:c>
      <x:c r="J32" t="inlineStr">
        <x:is>
          <x:t>Runtime: expected packet_ready_with_caution; observed packet_ready_with_caution; HTTP 200; commercial flags held=True. Independent QA NOT RUN.</x:t>
        </x:is>
      </x:c>
      <x:c r="K32" t="inlineStr">
        <x:is>
          <x:t>/workspaces/training-modules-09-10/output/nationwide-correction-execution-20261011/checkpoints/active-assignments-20261012-v1/final-acceptance-batch-001/API-RESULTS-correction-v2.json</x:t>
        </x:is>
      </x:c>
      <x:c r="L32" t="inlineStr">
        <x:is>
          <x:t>R Codex executed; G independent QA pending; H-L qualified legal review pending</x:t>
        </x:is>
      </x:c>
      <x:c r="M32" t="inlineStr">
        <x:is>
          <x:t>GA-19</x:t>
        </x:is>
      </x:c>
      <x:c r="N32" t="inlineStr">
        <x:is>
          <x:t>Only exact source-derived assertion, not complete route or delivery. EXPECTED.json</x:t>
        </x:is>
      </x:c>
    </x:row>
    <x:row r="33">
      <x:c r="A33" t="inlineStr">
        <x:is>
          <x:t>B001-NY-ten-year-after-retest</x:t>
        </x:is>
      </x:c>
      <x:c r="B33" t="inlineStr">
        <x:is>
          <x:t>P02-04</x:t>
        </x:is>
      </x:c>
      <x:c r="C33" t="inlineStr">
        <x:is>
          <x:t>NY</x:t>
        </x:is>
      </x:c>
      <x:c r="D33" t="inlineStr">
        <x:is>
          <x:t>NY:discretionary-conviction-sealing-by-petition-under-cpl-160-59</x:t>
        </x:is>
      </x:c>
      <x:c r="E33" t="inlineStr">
        <x:is>
          <x:t>ten-year-after</x:t>
        </x:is>
      </x:c>
      <x:c r="F33" t="inlineStr">
        <x:is>
          <x:t>Public API</x:t>
        </x:is>
      </x:c>
      <x:c r="G33" t="inlineStr">
        <x:is>
          <x:t>canonical wire</x:t>
        </x:is>
      </x:c>
      <x:c r="H33" t="inlineStr">
        <x:is>
          <x:t>f5204e12d + atomic source hashes in ATOMIC-CORRECTION.json</x:t>
        </x:is>
      </x:c>
      <x:c r="I33" t="inlineStr">
        <x:is>
          <x:t>PASS</x:t>
        </x:is>
      </x:c>
      <x:c r="J33" t="inlineStr">
        <x:is>
          <x:t>Runtime: expected packet_ready_with_caution; observed packet_ready_with_caution; HTTP 200; commercial flags held=True. Independent QA NOT RUN.</x:t>
        </x:is>
      </x:c>
      <x:c r="K33" t="inlineStr">
        <x:is>
          <x:t>/workspaces/training-modules-09-10/output/nationwide-correction-execution-20261011/checkpoints/active-assignments-20261012-v1/final-acceptance-batch-001/API-RESULTS-correction-v2.json</x:t>
        </x:is>
      </x:c>
      <x:c r="L33" t="inlineStr">
        <x:is>
          <x:t>R Codex executed; G independent QA pending; H-L qualified legal review pending</x:t>
        </x:is>
      </x:c>
      <x:c r="M33" t="inlineStr">
        <x:is>
          <x:t>GA-19</x:t>
        </x:is>
      </x:c>
      <x:c r="N33" t="inlineStr">
        <x:is>
          <x:t>Only exact source-derived assertion, not complete route or delivery. EXPECTED.json</x:t>
        </x:is>
      </x:c>
    </x:row>
    <x:row r="34">
      <x:c r="A34" t="inlineStr">
        <x:is>
          <x:t>B001-NY-invalid-calendar-retest</x:t>
        </x:is>
      </x:c>
      <x:c r="B34" t="inlineStr">
        <x:is>
          <x:t>P02-04</x:t>
        </x:is>
      </x:c>
      <x:c r="C34" t="inlineStr">
        <x:is>
          <x:t>NY</x:t>
        </x:is>
      </x:c>
      <x:c r="D34" t="inlineStr">
        <x:is>
          <x:t>NY:discretionary-conviction-sealing-by-petition-under-cpl-160-59</x:t>
        </x:is>
      </x:c>
      <x:c r="E34" t="inlineStr">
        <x:is>
          <x:t>invalid-calendar</x:t>
        </x:is>
      </x:c>
      <x:c r="F34" t="inlineStr">
        <x:is>
          <x:t>Public API</x:t>
        </x:is>
      </x:c>
      <x:c r="G34" t="inlineStr">
        <x:is>
          <x:t>canonical wire</x:t>
        </x:is>
      </x:c>
      <x:c r="H34" t="inlineStr">
        <x:is>
          <x:t>f5204e12d + atomic source hashes in ATOMIC-CORRECTION.json</x:t>
        </x:is>
      </x:c>
      <x:c r="I34" t="inlineStr">
        <x:is>
          <x:t>PASS</x:t>
        </x:is>
      </x:c>
      <x:c r="J34" t="inlineStr">
        <x:is>
          <x:t>Runtime: expected needs_more_info; observed needs_more_info; HTTP 200; commercial flags held=True. Independent QA NOT RUN.</x:t>
        </x:is>
      </x:c>
      <x:c r="K34" t="inlineStr">
        <x:is>
          <x:t>/workspaces/training-modules-09-10/output/nationwide-correction-execution-20261011/checkpoints/active-assignments-20261012-v1/final-acceptance-batch-001/API-RESULTS-correction-v2.json</x:t>
        </x:is>
      </x:c>
      <x:c r="L34" t="inlineStr">
        <x:is>
          <x:t>R Codex executed; G independent QA pending; H-L qualified legal review pending</x:t>
        </x:is>
      </x:c>
      <x:c r="M34" t="inlineStr">
        <x:is>
          <x:t>GA-19</x:t>
        </x:is>
      </x:c>
      <x:c r="N34" t="inlineStr">
        <x:is>
          <x:t>Only exact source-derived assertion, not complete route or delivery. EXPECTED.json</x:t>
        </x:is>
      </x:c>
    </x:row>
    <x:row r="35">
      <x:c r="A35" t="inlineStr">
        <x:is>
          <x:t>B001-UI-NV-en-automatic_discharge</x:t>
        </x:is>
      </x:c>
      <x:c r="B35" t="inlineStr">
        <x:is>
          <x:t>P03-21</x:t>
        </x:is>
      </x:c>
      <x:c r="C35" t="inlineStr">
        <x:is>
          <x:t>NV</x:t>
        </x:is>
      </x:c>
      <x:c r="D35" t="inlineStr">
        <x:is>
          <x:t>NV:probation-or-specialty-court-dismissal-set-aside-sealing</x:t>
        </x:is>
      </x:c>
      <x:c r="E35" t="inlineStr">
        <x:is>
          <x:t>automatic_discharge</x:t>
        </x:is>
      </x:c>
      <x:c r="F35" t="inlineStr">
        <x:is>
          <x:t>DTC anonymous</x:t>
        </x:is>
      </x:c>
      <x:c r="G35" t="inlineStr">
        <x:is>
          <x:t>EN</x:t>
        </x:is>
      </x:c>
      <x:c r="H35" t="inlineStr">
        <x:is>
          <x:t>f5204e12d</x:t>
        </x:is>
      </x:c>
      <x:c r="I35" t="inlineStr">
        <x:is>
          <x:t>PASS</x:t>
        </x:is>
      </x:c>
      <x:c r="J35" t="inlineStr">
        <x:is>
          <x:t>Actual12question browser journey to result; Expected outcome and commercial hold observed; screenshot inspected by executor. Independent QA and bilingual review pending.</x:t>
        </x:is>
      </x:c>
      <x:c r="K35" t="inlineStr">
        <x:is>
          <x:t>/workspaces/training-modules-09-10/output/nationwide-correction-execution-20261011/checkpoints/active-assignments-20261012-v1/final-acceptance-batch-001/browser-v1/RESULTS.json</x:t>
        </x:is>
      </x:c>
      <x:c r="L35" t="inlineStr">
        <x:is>
          <x:t>R Codex executed; G/H-A pending</x:t>
        </x:is>
      </x:c>
      <x:c r="M35" t="inlineStr">
        <x:is>
          <x:t>GA-24;GA-42</x:t>
        </x:is>
      </x:c>
      <x:c r="N35" t="inlineStr">
        <x:is>
          <x:t>Browser uses broad time bucket; exact anniversary proof is separate API evidence. No protected claim, funding or delivery.</x:t>
        </x:is>
      </x:c>
    </x:row>
    <x:row r="36">
      <x:c r="A36" t="inlineStr">
        <x:is>
          <x:t>B001-UI-NV-en-petition_elapsed</x:t>
        </x:is>
      </x:c>
      <x:c r="B36" t="inlineStr">
        <x:is>
          <x:t>P03-21</x:t>
        </x:is>
      </x:c>
      <x:c r="C36" t="inlineStr">
        <x:is>
          <x:t>NV</x:t>
        </x:is>
      </x:c>
      <x:c r="D36" t="inlineStr">
        <x:is>
          <x:t>NV:probation-or-specialty-court-dismissal-set-aside-sealing</x:t>
        </x:is>
      </x:c>
      <x:c r="E36" t="inlineStr">
        <x:is>
          <x:t>petition_elapsed</x:t>
        </x:is>
      </x:c>
      <x:c r="F36" t="inlineStr">
        <x:is>
          <x:t>DTC anonymous</x:t>
        </x:is>
      </x:c>
      <x:c r="G36" t="inlineStr">
        <x:is>
          <x:t>EN</x:t>
        </x:is>
      </x:c>
      <x:c r="H36" t="inlineStr">
        <x:is>
          <x:t>f5204e12d</x:t>
        </x:is>
      </x:c>
      <x:c r="I36" t="inlineStr">
        <x:is>
          <x:t>PASS</x:t>
        </x:is>
      </x:c>
      <x:c r="J36" t="inlineStr">
        <x:is>
          <x:t>Actual12question browser journey to result; Expected outcome and commercial hold observed; screenshot inspected by executor. Independent QA and bilingual review pending.</x:t>
        </x:is>
      </x:c>
      <x:c r="K36" t="inlineStr">
        <x:is>
          <x:t>/workspaces/training-modules-09-10/output/nationwide-correction-execution-20261011/checkpoints/active-assignments-20261012-v1/final-acceptance-batch-001/browser-v1/RESULTS.json</x:t>
        </x:is>
      </x:c>
      <x:c r="L36" t="inlineStr">
        <x:is>
          <x:t>R Codex executed; G/H-A pending</x:t>
        </x:is>
      </x:c>
      <x:c r="M36" t="inlineStr">
        <x:is>
          <x:t>GA-24;GA-42</x:t>
        </x:is>
      </x:c>
      <x:c r="N36" t="inlineStr">
        <x:is>
          <x:t>Browser uses broad time bucket; exact anniversary proof is separate API evidence. No protected claim, funding or delivery.</x:t>
        </x:is>
      </x:c>
    </x:row>
    <x:row r="37">
      <x:c r="A37" t="inlineStr">
        <x:is>
          <x:t>B001-UI-NV-es-automatic_discharge</x:t>
        </x:is>
      </x:c>
      <x:c r="B37" t="inlineStr">
        <x:is>
          <x:t>P03-21</x:t>
        </x:is>
      </x:c>
      <x:c r="C37" t="inlineStr">
        <x:is>
          <x:t>NV</x:t>
        </x:is>
      </x:c>
      <x:c r="D37" t="inlineStr">
        <x:is>
          <x:t>NV:probation-or-specialty-court-dismissal-set-aside-sealing</x:t>
        </x:is>
      </x:c>
      <x:c r="E37" t="inlineStr">
        <x:is>
          <x:t>automatic_discharge</x:t>
        </x:is>
      </x:c>
      <x:c r="F37" t="inlineStr">
        <x:is>
          <x:t>DTC anonymous</x:t>
        </x:is>
      </x:c>
      <x:c r="G37" t="inlineStr">
        <x:is>
          <x:t>ES</x:t>
        </x:is>
      </x:c>
      <x:c r="H37" t="inlineStr">
        <x:is>
          <x:t>f5204e12d</x:t>
        </x:is>
      </x:c>
      <x:c r="I37" t="inlineStr">
        <x:is>
          <x:t>PASS</x:t>
        </x:is>
      </x:c>
      <x:c r="J37" t="inlineStr">
        <x:is>
          <x:t>Actual12question browser journey to result; Expected outcome and commercial hold observed; screenshot inspected by executor. Independent QA and bilingual review pending.</x:t>
        </x:is>
      </x:c>
      <x:c r="K37" t="inlineStr">
        <x:is>
          <x:t>/workspaces/training-modules-09-10/output/nationwide-correction-execution-20261011/checkpoints/active-assignments-20261012-v1/final-acceptance-batch-001/browser-v1/RESULTS.json</x:t>
        </x:is>
      </x:c>
      <x:c r="L37" t="inlineStr">
        <x:is>
          <x:t>R Codex executed; G/H-A pending</x:t>
        </x:is>
      </x:c>
      <x:c r="M37" t="inlineStr">
        <x:is>
          <x:t>GA-24;GA-42</x:t>
        </x:is>
      </x:c>
      <x:c r="N37" t="inlineStr">
        <x:is>
          <x:t>Browser uses broad time bucket; exact anniversary proof is separate API evidence. No protected claim, funding or delivery.</x:t>
        </x:is>
      </x:c>
    </x:row>
    <x:row r="38">
      <x:c r="A38" t="inlineStr">
        <x:is>
          <x:t>B001-UI-NV-es-petition_elapsed</x:t>
        </x:is>
      </x:c>
      <x:c r="B38" t="inlineStr">
        <x:is>
          <x:t>P03-21</x:t>
        </x:is>
      </x:c>
      <x:c r="C38" t="inlineStr">
        <x:is>
          <x:t>NV</x:t>
        </x:is>
      </x:c>
      <x:c r="D38" t="inlineStr">
        <x:is>
          <x:t>NV:probation-or-specialty-court-dismissal-set-aside-sealing</x:t>
        </x:is>
      </x:c>
      <x:c r="E38" t="inlineStr">
        <x:is>
          <x:t>petition_elapsed</x:t>
        </x:is>
      </x:c>
      <x:c r="F38" t="inlineStr">
        <x:is>
          <x:t>DTC anonymous</x:t>
        </x:is>
      </x:c>
      <x:c r="G38" t="inlineStr">
        <x:is>
          <x:t>ES</x:t>
        </x:is>
      </x:c>
      <x:c r="H38" t="inlineStr">
        <x:is>
          <x:t>f5204e12d</x:t>
        </x:is>
      </x:c>
      <x:c r="I38" t="inlineStr">
        <x:is>
          <x:t>FAIL</x:t>
        </x:is>
      </x:c>
      <x:c r="J38" t="inlineStr">
        <x:is>
          <x:t>Actual12question browser journey to result; English fallback reproduced. Independent QA and bilingual review pending.</x:t>
        </x:is>
      </x:c>
      <x:c r="K38" t="inlineStr">
        <x:is>
          <x:t>/workspaces/training-modules-09-10/output/nationwide-correction-execution-20261011/checkpoints/active-assignments-20261012-v1/final-acceptance-batch-001/browser-v1/RESULTS.json</x:t>
        </x:is>
      </x:c>
      <x:c r="L38" t="inlineStr">
        <x:is>
          <x:t>R Codex executed; G/H-A pending</x:t>
        </x:is>
      </x:c>
      <x:c r="M38" t="inlineStr">
        <x:is>
          <x:t>GA-24;GA-42</x:t>
        </x:is>
      </x:c>
      <x:c r="N38" t="inlineStr">
        <x:is>
          <x:t>Browser uses broad time bucket; exact anniversary proof is separate API evidence. No protected claim, funding or delivery.</x:t>
        </x:is>
      </x:c>
    </x:row>
    <x:row r="39">
      <x:c r="A39" t="inlineStr">
        <x:is>
          <x:t>B001-UI-NV-es-petition_elapsed-retest</x:t>
        </x:is>
      </x:c>
      <x:c r="B39" t="inlineStr">
        <x:is>
          <x:t>P03-21</x:t>
        </x:is>
      </x:c>
      <x:c r="C39" t="inlineStr">
        <x:is>
          <x:t>NV</x:t>
        </x:is>
      </x:c>
      <x:c r="D39" t="inlineStr">
        <x:is>
          <x:t>NV:probation-or-specialty-court-dismissal-set-aside-sealing</x:t>
        </x:is>
      </x:c>
      <x:c r="E39" t="inlineStr">
        <x:is>
          <x:t>petition_elapsed</x:t>
        </x:is>
      </x:c>
      <x:c r="F39" t="inlineStr">
        <x:is>
          <x:t>DTC anonymous</x:t>
        </x:is>
      </x:c>
      <x:c r="G39" t="inlineStr">
        <x:is>
          <x:t>ES</x:t>
        </x:is>
      </x:c>
      <x:c r="H39" t="inlineStr">
        <x:is>
          <x:t>f5204e12d + atomic source hashes in ATOMIC-CORRECTION.json</x:t>
        </x:is>
      </x:c>
      <x:c r="I39" t="inlineStr">
        <x:is>
          <x:t>PASS</x:t>
        </x:is>
      </x:c>
      <x:c r="J39" t="inlineStr">
        <x:is>
          <x:t>Actual12question browser journey to result; Expected outcome and commercial hold observed; screenshot inspected by executor. Independent QA and bilingual review pending.</x:t>
        </x:is>
      </x:c>
      <x:c r="K39" t="inlineStr">
        <x:is>
          <x:t>/workspaces/training-modules-09-10/output/nationwide-correction-execution-20261011/checkpoints/active-assignments-20261012-v1/final-acceptance-batch-001/browser-correction-v2/RESULTS.json</x:t>
        </x:is>
      </x:c>
      <x:c r="L39" t="inlineStr">
        <x:is>
          <x:t>R Codex executed; G/H-A pending</x:t>
        </x:is>
      </x:c>
      <x:c r="M39" t="inlineStr">
        <x:is>
          <x:t>GA-24;GA-42</x:t>
        </x:is>
      </x:c>
      <x:c r="N39" t="inlineStr">
        <x:is>
          <x:t>Browser uses broad time bucket; exact anniversary proof is separate API evidence. No protected claim, funding or delivery.</x:t>
        </x:is>
      </x:c>
    </x:row>
    <x:row r="40">
      <x:c r="A40" t="inlineStr">
        <x:is>
          <x:t>B001-PROTECTED-owner</x:t>
        </x:is>
      </x:c>
      <x:c r="B40" t="inlineStr">
        <x:is>
          <x:t>P09-02</x:t>
        </x:is>
      </x:c>
      <x:c r="C40" t="inlineStr">
        <x:is>
          <x:t>MS</x:t>
        </x:is>
      </x:c>
      <x:c r="D40" t="inlineStr">
        <x:is>
          <x:t>Retained isolated synthetic MS matter</x:t>
        </x:is>
      </x:c>
      <x:c r="E40" t="inlineStr">
        <x:is>
          <x:t>owner200/staff404/anonymous401</x:t>
        </x:is>
      </x:c>
      <x:c r="F40" t="inlineStr">
        <x:is>
          <x:t>Protected Briefcase</x:t>
        </x:is>
      </x:c>
      <x:c r="G40" t="inlineStr">
        <x:is>
          <x:t>EN</x:t>
        </x:is>
      </x:c>
      <x:c r="H40" t="inlineStr">
        <x:is>
          <x:t>f5204e12d</x:t>
        </x:is>
      </x:c>
      <x:c r="I40" t="inlineStr">
        <x:is>
          <x:t>PASS</x:t>
        </x:is>
      </x:c>
      <x:c r="J40" t="inlineStr">
        <x:is>
          <x:t>Actual HTTP200; ordinary sign-in=True; owner UI=True; Briefcase row unchanged. Not full journey.</x:t>
        </x:is>
      </x:c>
      <x:c r="K40" t="inlineStr">
        <x:is>
          <x:t>/workspaces/training-modules-09-10/output/nationwide-correction-execution-20261011/checkpoints/active-assignments-20261012-v1/final-acceptance-batch-001/PROTECTED-v1.json</x:t>
        </x:is>
      </x:c>
      <x:c r="L40" t="inlineStr">
        <x:is>
          <x:t>R Codex executed; G independent QA pending</x:t>
        </x:is>
      </x:c>
      <x:c r="M40" t="inlineStr">
        <x:is>
          <x:t>GA-43</x:t>
        </x:is>
      </x:c>
      <x:c r="N40" t="inlineStr">
        <x:is>
          <x:t>Existing authorized local identities; does not replace GA22 exact hosted Mississippi account.</x:t>
        </x:is>
      </x:c>
    </x:row>
    <x:row r="41">
      <x:c r="A41" t="inlineStr">
        <x:is>
          <x:t>B001-PROTECTED-staff</x:t>
        </x:is>
      </x:c>
      <x:c r="B41" t="inlineStr">
        <x:is>
          <x:t>P09-02</x:t>
        </x:is>
      </x:c>
      <x:c r="C41" t="inlineStr">
        <x:is>
          <x:t>MS</x:t>
        </x:is>
      </x:c>
      <x:c r="D41" t="inlineStr">
        <x:is>
          <x:t>Retained isolated synthetic MS matter</x:t>
        </x:is>
      </x:c>
      <x:c r="E41" t="inlineStr">
        <x:is>
          <x:t>owner200/staff404/anonymous401</x:t>
        </x:is>
      </x:c>
      <x:c r="F41" t="inlineStr">
        <x:is>
          <x:t>Protected Briefcase</x:t>
        </x:is>
      </x:c>
      <x:c r="G41" t="inlineStr">
        <x:is>
          <x:t>EN</x:t>
        </x:is>
      </x:c>
      <x:c r="H41" t="inlineStr">
        <x:is>
          <x:t>f5204e12d</x:t>
        </x:is>
      </x:c>
      <x:c r="I41" t="inlineStr">
        <x:is>
          <x:t>PASS</x:t>
        </x:is>
      </x:c>
      <x:c r="J41" t="inlineStr">
        <x:is>
          <x:t>Actual HTTP404; ordinary sign-in=True; owner UI=False; Briefcase row unchanged. Not full journey.</x:t>
        </x:is>
      </x:c>
      <x:c r="K41" t="inlineStr">
        <x:is>
          <x:t>/workspaces/training-modules-09-10/output/nationwide-correction-execution-20261011/checkpoints/active-assignments-20261012-v1/final-acceptance-batch-001/PROTECTED-v1.json</x:t>
        </x:is>
      </x:c>
      <x:c r="L41" t="inlineStr">
        <x:is>
          <x:t>R Codex executed; G independent QA pending</x:t>
        </x:is>
      </x:c>
      <x:c r="M41" t="inlineStr">
        <x:is>
          <x:t>GA-43</x:t>
        </x:is>
      </x:c>
      <x:c r="N41" t="inlineStr">
        <x:is>
          <x:t>Existing authorized local identities; does not replace GA22 exact hosted Mississippi account.</x:t>
        </x:is>
      </x:c>
    </x:row>
    <x:row r="42">
      <x:c r="A42" t="inlineStr">
        <x:is>
          <x:t>B001-PROTECTED-anonymous</x:t>
        </x:is>
      </x:c>
      <x:c r="B42" t="inlineStr">
        <x:is>
          <x:t>P09-02</x:t>
        </x:is>
      </x:c>
      <x:c r="C42" t="inlineStr">
        <x:is>
          <x:t>MS</x:t>
        </x:is>
      </x:c>
      <x:c r="D42" t="inlineStr">
        <x:is>
          <x:t>Retained isolated synthetic MS matter</x:t>
        </x:is>
      </x:c>
      <x:c r="E42" t="inlineStr">
        <x:is>
          <x:t>owner200/staff404/anonymous401</x:t>
        </x:is>
      </x:c>
      <x:c r="F42" t="inlineStr">
        <x:is>
          <x:t>Protected Briefcase</x:t>
        </x:is>
      </x:c>
      <x:c r="G42" t="inlineStr">
        <x:is>
          <x:t>EN</x:t>
        </x:is>
      </x:c>
      <x:c r="H42" t="inlineStr">
        <x:is>
          <x:t>f5204e12d</x:t>
        </x:is>
      </x:c>
      <x:c r="I42" t="inlineStr">
        <x:is>
          <x:t>PASS</x:t>
        </x:is>
      </x:c>
      <x:c r="J42" t="inlineStr">
        <x:is>
          <x:t>Actual HTTP401; ordinary sign-in=False; owner UI=False; Briefcase row unchanged. Not full journey.</x:t>
        </x:is>
      </x:c>
      <x:c r="K42" t="inlineStr">
        <x:is>
          <x:t>/workspaces/training-modules-09-10/output/nationwide-correction-execution-20261011/checkpoints/active-assignments-20261012-v1/final-acceptance-batch-001/PROTECTED-v1.json</x:t>
        </x:is>
      </x:c>
      <x:c r="L42" t="inlineStr">
        <x:is>
          <x:t>R Codex executed; G independent QA pending</x:t>
        </x:is>
      </x:c>
      <x:c r="M42" t="inlineStr">
        <x:is>
          <x:t>GA-43</x:t>
        </x:is>
      </x:c>
      <x:c r="N42" t="inlineStr">
        <x:is>
          <x:t>Existing authorized local identities; does not replace GA22 exact hosted Mississippi account.</x:t>
        </x:is>
      </x:c>
    </x:row>
    <x:row r="43">
      <x:c r="A43" t="inlineStr">
        <x:is>
          <x:t>NY268-BASE-legacy-history-missing</x:t>
        </x:is>
      </x:c>
      <x:c r="B43" t="inlineStr">
        <x:is>
          <x:t>P02-05</x:t>
        </x:is>
      </x:c>
      <x:c r="C43" t="inlineStr">
        <x:is>
          <x:t>NY</x:t>
        </x:is>
      </x:c>
      <x:c r="D43" t="inlineStr">
        <x:is>
          <x:t>NY:discretionary-conviction-sealing-by-petition-under-cpl-160-59</x:t>
        </x:is>
      </x:c>
      <x:c r="E43" t="inlineStr">
        <x:is>
          <x:t>legacy-history-missing</x:t>
        </x:is>
      </x:c>
      <x:c r="F43" t="inlineStr">
        <x:is>
          <x:t>Local evaluator</x:t>
        </x:is>
      </x:c>
      <x:c r="G43" t="inlineStr">
        <x:is>
          <x:t>EN</x:t>
        </x:is>
      </x:c>
      <x:c r="H43" t="inlineStr">
        <x:is>
          <x:t>933d1ab9a</x:t>
        </x:is>
      </x:c>
      <x:c r="I43" t="inlineStr">
        <x:is>
          <x:t>FAIL</x:t>
        </x:is>
      </x:c>
      <x:c r="J43" t="inlineStr">
        <x:is>
          <x:t>packet_ready_with_caution</x:t>
        </x:is>
      </x:c>
      <x:c r="K43" t="inlineStr">
        <x:is>
          <x:t>/workspaces/training-modules-09-10/output/nationwide-correction-execution-20261011/checkpoints/active-assignments-20261012-v1/ny-history-clock-20261012/BASELINE.json</x:t>
        </x:is>
      </x:c>
      <x:c r="L43" t="inlineStr">
        <x:is>
          <x:t>R Codex; G independent QA pending</x:t>
        </x:is>
      </x:c>
      <x:c r="M43" t="inlineStr">
        <x:is>
          <x:t>GA-19;GA-21</x:t>
        </x:is>
      </x:c>
      <x:c r="N43" t="inlineStr">
        <x:is>
          <x:t>Retained original observation; no independent acceptance</x:t>
        </x:is>
      </x:c>
    </x:row>
    <x:row r="44">
      <x:c r="A44" t="inlineStr">
        <x:is>
          <x:t>NY268-BASE-history-three</x:t>
        </x:is>
      </x:c>
      <x:c r="B44" t="inlineStr">
        <x:is>
          <x:t>P02-05</x:t>
        </x:is>
      </x:c>
      <x:c r="C44" t="inlineStr">
        <x:is>
          <x:t>NY</x:t>
        </x:is>
      </x:c>
      <x:c r="D44" t="inlineStr">
        <x:is>
          <x:t>NY:discretionary-conviction-sealing-by-petition-under-cpl-160-59</x:t>
        </x:is>
      </x:c>
      <x:c r="E44" t="inlineStr">
        <x:is>
          <x:t>history-three</x:t>
        </x:is>
      </x:c>
      <x:c r="F44" t="inlineStr">
        <x:is>
          <x:t>Local evaluator</x:t>
        </x:is>
      </x:c>
      <x:c r="G44" t="inlineStr">
        <x:is>
          <x:t>EN</x:t>
        </x:is>
      </x:c>
      <x:c r="H44" t="inlineStr">
        <x:is>
          <x:t>933d1ab9a</x:t>
        </x:is>
      </x:c>
      <x:c r="I44" t="inlineStr">
        <x:is>
          <x:t>FAIL</x:t>
        </x:is>
      </x:c>
      <x:c r="J44" t="inlineStr">
        <x:is>
          <x:t>InvalidAnswerError</x:t>
        </x:is>
      </x:c>
      <x:c r="K44" t="inlineStr">
        <x:is>
          <x:t>/workspaces/training-modules-09-10/output/nationwide-correction-execution-20261011/checkpoints/active-assignments-20261012-v1/ny-history-clock-20261012/BASELINE.json</x:t>
        </x:is>
      </x:c>
      <x:c r="L44" t="inlineStr">
        <x:is>
          <x:t>R Codex; G independent QA pending</x:t>
        </x:is>
      </x:c>
      <x:c r="M44" t="inlineStr">
        <x:is>
          <x:t>GA-19;GA-21</x:t>
        </x:is>
      </x:c>
      <x:c r="N44" t="inlineStr">
        <x:is>
          <x:t>Retained original observation; no independent acceptance</x:t>
        </x:is>
      </x:c>
    </x:row>
    <x:row r="45">
      <x:c r="A45" t="inlineStr">
        <x:is>
          <x:t>NY268-BASE-prior-order</x:t>
        </x:is>
      </x:c>
      <x:c r="B45" t="inlineStr">
        <x:is>
          <x:t>P02-05</x:t>
        </x:is>
      </x:c>
      <x:c r="C45" t="inlineStr">
        <x:is>
          <x:t>NY</x:t>
        </x:is>
      </x:c>
      <x:c r="D45" t="inlineStr">
        <x:is>
          <x:t>NY:discretionary-conviction-sealing-by-petition-under-cpl-160-59</x:t>
        </x:is>
      </x:c>
      <x:c r="E45" t="inlineStr">
        <x:is>
          <x:t>prior-order</x:t>
        </x:is>
      </x:c>
      <x:c r="F45" t="inlineStr">
        <x:is>
          <x:t>Local evaluator</x:t>
        </x:is>
      </x:c>
      <x:c r="G45" t="inlineStr">
        <x:is>
          <x:t>EN</x:t>
        </x:is>
      </x:c>
      <x:c r="H45" t="inlineStr">
        <x:is>
          <x:t>933d1ab9a</x:t>
        </x:is>
      </x:c>
      <x:c r="I45" t="inlineStr">
        <x:is>
          <x:t>OBSERVED</x:t>
        </x:is>
      </x:c>
      <x:c r="J45" t="inlineStr">
        <x:is>
          <x:t>needs_review</x:t>
        </x:is>
      </x:c>
      <x:c r="K45" t="inlineStr">
        <x:is>
          <x:t>/workspaces/training-modules-09-10/output/nationwide-correction-execution-20261011/checkpoints/active-assignments-20261012-v1/ny-history-clock-20261012/BASELINE.json</x:t>
        </x:is>
      </x:c>
      <x:c r="L45" t="inlineStr">
        <x:is>
          <x:t>R Codex; G independent QA pending</x:t>
        </x:is>
      </x:c>
      <x:c r="M45" t="inlineStr">
        <x:is>
          <x:t>GA-19;GA-21</x:t>
        </x:is>
      </x:c>
      <x:c r="N45" t="inlineStr">
        <x:is>
          <x:t>Retained original observation; no independent acceptance</x:t>
        </x:is>
      </x:c>
    </x:row>
    <x:row r="46">
      <x:c r="A46" t="inlineStr">
        <x:is>
          <x:t>NY268-BASE-bucket-only</x:t>
        </x:is>
      </x:c>
      <x:c r="B46" t="inlineStr">
        <x:is>
          <x:t>P02-05</x:t>
        </x:is>
      </x:c>
      <x:c r="C46" t="inlineStr">
        <x:is>
          <x:t>NY</x:t>
        </x:is>
      </x:c>
      <x:c r="D46" t="inlineStr">
        <x:is>
          <x:t>NY:discretionary-conviction-sealing-by-petition-under-cpl-160-59</x:t>
        </x:is>
      </x:c>
      <x:c r="E46" t="inlineStr">
        <x:is>
          <x:t>bucket-only</x:t>
        </x:is>
      </x:c>
      <x:c r="F46" t="inlineStr">
        <x:is>
          <x:t>Local evaluator</x:t>
        </x:is>
      </x:c>
      <x:c r="G46" t="inlineStr">
        <x:is>
          <x:t>EN</x:t>
        </x:is>
      </x:c>
      <x:c r="H46" t="inlineStr">
        <x:is>
          <x:t>933d1ab9a</x:t>
        </x:is>
      </x:c>
      <x:c r="I46" t="inlineStr">
        <x:is>
          <x:t>FAIL</x:t>
        </x:is>
      </x:c>
      <x:c r="J46" t="inlineStr">
        <x:is>
          <x:t>packet_ready_with_caution</x:t>
        </x:is>
      </x:c>
      <x:c r="K46" t="inlineStr">
        <x:is>
          <x:t>/workspaces/training-modules-09-10/output/nationwide-correction-execution-20261011/checkpoints/active-assignments-20261012-v1/ny-history-clock-20261012/BASELINE.json</x:t>
        </x:is>
      </x:c>
      <x:c r="L46" t="inlineStr">
        <x:is>
          <x:t>R Codex; G independent QA pending</x:t>
        </x:is>
      </x:c>
      <x:c r="M46" t="inlineStr">
        <x:is>
          <x:t>GA-19;GA-21</x:t>
        </x:is>
      </x:c>
      <x:c r="N46" t="inlineStr">
        <x:is>
          <x:t>Retained original observation; no independent acceptance</x:t>
        </x:is>
      </x:c>
    </x:row>
    <x:row r="47">
      <x:c r="A47" t="inlineStr">
        <x:is>
          <x:t>NY268-BASE-incarceration</x:t>
        </x:is>
      </x:c>
      <x:c r="B47" t="inlineStr">
        <x:is>
          <x:t>P02-05</x:t>
        </x:is>
      </x:c>
      <x:c r="C47" t="inlineStr">
        <x:is>
          <x:t>NY</x:t>
        </x:is>
      </x:c>
      <x:c r="D47" t="inlineStr">
        <x:is>
          <x:t>NY:discretionary-conviction-sealing-by-petition-under-cpl-160-59</x:t>
        </x:is>
      </x:c>
      <x:c r="E47" t="inlineStr">
        <x:is>
          <x:t>incarceration</x:t>
        </x:is>
      </x:c>
      <x:c r="F47" t="inlineStr">
        <x:is>
          <x:t>Local evaluator</x:t>
        </x:is>
      </x:c>
      <x:c r="G47" t="inlineStr">
        <x:is>
          <x:t>EN</x:t>
        </x:is>
      </x:c>
      <x:c r="H47" t="inlineStr">
        <x:is>
          <x:t>933d1ab9a</x:t>
        </x:is>
      </x:c>
      <x:c r="I47" t="inlineStr">
        <x:is>
          <x:t>FAIL</x:t>
        </x:is>
      </x:c>
      <x:c r="J47" t="inlineStr">
        <x:is>
          <x:t>InvalidAnswerError</x:t>
        </x:is>
      </x:c>
      <x:c r="K47" t="inlineStr">
        <x:is>
          <x:t>/workspaces/training-modules-09-10/output/nationwide-correction-execution-20261011/checkpoints/active-assignments-20261012-v1/ny-history-clock-20261012/BASELINE.json</x:t>
        </x:is>
      </x:c>
      <x:c r="L47" t="inlineStr">
        <x:is>
          <x:t>R Codex; G independent QA pending</x:t>
        </x:is>
      </x:c>
      <x:c r="M47" t="inlineStr">
        <x:is>
          <x:t>GA-19;GA-21</x:t>
        </x:is>
      </x:c>
      <x:c r="N47" t="inlineStr">
        <x:is>
          <x:t>Retained original observation; no independent acceptance</x:t>
        </x:is>
      </x:c>
    </x:row>
    <x:row r="48">
      <x:c r="A48" t="inlineStr">
        <x:is>
          <x:t>NY268-one-misdemeanor</x:t>
        </x:is>
      </x:c>
      <x:c r="B48" t="inlineStr">
        <x:is>
          <x:t>P02-05</x:t>
        </x:is>
      </x:c>
      <x:c r="C48" t="inlineStr">
        <x:is>
          <x:t>NY</x:t>
        </x:is>
      </x:c>
      <x:c r="D48" t="inlineStr">
        <x:is>
          <x:t>NY:discretionary-conviction-sealing-by-petition-under-cpl-160-59</x:t>
        </x:is>
      </x:c>
      <x:c r="E48" t="inlineStr">
        <x:is>
          <x:t>one-misdemeanor</x:t>
        </x:is>
      </x:c>
      <x:c r="F48" t="inlineStr">
        <x:is>
          <x:t>Local evaluator</x:t>
        </x:is>
      </x:c>
      <x:c r="G48" t="inlineStr">
        <x:is>
          <x:t>EN</x:t>
        </x:is>
      </x:c>
      <x:c r="H48" t="inlineStr">
        <x:is>
          <x:t>933d1ab9a + NY source e3e08af63f6ed16f; pushed SHA in RECEIPT.json</x:t>
        </x:is>
      </x:c>
      <x:c r="I48" t="inlineStr">
        <x:is>
          <x:t>PASS</x:t>
        </x:is>
      </x:c>
      <x:c r="J48" t="inlineStr">
        <x:is>
          <x:t>packet_ready_with_caution</x:t>
        </x:is>
      </x:c>
      <x:c r="K48" t="inlineStr">
        <x:is>
          <x:t>/workspaces/training-modules-09-10/output/nationwide-correction-execution-20261011/checkpoints/active-assignments-20261012-v1/ny-history-clock-20261012/CANDIDATE-v5.json#/rows/one-misdemeanor</x:t>
        </x:is>
      </x:c>
      <x:c r="L48" t="inlineStr">
        <x:is>
          <x:t>R Codex; G and H-L review pending</x:t>
        </x:is>
      </x:c>
      <x:c r="M48" t="inlineStr">
        <x:is>
          <x:t>GA-19;GA-21</x:t>
        </x:is>
      </x:c>
      <x:c r="N48" t="inlineStr">
        <x:is>
          <x:t>Bounded engineering result only; all commercial holds; no control closure</x:t>
        </x:is>
      </x:c>
    </x:row>
    <x:row r="49">
      <x:c r="A49" t="inlineStr">
        <x:is>
          <x:t>NY268-history-1-0</x:t>
        </x:is>
      </x:c>
      <x:c r="B49" t="inlineStr">
        <x:is>
          <x:t>P02-05</x:t>
        </x:is>
      </x:c>
      <x:c r="C49" t="inlineStr">
        <x:is>
          <x:t>NY</x:t>
        </x:is>
      </x:c>
      <x:c r="D49" t="inlineStr">
        <x:is>
          <x:t>NY:discretionary-conviction-sealing-by-petition-under-cpl-160-59</x:t>
        </x:is>
      </x:c>
      <x:c r="E49" t="inlineStr">
        <x:is>
          <x:t>history-1-0</x:t>
        </x:is>
      </x:c>
      <x:c r="F49" t="inlineStr">
        <x:is>
          <x:t>Local evaluator</x:t>
        </x:is>
      </x:c>
      <x:c r="G49" t="inlineStr">
        <x:is>
          <x:t>EN</x:t>
        </x:is>
      </x:c>
      <x:c r="H49" t="inlineStr">
        <x:is>
          <x:t>933d1ab9a + NY source e3e08af63f6ed16f; pushed SHA in RECEIPT.json</x:t>
        </x:is>
      </x:c>
      <x:c r="I49" t="inlineStr">
        <x:is>
          <x:t>PASS</x:t>
        </x:is>
      </x:c>
      <x:c r="J49" t="inlineStr">
        <x:is>
          <x:t>packet_ready_with_caution</x:t>
        </x:is>
      </x:c>
      <x:c r="K49" t="inlineStr">
        <x:is>
          <x:t>/workspaces/training-modules-09-10/output/nationwide-correction-execution-20261011/checkpoints/active-assignments-20261012-v1/ny-history-clock-20261012/CANDIDATE-v5.json#/rows/history-1-0</x:t>
        </x:is>
      </x:c>
      <x:c r="L49" t="inlineStr">
        <x:is>
          <x:t>R Codex; G and H-L review pending</x:t>
        </x:is>
      </x:c>
      <x:c r="M49" t="inlineStr">
        <x:is>
          <x:t>GA-19;GA-21</x:t>
        </x:is>
      </x:c>
      <x:c r="N49" t="inlineStr">
        <x:is>
          <x:t>Bounded engineering result only; all commercial holds; no control closure</x:t>
        </x:is>
      </x:c>
    </x:row>
    <x:row r="50">
      <x:c r="A50" t="inlineStr">
        <x:is>
          <x:t>NY268-history-1-1</x:t>
        </x:is>
      </x:c>
      <x:c r="B50" t="inlineStr">
        <x:is>
          <x:t>P02-05</x:t>
        </x:is>
      </x:c>
      <x:c r="C50" t="inlineStr">
        <x:is>
          <x:t>NY</x:t>
        </x:is>
      </x:c>
      <x:c r="D50" t="inlineStr">
        <x:is>
          <x:t>NY:discretionary-conviction-sealing-by-petition-under-cpl-160-59</x:t>
        </x:is>
      </x:c>
      <x:c r="E50" t="inlineStr">
        <x:is>
          <x:t>history-1-1</x:t>
        </x:is>
      </x:c>
      <x:c r="F50" t="inlineStr">
        <x:is>
          <x:t>Local evaluator</x:t>
        </x:is>
      </x:c>
      <x:c r="G50" t="inlineStr">
        <x:is>
          <x:t>EN</x:t>
        </x:is>
      </x:c>
      <x:c r="H50" t="inlineStr">
        <x:is>
          <x:t>933d1ab9a + NY source e3e08af63f6ed16f; pushed SHA in RECEIPT.json</x:t>
        </x:is>
      </x:c>
      <x:c r="I50" t="inlineStr">
        <x:is>
          <x:t>PASS</x:t>
        </x:is>
      </x:c>
      <x:c r="J50" t="inlineStr">
        <x:is>
          <x:t>packet_ready_with_caution</x:t>
        </x:is>
      </x:c>
      <x:c r="K50" t="inlineStr">
        <x:is>
          <x:t>/workspaces/training-modules-09-10/output/nationwide-correction-execution-20261011/checkpoints/active-assignments-20261012-v1/ny-history-clock-20261012/CANDIDATE-v5.json#/rows/history-1-1</x:t>
        </x:is>
      </x:c>
      <x:c r="L50" t="inlineStr">
        <x:is>
          <x:t>R Codex; G and H-L review pending</x:t>
        </x:is>
      </x:c>
      <x:c r="M50" t="inlineStr">
        <x:is>
          <x:t>GA-19;GA-21</x:t>
        </x:is>
      </x:c>
      <x:c r="N50" t="inlineStr">
        <x:is>
          <x:t>Bounded engineering result only; all commercial holds; no control closure</x:t>
        </x:is>
      </x:c>
    </x:row>
    <x:row r="51">
      <x:c r="A51" t="inlineStr">
        <x:is>
          <x:t>NY268-history-1-2</x:t>
        </x:is>
      </x:c>
      <x:c r="B51" t="inlineStr">
        <x:is>
          <x:t>P02-05</x:t>
        </x:is>
      </x:c>
      <x:c r="C51" t="inlineStr">
        <x:is>
          <x:t>NY</x:t>
        </x:is>
      </x:c>
      <x:c r="D51" t="inlineStr">
        <x:is>
          <x:t>NY:discretionary-conviction-sealing-by-petition-under-cpl-160-59</x:t>
        </x:is>
      </x:c>
      <x:c r="E51" t="inlineStr">
        <x:is>
          <x:t>history-1-2</x:t>
        </x:is>
      </x:c>
      <x:c r="F51" t="inlineStr">
        <x:is>
          <x:t>Local evaluator</x:t>
        </x:is>
      </x:c>
      <x:c r="G51" t="inlineStr">
        <x:is>
          <x:t>EN</x:t>
        </x:is>
      </x:c>
      <x:c r="H51" t="inlineStr">
        <x:is>
          <x:t>933d1ab9a + NY source e3e08af63f6ed16f; pushed SHA in RECEIPT.json</x:t>
        </x:is>
      </x:c>
      <x:c r="I51" t="inlineStr">
        <x:is>
          <x:t>PASS</x:t>
        </x:is>
      </x:c>
      <x:c r="J51" t="inlineStr">
        <x:is>
          <x:t>needs_review</x:t>
        </x:is>
      </x:c>
      <x:c r="K51" t="inlineStr">
        <x:is>
          <x:t>/workspaces/training-modules-09-10/output/nationwide-correction-execution-20261011/checkpoints/active-assignments-20261012-v1/ny-history-clock-20261012/CANDIDATE-v5.json#/rows/history-1-2</x:t>
        </x:is>
      </x:c>
      <x:c r="L51" t="inlineStr">
        <x:is>
          <x:t>R Codex; G and H-L review pending</x:t>
        </x:is>
      </x:c>
      <x:c r="M51" t="inlineStr">
        <x:is>
          <x:t>GA-19;GA-21</x:t>
        </x:is>
      </x:c>
      <x:c r="N51" t="inlineStr">
        <x:is>
          <x:t>Bounded engineering result only; all commercial holds; no control closure</x:t>
        </x:is>
      </x:c>
    </x:row>
    <x:row r="52">
      <x:c r="A52" t="inlineStr">
        <x:is>
          <x:t>NY268-history-1-3</x:t>
        </x:is>
      </x:c>
      <x:c r="B52" t="inlineStr">
        <x:is>
          <x:t>P02-05</x:t>
        </x:is>
      </x:c>
      <x:c r="C52" t="inlineStr">
        <x:is>
          <x:t>NY</x:t>
        </x:is>
      </x:c>
      <x:c r="D52" t="inlineStr">
        <x:is>
          <x:t>NY:discretionary-conviction-sealing-by-petition-under-cpl-160-59</x:t>
        </x:is>
      </x:c>
      <x:c r="E52" t="inlineStr">
        <x:is>
          <x:t>history-1-3</x:t>
        </x:is>
      </x:c>
      <x:c r="F52" t="inlineStr">
        <x:is>
          <x:t>Local evaluator</x:t>
        </x:is>
      </x:c>
      <x:c r="G52" t="inlineStr">
        <x:is>
          <x:t>EN</x:t>
        </x:is>
      </x:c>
      <x:c r="H52" t="inlineStr">
        <x:is>
          <x:t>933d1ab9a + NY source e3e08af63f6ed16f; pushed SHA in RECEIPT.json</x:t>
        </x:is>
      </x:c>
      <x:c r="I52" t="inlineStr">
        <x:is>
          <x:t>PASS</x:t>
        </x:is>
      </x:c>
      <x:c r="J52" t="inlineStr">
        <x:is>
          <x:t>needs_review</x:t>
        </x:is>
      </x:c>
      <x:c r="K52" t="inlineStr">
        <x:is>
          <x:t>/workspaces/training-modules-09-10/output/nationwide-correction-execution-20261011/checkpoints/active-assignments-20261012-v1/ny-history-clock-20261012/CANDIDATE-v5.json#/rows/history-1-3</x:t>
        </x:is>
      </x:c>
      <x:c r="L52" t="inlineStr">
        <x:is>
          <x:t>R Codex; G and H-L review pending</x:t>
        </x:is>
      </x:c>
      <x:c r="M52" t="inlineStr">
        <x:is>
          <x:t>GA-19;GA-21</x:t>
        </x:is>
      </x:c>
      <x:c r="N52" t="inlineStr">
        <x:is>
          <x:t>Bounded engineering result only; all commercial holds; no control closure</x:t>
        </x:is>
      </x:c>
    </x:row>
    <x:row r="53">
      <x:c r="A53" t="inlineStr">
        <x:is>
          <x:t>NY268-history-2-0</x:t>
        </x:is>
      </x:c>
      <x:c r="B53" t="inlineStr">
        <x:is>
          <x:t>P02-05</x:t>
        </x:is>
      </x:c>
      <x:c r="C53" t="inlineStr">
        <x:is>
          <x:t>NY</x:t>
        </x:is>
      </x:c>
      <x:c r="D53" t="inlineStr">
        <x:is>
          <x:t>NY:discretionary-conviction-sealing-by-petition-under-cpl-160-59</x:t>
        </x:is>
      </x:c>
      <x:c r="E53" t="inlineStr">
        <x:is>
          <x:t>history-2-0</x:t>
        </x:is>
      </x:c>
      <x:c r="F53" t="inlineStr">
        <x:is>
          <x:t>Local evaluator</x:t>
        </x:is>
      </x:c>
      <x:c r="G53" t="inlineStr">
        <x:is>
          <x:t>EN</x:t>
        </x:is>
      </x:c>
      <x:c r="H53" t="inlineStr">
        <x:is>
          <x:t>933d1ab9a + NY source e3e08af63f6ed16f; pushed SHA in RECEIPT.json</x:t>
        </x:is>
      </x:c>
      <x:c r="I53" t="inlineStr">
        <x:is>
          <x:t>PASS</x:t>
        </x:is>
      </x:c>
      <x:c r="J53" t="inlineStr">
        <x:is>
          <x:t>packet_ready_with_caution</x:t>
        </x:is>
      </x:c>
      <x:c r="K53" t="inlineStr">
        <x:is>
          <x:t>/workspaces/training-modules-09-10/output/nationwide-correction-execution-20261011/checkpoints/active-assignments-20261012-v1/ny-history-clock-20261012/CANDIDATE-v5.json#/rows/history-2-0</x:t>
        </x:is>
      </x:c>
      <x:c r="L53" t="inlineStr">
        <x:is>
          <x:t>R Codex; G and H-L review pending</x:t>
        </x:is>
      </x:c>
      <x:c r="M53" t="inlineStr">
        <x:is>
          <x:t>GA-19;GA-21</x:t>
        </x:is>
      </x:c>
      <x:c r="N53" t="inlineStr">
        <x:is>
          <x:t>Bounded engineering result only; all commercial holds; no control closure</x:t>
        </x:is>
      </x:c>
    </x:row>
    <x:row r="54">
      <x:c r="A54" t="inlineStr">
        <x:is>
          <x:t>NY268-history-2-1</x:t>
        </x:is>
      </x:c>
      <x:c r="B54" t="inlineStr">
        <x:is>
          <x:t>P02-05</x:t>
        </x:is>
      </x:c>
      <x:c r="C54" t="inlineStr">
        <x:is>
          <x:t>NY</x:t>
        </x:is>
      </x:c>
      <x:c r="D54" t="inlineStr">
        <x:is>
          <x:t>NY:discretionary-conviction-sealing-by-petition-under-cpl-160-59</x:t>
        </x:is>
      </x:c>
      <x:c r="E54" t="inlineStr">
        <x:is>
          <x:t>history-2-1</x:t>
        </x:is>
      </x:c>
      <x:c r="F54" t="inlineStr">
        <x:is>
          <x:t>Local evaluator</x:t>
        </x:is>
      </x:c>
      <x:c r="G54" t="inlineStr">
        <x:is>
          <x:t>EN</x:t>
        </x:is>
      </x:c>
      <x:c r="H54" t="inlineStr">
        <x:is>
          <x:t>933d1ab9a + NY source e3e08af63f6ed16f; pushed SHA in RECEIPT.json</x:t>
        </x:is>
      </x:c>
      <x:c r="I54" t="inlineStr">
        <x:is>
          <x:t>PASS</x:t>
        </x:is>
      </x:c>
      <x:c r="J54" t="inlineStr">
        <x:is>
          <x:t>packet_ready_with_caution</x:t>
        </x:is>
      </x:c>
      <x:c r="K54" t="inlineStr">
        <x:is>
          <x:t>/workspaces/training-modules-09-10/output/nationwide-correction-execution-20261011/checkpoints/active-assignments-20261012-v1/ny-history-clock-20261012/CANDIDATE-v5.json#/rows/history-2-1</x:t>
        </x:is>
      </x:c>
      <x:c r="L54" t="inlineStr">
        <x:is>
          <x:t>R Codex; G and H-L review pending</x:t>
        </x:is>
      </x:c>
      <x:c r="M54" t="inlineStr">
        <x:is>
          <x:t>GA-19;GA-21</x:t>
        </x:is>
      </x:c>
      <x:c r="N54" t="inlineStr">
        <x:is>
          <x:t>Bounded engineering result only; all commercial holds; no control closure</x:t>
        </x:is>
      </x:c>
    </x:row>
    <x:row r="55">
      <x:c r="A55" t="inlineStr">
        <x:is>
          <x:t>NY268-history-2-2</x:t>
        </x:is>
      </x:c>
      <x:c r="B55" t="inlineStr">
        <x:is>
          <x:t>P02-05</x:t>
        </x:is>
      </x:c>
      <x:c r="C55" t="inlineStr">
        <x:is>
          <x:t>NY</x:t>
        </x:is>
      </x:c>
      <x:c r="D55" t="inlineStr">
        <x:is>
          <x:t>NY:discretionary-conviction-sealing-by-petition-under-cpl-160-59</x:t>
        </x:is>
      </x:c>
      <x:c r="E55" t="inlineStr">
        <x:is>
          <x:t>history-2-2</x:t>
        </x:is>
      </x:c>
      <x:c r="F55" t="inlineStr">
        <x:is>
          <x:t>Local evaluator</x:t>
        </x:is>
      </x:c>
      <x:c r="G55" t="inlineStr">
        <x:is>
          <x:t>EN</x:t>
        </x:is>
      </x:c>
      <x:c r="H55" t="inlineStr">
        <x:is>
          <x:t>933d1ab9a + NY source e3e08af63f6ed16f; pushed SHA in RECEIPT.json</x:t>
        </x:is>
      </x:c>
      <x:c r="I55" t="inlineStr">
        <x:is>
          <x:t>PASS</x:t>
        </x:is>
      </x:c>
      <x:c r="J55" t="inlineStr">
        <x:is>
          <x:t>likely_not_eligible</x:t>
        </x:is>
      </x:c>
      <x:c r="K55" t="inlineStr">
        <x:is>
          <x:t>/workspaces/training-modules-09-10/output/nationwide-correction-execution-20261011/checkpoints/active-assignments-20261012-v1/ny-history-clock-20261012/CANDIDATE-v5.json#/rows/history-2-2</x:t>
        </x:is>
      </x:c>
      <x:c r="L55" t="inlineStr">
        <x:is>
          <x:t>R Codex; G and H-L review pending</x:t>
        </x:is>
      </x:c>
      <x:c r="M55" t="inlineStr">
        <x:is>
          <x:t>GA-19;GA-21</x:t>
        </x:is>
      </x:c>
      <x:c r="N55" t="inlineStr">
        <x:is>
          <x:t>Bounded engineering result only; all commercial holds; no control closure</x:t>
        </x:is>
      </x:c>
    </x:row>
    <x:row r="56">
      <x:c r="A56" t="inlineStr">
        <x:is>
          <x:t>NY268-history-2-3</x:t>
        </x:is>
      </x:c>
      <x:c r="B56" t="inlineStr">
        <x:is>
          <x:t>P02-05</x:t>
        </x:is>
      </x:c>
      <x:c r="C56" t="inlineStr">
        <x:is>
          <x:t>NY</x:t>
        </x:is>
      </x:c>
      <x:c r="D56" t="inlineStr">
        <x:is>
          <x:t>NY:discretionary-conviction-sealing-by-petition-under-cpl-160-59</x:t>
        </x:is>
      </x:c>
      <x:c r="E56" t="inlineStr">
        <x:is>
          <x:t>history-2-3</x:t>
        </x:is>
      </x:c>
      <x:c r="F56" t="inlineStr">
        <x:is>
          <x:t>Local evaluator</x:t>
        </x:is>
      </x:c>
      <x:c r="G56" t="inlineStr">
        <x:is>
          <x:t>EN</x:t>
        </x:is>
      </x:c>
      <x:c r="H56" t="inlineStr">
        <x:is>
          <x:t>933d1ab9a + NY source e3e08af63f6ed16f; pushed SHA in RECEIPT.json</x:t>
        </x:is>
      </x:c>
      <x:c r="I56" t="inlineStr">
        <x:is>
          <x:t>PASS</x:t>
        </x:is>
      </x:c>
      <x:c r="J56" t="inlineStr">
        <x:is>
          <x:t>needs_review</x:t>
        </x:is>
      </x:c>
      <x:c r="K56" t="inlineStr">
        <x:is>
          <x:t>/workspaces/training-modules-09-10/output/nationwide-correction-execution-20261011/checkpoints/active-assignments-20261012-v1/ny-history-clock-20261012/CANDIDATE-v5.json#/rows/history-2-3</x:t>
        </x:is>
      </x:c>
      <x:c r="L56" t="inlineStr">
        <x:is>
          <x:t>R Codex; G and H-L review pending</x:t>
        </x:is>
      </x:c>
      <x:c r="M56" t="inlineStr">
        <x:is>
          <x:t>GA-19;GA-21</x:t>
        </x:is>
      </x:c>
      <x:c r="N56" t="inlineStr">
        <x:is>
          <x:t>Bounded engineering result only; all commercial holds; no control closure</x:t>
        </x:is>
      </x:c>
    </x:row>
    <x:row r="57">
      <x:c r="A57" t="inlineStr">
        <x:is>
          <x:t>NY268-history-3-0</x:t>
        </x:is>
      </x:c>
      <x:c r="B57" t="inlineStr">
        <x:is>
          <x:t>P02-05</x:t>
        </x:is>
      </x:c>
      <x:c r="C57" t="inlineStr">
        <x:is>
          <x:t>NY</x:t>
        </x:is>
      </x:c>
      <x:c r="D57" t="inlineStr">
        <x:is>
          <x:t>NY:discretionary-conviction-sealing-by-petition-under-cpl-160-59</x:t>
        </x:is>
      </x:c>
      <x:c r="E57" t="inlineStr">
        <x:is>
          <x:t>history-3-0</x:t>
        </x:is>
      </x:c>
      <x:c r="F57" t="inlineStr">
        <x:is>
          <x:t>Local evaluator</x:t>
        </x:is>
      </x:c>
      <x:c r="G57" t="inlineStr">
        <x:is>
          <x:t>EN</x:t>
        </x:is>
      </x:c>
      <x:c r="H57" t="inlineStr">
        <x:is>
          <x:t>933d1ab9a + NY source e3e08af63f6ed16f; pushed SHA in RECEIPT.json</x:t>
        </x:is>
      </x:c>
      <x:c r="I57" t="inlineStr">
        <x:is>
          <x:t>PASS</x:t>
        </x:is>
      </x:c>
      <x:c r="J57" t="inlineStr">
        <x:is>
          <x:t>likely_not_eligible</x:t>
        </x:is>
      </x:c>
      <x:c r="K57" t="inlineStr">
        <x:is>
          <x:t>/workspaces/training-modules-09-10/output/nationwide-correction-execution-20261011/checkpoints/active-assignments-20261012-v1/ny-history-clock-20261012/CANDIDATE-v5.json#/rows/history-3-0</x:t>
        </x:is>
      </x:c>
      <x:c r="L57" t="inlineStr">
        <x:is>
          <x:t>R Codex; G and H-L review pending</x:t>
        </x:is>
      </x:c>
      <x:c r="M57" t="inlineStr">
        <x:is>
          <x:t>GA-19;GA-21</x:t>
        </x:is>
      </x:c>
      <x:c r="N57" t="inlineStr">
        <x:is>
          <x:t>Bounded engineering result only; all commercial holds; no control closure</x:t>
        </x:is>
      </x:c>
    </x:row>
    <x:row r="58">
      <x:c r="A58" t="inlineStr">
        <x:is>
          <x:t>NY268-history-3-1</x:t>
        </x:is>
      </x:c>
      <x:c r="B58" t="inlineStr">
        <x:is>
          <x:t>P02-05</x:t>
        </x:is>
      </x:c>
      <x:c r="C58" t="inlineStr">
        <x:is>
          <x:t>NY</x:t>
        </x:is>
      </x:c>
      <x:c r="D58" t="inlineStr">
        <x:is>
          <x:t>NY:discretionary-conviction-sealing-by-petition-under-cpl-160-59</x:t>
        </x:is>
      </x:c>
      <x:c r="E58" t="inlineStr">
        <x:is>
          <x:t>history-3-1</x:t>
        </x:is>
      </x:c>
      <x:c r="F58" t="inlineStr">
        <x:is>
          <x:t>Local evaluator</x:t>
        </x:is>
      </x:c>
      <x:c r="G58" t="inlineStr">
        <x:is>
          <x:t>EN</x:t>
        </x:is>
      </x:c>
      <x:c r="H58" t="inlineStr">
        <x:is>
          <x:t>933d1ab9a + NY source e3e08af63f6ed16f; pushed SHA in RECEIPT.json</x:t>
        </x:is>
      </x:c>
      <x:c r="I58" t="inlineStr">
        <x:is>
          <x:t>PASS</x:t>
        </x:is>
      </x:c>
      <x:c r="J58" t="inlineStr">
        <x:is>
          <x:t>likely_not_eligible</x:t>
        </x:is>
      </x:c>
      <x:c r="K58" t="inlineStr">
        <x:is>
          <x:t>/workspaces/training-modules-09-10/output/nationwide-correction-execution-20261011/checkpoints/active-assignments-20261012-v1/ny-history-clock-20261012/CANDIDATE-v5.json#/rows/history-3-1</x:t>
        </x:is>
      </x:c>
      <x:c r="L58" t="inlineStr">
        <x:is>
          <x:t>R Codex; G and H-L review pending</x:t>
        </x:is>
      </x:c>
      <x:c r="M58" t="inlineStr">
        <x:is>
          <x:t>GA-19;GA-21</x:t>
        </x:is>
      </x:c>
      <x:c r="N58" t="inlineStr">
        <x:is>
          <x:t>Bounded engineering result only; all commercial holds; no control closure</x:t>
        </x:is>
      </x:c>
    </x:row>
    <x:row r="59">
      <x:c r="A59" t="inlineStr">
        <x:is>
          <x:t>NY268-history-3-2</x:t>
        </x:is>
      </x:c>
      <x:c r="B59" t="inlineStr">
        <x:is>
          <x:t>P02-05</x:t>
        </x:is>
      </x:c>
      <x:c r="C59" t="inlineStr">
        <x:is>
          <x:t>NY</x:t>
        </x:is>
      </x:c>
      <x:c r="D59" t="inlineStr">
        <x:is>
          <x:t>NY:discretionary-conviction-sealing-by-petition-under-cpl-160-59</x:t>
        </x:is>
      </x:c>
      <x:c r="E59" t="inlineStr">
        <x:is>
          <x:t>history-3-2</x:t>
        </x:is>
      </x:c>
      <x:c r="F59" t="inlineStr">
        <x:is>
          <x:t>Local evaluator</x:t>
        </x:is>
      </x:c>
      <x:c r="G59" t="inlineStr">
        <x:is>
          <x:t>EN</x:t>
        </x:is>
      </x:c>
      <x:c r="H59" t="inlineStr">
        <x:is>
          <x:t>933d1ab9a + NY source e3e08af63f6ed16f; pushed SHA in RECEIPT.json</x:t>
        </x:is>
      </x:c>
      <x:c r="I59" t="inlineStr">
        <x:is>
          <x:t>PASS</x:t>
        </x:is>
      </x:c>
      <x:c r="J59" t="inlineStr">
        <x:is>
          <x:t>likely_not_eligible</x:t>
        </x:is>
      </x:c>
      <x:c r="K59" t="inlineStr">
        <x:is>
          <x:t>/workspaces/training-modules-09-10/output/nationwide-correction-execution-20261011/checkpoints/active-assignments-20261012-v1/ny-history-clock-20261012/CANDIDATE-v5.json#/rows/history-3-2</x:t>
        </x:is>
      </x:c>
      <x:c r="L59" t="inlineStr">
        <x:is>
          <x:t>R Codex; G and H-L review pending</x:t>
        </x:is>
      </x:c>
      <x:c r="M59" t="inlineStr">
        <x:is>
          <x:t>GA-19;GA-21</x:t>
        </x:is>
      </x:c>
      <x:c r="N59" t="inlineStr">
        <x:is>
          <x:t>Bounded engineering result only; all commercial holds; no control closure</x:t>
        </x:is>
      </x:c>
    </x:row>
    <x:row r="60">
      <x:c r="A60" t="inlineStr">
        <x:is>
          <x:t>NY268-history-3-3</x:t>
        </x:is>
      </x:c>
      <x:c r="B60" t="inlineStr">
        <x:is>
          <x:t>P02-05</x:t>
        </x:is>
      </x:c>
      <x:c r="C60" t="inlineStr">
        <x:is>
          <x:t>NY</x:t>
        </x:is>
      </x:c>
      <x:c r="D60" t="inlineStr">
        <x:is>
          <x:t>NY:discretionary-conviction-sealing-by-petition-under-cpl-160-59</x:t>
        </x:is>
      </x:c>
      <x:c r="E60" t="inlineStr">
        <x:is>
          <x:t>history-3-3</x:t>
        </x:is>
      </x:c>
      <x:c r="F60" t="inlineStr">
        <x:is>
          <x:t>Local evaluator</x:t>
        </x:is>
      </x:c>
      <x:c r="G60" t="inlineStr">
        <x:is>
          <x:t>EN</x:t>
        </x:is>
      </x:c>
      <x:c r="H60" t="inlineStr">
        <x:is>
          <x:t>933d1ab9a + NY source e3e08af63f6ed16f; pushed SHA in RECEIPT.json</x:t>
        </x:is>
      </x:c>
      <x:c r="I60" t="inlineStr">
        <x:is>
          <x:t>PASS</x:t>
        </x:is>
      </x:c>
      <x:c r="J60" t="inlineStr">
        <x:is>
          <x:t>likely_not_eligible</x:t>
        </x:is>
      </x:c>
      <x:c r="K60" t="inlineStr">
        <x:is>
          <x:t>/workspaces/training-modules-09-10/output/nationwide-correction-execution-20261011/checkpoints/active-assignments-20261012-v1/ny-history-clock-20261012/CANDIDATE-v5.json#/rows/history-3-3</x:t>
        </x:is>
      </x:c>
      <x:c r="L60" t="inlineStr">
        <x:is>
          <x:t>R Codex; G and H-L review pending</x:t>
        </x:is>
      </x:c>
      <x:c r="M60" t="inlineStr">
        <x:is>
          <x:t>GA-19;GA-21</x:t>
        </x:is>
      </x:c>
      <x:c r="N60" t="inlineStr">
        <x:is>
          <x:t>Bounded engineering result only; all commercial holds; no control closure</x:t>
        </x:is>
      </x:c>
    </x:row>
    <x:row r="61">
      <x:c r="A61" t="inlineStr">
        <x:is>
          <x:t>NY268-history-4-0</x:t>
        </x:is>
      </x:c>
      <x:c r="B61" t="inlineStr">
        <x:is>
          <x:t>P02-05</x:t>
        </x:is>
      </x:c>
      <x:c r="C61" t="inlineStr">
        <x:is>
          <x:t>NY</x:t>
        </x:is>
      </x:c>
      <x:c r="D61" t="inlineStr">
        <x:is>
          <x:t>NY:discretionary-conviction-sealing-by-petition-under-cpl-160-59</x:t>
        </x:is>
      </x:c>
      <x:c r="E61" t="inlineStr">
        <x:is>
          <x:t>history-4-0</x:t>
        </x:is>
      </x:c>
      <x:c r="F61" t="inlineStr">
        <x:is>
          <x:t>Local evaluator</x:t>
        </x:is>
      </x:c>
      <x:c r="G61" t="inlineStr">
        <x:is>
          <x:t>EN</x:t>
        </x:is>
      </x:c>
      <x:c r="H61" t="inlineStr">
        <x:is>
          <x:t>933d1ab9a + NY source e3e08af63f6ed16f; pushed SHA in RECEIPT.json</x:t>
        </x:is>
      </x:c>
      <x:c r="I61" t="inlineStr">
        <x:is>
          <x:t>PASS</x:t>
        </x:is>
      </x:c>
      <x:c r="J61" t="inlineStr">
        <x:is>
          <x:t>likely_not_eligible</x:t>
        </x:is>
      </x:c>
      <x:c r="K61" t="inlineStr">
        <x:is>
          <x:t>/workspaces/training-modules-09-10/output/nationwide-correction-execution-20261011/checkpoints/active-assignments-20261012-v1/ny-history-clock-20261012/CANDIDATE-v5.json#/rows/history-4-0</x:t>
        </x:is>
      </x:c>
      <x:c r="L61" t="inlineStr">
        <x:is>
          <x:t>R Codex; G and H-L review pending</x:t>
        </x:is>
      </x:c>
      <x:c r="M61" t="inlineStr">
        <x:is>
          <x:t>GA-19;GA-21</x:t>
        </x:is>
      </x:c>
      <x:c r="N61" t="inlineStr">
        <x:is>
          <x:t>Bounded engineering result only; all commercial holds; no control closure</x:t>
        </x:is>
      </x:c>
    </x:row>
    <x:row r="62">
      <x:c r="A62" t="inlineStr">
        <x:is>
          <x:t>NY268-history-4-1</x:t>
        </x:is>
      </x:c>
      <x:c r="B62" t="inlineStr">
        <x:is>
          <x:t>P02-05</x:t>
        </x:is>
      </x:c>
      <x:c r="C62" t="inlineStr">
        <x:is>
          <x:t>NY</x:t>
        </x:is>
      </x:c>
      <x:c r="D62" t="inlineStr">
        <x:is>
          <x:t>NY:discretionary-conviction-sealing-by-petition-under-cpl-160-59</x:t>
        </x:is>
      </x:c>
      <x:c r="E62" t="inlineStr">
        <x:is>
          <x:t>history-4-1</x:t>
        </x:is>
      </x:c>
      <x:c r="F62" t="inlineStr">
        <x:is>
          <x:t>Local evaluator</x:t>
        </x:is>
      </x:c>
      <x:c r="G62" t="inlineStr">
        <x:is>
          <x:t>EN</x:t>
        </x:is>
      </x:c>
      <x:c r="H62" t="inlineStr">
        <x:is>
          <x:t>933d1ab9a + NY source e3e08af63f6ed16f; pushed SHA in RECEIPT.json</x:t>
        </x:is>
      </x:c>
      <x:c r="I62" t="inlineStr">
        <x:is>
          <x:t>PASS</x:t>
        </x:is>
      </x:c>
      <x:c r="J62" t="inlineStr">
        <x:is>
          <x:t>likely_not_eligible</x:t>
        </x:is>
      </x:c>
      <x:c r="K62" t="inlineStr">
        <x:is>
          <x:t>/workspaces/training-modules-09-10/output/nationwide-correction-execution-20261011/checkpoints/active-assignments-20261012-v1/ny-history-clock-20261012/CANDIDATE-v5.json#/rows/history-4-1</x:t>
        </x:is>
      </x:c>
      <x:c r="L62" t="inlineStr">
        <x:is>
          <x:t>R Codex; G and H-L review pending</x:t>
        </x:is>
      </x:c>
      <x:c r="M62" t="inlineStr">
        <x:is>
          <x:t>GA-19;GA-21</x:t>
        </x:is>
      </x:c>
      <x:c r="N62" t="inlineStr">
        <x:is>
          <x:t>Bounded engineering result only; all commercial holds; no control closure</x:t>
        </x:is>
      </x:c>
    </x:row>
    <x:row r="63">
      <x:c r="A63" t="inlineStr">
        <x:is>
          <x:t>NY268-history-4-2</x:t>
        </x:is>
      </x:c>
      <x:c r="B63" t="inlineStr">
        <x:is>
          <x:t>P02-05</x:t>
        </x:is>
      </x:c>
      <x:c r="C63" t="inlineStr">
        <x:is>
          <x:t>NY</x:t>
        </x:is>
      </x:c>
      <x:c r="D63" t="inlineStr">
        <x:is>
          <x:t>NY:discretionary-conviction-sealing-by-petition-under-cpl-160-59</x:t>
        </x:is>
      </x:c>
      <x:c r="E63" t="inlineStr">
        <x:is>
          <x:t>history-4-2</x:t>
        </x:is>
      </x:c>
      <x:c r="F63" t="inlineStr">
        <x:is>
          <x:t>Local evaluator</x:t>
        </x:is>
      </x:c>
      <x:c r="G63" t="inlineStr">
        <x:is>
          <x:t>EN</x:t>
        </x:is>
      </x:c>
      <x:c r="H63" t="inlineStr">
        <x:is>
          <x:t>933d1ab9a + NY source e3e08af63f6ed16f; pushed SHA in RECEIPT.json</x:t>
        </x:is>
      </x:c>
      <x:c r="I63" t="inlineStr">
        <x:is>
          <x:t>PASS</x:t>
        </x:is>
      </x:c>
      <x:c r="J63" t="inlineStr">
        <x:is>
          <x:t>likely_not_eligible</x:t>
        </x:is>
      </x:c>
      <x:c r="K63" t="inlineStr">
        <x:is>
          <x:t>/workspaces/training-modules-09-10/output/nationwide-correction-execution-20261011/checkpoints/active-assignments-20261012-v1/ny-history-clock-20261012/CANDIDATE-v5.json#/rows/history-4-2</x:t>
        </x:is>
      </x:c>
      <x:c r="L63" t="inlineStr">
        <x:is>
          <x:t>R Codex; G and H-L review pending</x:t>
        </x:is>
      </x:c>
      <x:c r="M63" t="inlineStr">
        <x:is>
          <x:t>GA-19;GA-21</x:t>
        </x:is>
      </x:c>
      <x:c r="N63" t="inlineStr">
        <x:is>
          <x:t>Bounded engineering result only; all commercial holds; no control closure</x:t>
        </x:is>
      </x:c>
    </x:row>
    <x:row r="64">
      <x:c r="A64" t="inlineStr">
        <x:is>
          <x:t>NY268-history-4-3</x:t>
        </x:is>
      </x:c>
      <x:c r="B64" t="inlineStr">
        <x:is>
          <x:t>P02-05</x:t>
        </x:is>
      </x:c>
      <x:c r="C64" t="inlineStr">
        <x:is>
          <x:t>NY</x:t>
        </x:is>
      </x:c>
      <x:c r="D64" t="inlineStr">
        <x:is>
          <x:t>NY:discretionary-conviction-sealing-by-petition-under-cpl-160-59</x:t>
        </x:is>
      </x:c>
      <x:c r="E64" t="inlineStr">
        <x:is>
          <x:t>history-4-3</x:t>
        </x:is>
      </x:c>
      <x:c r="F64" t="inlineStr">
        <x:is>
          <x:t>Local evaluator</x:t>
        </x:is>
      </x:c>
      <x:c r="G64" t="inlineStr">
        <x:is>
          <x:t>EN</x:t>
        </x:is>
      </x:c>
      <x:c r="H64" t="inlineStr">
        <x:is>
          <x:t>933d1ab9a + NY source e3e08af63f6ed16f; pushed SHA in RECEIPT.json</x:t>
        </x:is>
      </x:c>
      <x:c r="I64" t="inlineStr">
        <x:is>
          <x:t>PASS</x:t>
        </x:is>
      </x:c>
      <x:c r="J64" t="inlineStr">
        <x:is>
          <x:t>likely_not_eligible</x:t>
        </x:is>
      </x:c>
      <x:c r="K64" t="inlineStr">
        <x:is>
          <x:t>/workspaces/training-modules-09-10/output/nationwide-correction-execution-20261011/checkpoints/active-assignments-20261012-v1/ny-history-clock-20261012/CANDIDATE-v5.json#/rows/history-4-3</x:t>
        </x:is>
      </x:c>
      <x:c r="L64" t="inlineStr">
        <x:is>
          <x:t>R Codex; G and H-L review pending</x:t>
        </x:is>
      </x:c>
      <x:c r="M64" t="inlineStr">
        <x:is>
          <x:t>GA-19;GA-21</x:t>
        </x:is>
      </x:c>
      <x:c r="N64" t="inlineStr">
        <x:is>
          <x:t>Bounded engineering result only; all commercial holds; no control closure</x:t>
        </x:is>
      </x:c>
    </x:row>
    <x:row r="65">
      <x:c r="A65" t="inlineStr">
        <x:is>
          <x:t>NY268-other-ineligible-history-counts</x:t>
        </x:is>
      </x:c>
      <x:c r="B65" t="inlineStr">
        <x:is>
          <x:t>P02-05</x:t>
        </x:is>
      </x:c>
      <x:c r="C65" t="inlineStr">
        <x:is>
          <x:t>NY</x:t>
        </x:is>
      </x:c>
      <x:c r="D65" t="inlineStr">
        <x:is>
          <x:t>NY:discretionary-conviction-sealing-by-petition-under-cpl-160-59</x:t>
        </x:is>
      </x:c>
      <x:c r="E65" t="inlineStr">
        <x:is>
          <x:t>other-ineligible-history-counts</x:t>
        </x:is>
      </x:c>
      <x:c r="F65" t="inlineStr">
        <x:is>
          <x:t>Local evaluator</x:t>
        </x:is>
      </x:c>
      <x:c r="G65" t="inlineStr">
        <x:is>
          <x:t>EN</x:t>
        </x:is>
      </x:c>
      <x:c r="H65" t="inlineStr">
        <x:is>
          <x:t>933d1ab9a + NY source e3e08af63f6ed16f; pushed SHA in RECEIPT.json</x:t>
        </x:is>
      </x:c>
      <x:c r="I65" t="inlineStr">
        <x:is>
          <x:t>PASS</x:t>
        </x:is>
      </x:c>
      <x:c r="J65" t="inlineStr">
        <x:is>
          <x:t>likely_not_eligible</x:t>
        </x:is>
      </x:c>
      <x:c r="K65" t="inlineStr">
        <x:is>
          <x:t>/workspaces/training-modules-09-10/output/nationwide-correction-execution-20261011/checkpoints/active-assignments-20261012-v1/ny-history-clock-20261012/CANDIDATE-v5.json#/rows/other-ineligible-history-counts</x:t>
        </x:is>
      </x:c>
      <x:c r="L65" t="inlineStr">
        <x:is>
          <x:t>R Codex; G and H-L review pending</x:t>
        </x:is>
      </x:c>
      <x:c r="M65" t="inlineStr">
        <x:is>
          <x:t>GA-19;GA-21</x:t>
        </x:is>
      </x:c>
      <x:c r="N65" t="inlineStr">
        <x:is>
          <x:t>Bounded engineering result only; all commercial holds; no control closure</x:t>
        </x:is>
      </x:c>
    </x:row>
    <x:row r="66">
      <x:c r="A66" t="inlineStr">
        <x:is>
          <x:t>NY268-other-ineligible-not-target-bar</x:t>
        </x:is>
      </x:c>
      <x:c r="B66" t="inlineStr">
        <x:is>
          <x:t>P02-05</x:t>
        </x:is>
      </x:c>
      <x:c r="C66" t="inlineStr">
        <x:is>
          <x:t>NY</x:t>
        </x:is>
      </x:c>
      <x:c r="D66" t="inlineStr">
        <x:is>
          <x:t>NY:discretionary-conviction-sealing-by-petition-under-cpl-160-59</x:t>
        </x:is>
      </x:c>
      <x:c r="E66" t="inlineStr">
        <x:is>
          <x:t>other-ineligible-not-target-bar</x:t>
        </x:is>
      </x:c>
      <x:c r="F66" t="inlineStr">
        <x:is>
          <x:t>Local evaluator</x:t>
        </x:is>
      </x:c>
      <x:c r="G66" t="inlineStr">
        <x:is>
          <x:t>EN</x:t>
        </x:is>
      </x:c>
      <x:c r="H66" t="inlineStr">
        <x:is>
          <x:t>933d1ab9a + NY source e3e08af63f6ed16f; pushed SHA in RECEIPT.json</x:t>
        </x:is>
      </x:c>
      <x:c r="I66" t="inlineStr">
        <x:is>
          <x:t>PASS</x:t>
        </x:is>
      </x:c>
      <x:c r="J66" t="inlineStr">
        <x:is>
          <x:t>packet_ready_with_caution</x:t>
        </x:is>
      </x:c>
      <x:c r="K66" t="inlineStr">
        <x:is>
          <x:t>/workspaces/training-modules-09-10/output/nationwide-correction-execution-20261011/checkpoints/active-assignments-20261012-v1/ny-history-clock-20261012/CANDIDATE-v5.json#/rows/other-ineligible-not-target-bar</x:t>
        </x:is>
      </x:c>
      <x:c r="L66" t="inlineStr">
        <x:is>
          <x:t>R Codex; G and H-L review pending</x:t>
        </x:is>
      </x:c>
      <x:c r="M66" t="inlineStr">
        <x:is>
          <x:t>GA-19;GA-21</x:t>
        </x:is>
      </x:c>
      <x:c r="N66" t="inlineStr">
        <x:is>
          <x:t>Bounded engineering result only; all commercial holds; no control closure</x:t>
        </x:is>
      </x:c>
    </x:row>
    <x:row r="67">
      <x:c r="A67" t="inlineStr">
        <x:is>
          <x:t>NY268-target-ineligible</x:t>
        </x:is>
      </x:c>
      <x:c r="B67" t="inlineStr">
        <x:is>
          <x:t>P02-05</x:t>
        </x:is>
      </x:c>
      <x:c r="C67" t="inlineStr">
        <x:is>
          <x:t>NY</x:t>
        </x:is>
      </x:c>
      <x:c r="D67" t="inlineStr">
        <x:is>
          <x:t>NY:discretionary-conviction-sealing-by-petition-under-cpl-160-59</x:t>
        </x:is>
      </x:c>
      <x:c r="E67" t="inlineStr">
        <x:is>
          <x:t>target-ineligible</x:t>
        </x:is>
      </x:c>
      <x:c r="F67" t="inlineStr">
        <x:is>
          <x:t>Local evaluator</x:t>
        </x:is>
      </x:c>
      <x:c r="G67" t="inlineStr">
        <x:is>
          <x:t>EN</x:t>
        </x:is>
      </x:c>
      <x:c r="H67" t="inlineStr">
        <x:is>
          <x:t>933d1ab9a + NY source e3e08af63f6ed16f; pushed SHA in RECEIPT.json</x:t>
        </x:is>
      </x:c>
      <x:c r="I67" t="inlineStr">
        <x:is>
          <x:t>PASS</x:t>
        </x:is>
      </x:c>
      <x:c r="J67" t="inlineStr">
        <x:is>
          <x:t>likely_not_eligible</x:t>
        </x:is>
      </x:c>
      <x:c r="K67" t="inlineStr">
        <x:is>
          <x:t>/workspaces/training-modules-09-10/output/nationwide-correction-execution-20261011/checkpoints/active-assignments-20261012-v1/ny-history-clock-20261012/CANDIDATE-v5.json#/rows/target-ineligible</x:t>
        </x:is>
      </x:c>
      <x:c r="L67" t="inlineStr">
        <x:is>
          <x:t>R Codex; G and H-L review pending</x:t>
        </x:is>
      </x:c>
      <x:c r="M67" t="inlineStr">
        <x:is>
          <x:t>GA-19;GA-21</x:t>
        </x:is>
      </x:c>
      <x:c r="N67" t="inlineStr">
        <x:is>
          <x:t>Bounded engineering result only; all commercial holds; no control closure</x:t>
        </x:is>
      </x:c>
    </x:row>
    <x:row r="68">
      <x:c r="A68" t="inlineStr">
        <x:is>
          <x:t>NY268-target-unconfirmed-undefined</x:t>
        </x:is>
      </x:c>
      <x:c r="B68" t="inlineStr">
        <x:is>
          <x:t>P02-05</x:t>
        </x:is>
      </x:c>
      <x:c r="C68" t="inlineStr">
        <x:is>
          <x:t>NY</x:t>
        </x:is>
      </x:c>
      <x:c r="D68" t="inlineStr">
        <x:is>
          <x:t>NY:discretionary-conviction-sealing-by-petition-under-cpl-160-59</x:t>
        </x:is>
      </x:c>
      <x:c r="E68" t="inlineStr">
        <x:is>
          <x:t>target-unconfirmed-undefined</x:t>
        </x:is>
      </x:c>
      <x:c r="F68" t="inlineStr">
        <x:is>
          <x:t>Local evaluator</x:t>
        </x:is>
      </x:c>
      <x:c r="G68" t="inlineStr">
        <x:is>
          <x:t>EN</x:t>
        </x:is>
      </x:c>
      <x:c r="H68" t="inlineStr">
        <x:is>
          <x:t>933d1ab9a + NY source e3e08af63f6ed16f; pushed SHA in RECEIPT.json</x:t>
        </x:is>
      </x:c>
      <x:c r="I68" t="inlineStr">
        <x:is>
          <x:t>PASS</x:t>
        </x:is>
      </x:c>
      <x:c r="J68" t="inlineStr">
        <x:is>
          <x:t>needs_review</x:t>
        </x:is>
      </x:c>
      <x:c r="K68" t="inlineStr">
        <x:is>
          <x:t>/workspaces/training-modules-09-10/output/nationwide-correction-execution-20261011/checkpoints/active-assignments-20261012-v1/ny-history-clock-20261012/CANDIDATE-v5.json#/rows/target-unconfirmed-undefined</x:t>
        </x:is>
      </x:c>
      <x:c r="L68" t="inlineStr">
        <x:is>
          <x:t>R Codex; G and H-L review pending</x:t>
        </x:is>
      </x:c>
      <x:c r="M68" t="inlineStr">
        <x:is>
          <x:t>GA-19;GA-21</x:t>
        </x:is>
      </x:c>
      <x:c r="N68" t="inlineStr">
        <x:is>
          <x:t>Bounded engineering result only; all commercial holds; no control closure</x:t>
        </x:is>
      </x:c>
    </x:row>
    <x:row r="69">
      <x:c r="A69" t="inlineStr">
        <x:is>
          <x:t>NY268-target-unconfirmed-I am not sure</x:t>
        </x:is>
      </x:c>
      <x:c r="B69" t="inlineStr">
        <x:is>
          <x:t>P02-05</x:t>
        </x:is>
      </x:c>
      <x:c r="C69" t="inlineStr">
        <x:is>
          <x:t>NY</x:t>
        </x:is>
      </x:c>
      <x:c r="D69" t="inlineStr">
        <x:is>
          <x:t>NY:discretionary-conviction-sealing-by-petition-under-cpl-160-59</x:t>
        </x:is>
      </x:c>
      <x:c r="E69" t="inlineStr">
        <x:is>
          <x:t>target-unconfirmed-I am not sure</x:t>
        </x:is>
      </x:c>
      <x:c r="F69" t="inlineStr">
        <x:is>
          <x:t>Local evaluator</x:t>
        </x:is>
      </x:c>
      <x:c r="G69" t="inlineStr">
        <x:is>
          <x:t>EN</x:t>
        </x:is>
      </x:c>
      <x:c r="H69" t="inlineStr">
        <x:is>
          <x:t>933d1ab9a + NY source e3e08af63f6ed16f; pushed SHA in RECEIPT.json</x:t>
        </x:is>
      </x:c>
      <x:c r="I69" t="inlineStr">
        <x:is>
          <x:t>PASS</x:t>
        </x:is>
      </x:c>
      <x:c r="J69" t="inlineStr">
        <x:is>
          <x:t>needs_review</x:t>
        </x:is>
      </x:c>
      <x:c r="K69" t="inlineStr">
        <x:is>
          <x:t>/workspaces/training-modules-09-10/output/nationwide-correction-execution-20261011/checkpoints/active-assignments-20261012-v1/ny-history-clock-20261012/CANDIDATE-v5.json#/rows/target-unconfirmed-I am not sure</x:t>
        </x:is>
      </x:c>
      <x:c r="L69" t="inlineStr">
        <x:is>
          <x:t>R Codex; G and H-L review pending</x:t>
        </x:is>
      </x:c>
      <x:c r="M69" t="inlineStr">
        <x:is>
          <x:t>GA-19;GA-21</x:t>
        </x:is>
      </x:c>
      <x:c r="N69" t="inlineStr">
        <x:is>
          <x:t>Bounded engineering result only; all commercial holds; no control closure</x:t>
        </x:is>
      </x:c>
    </x:row>
    <x:row r="70">
      <x:c r="A70" t="inlineStr">
        <x:is>
          <x:t>NY268-target-unconfirmed-forged</x:t>
        </x:is>
      </x:c>
      <x:c r="B70" t="inlineStr">
        <x:is>
          <x:t>P02-05</x:t>
        </x:is>
      </x:c>
      <x:c r="C70" t="inlineStr">
        <x:is>
          <x:t>NY</x:t>
        </x:is>
      </x:c>
      <x:c r="D70" t="inlineStr">
        <x:is>
          <x:t>NY:discretionary-conviction-sealing-by-petition-under-cpl-160-59</x:t>
        </x:is>
      </x:c>
      <x:c r="E70" t="inlineStr">
        <x:is>
          <x:t>target-unconfirmed-forged</x:t>
        </x:is>
      </x:c>
      <x:c r="F70" t="inlineStr">
        <x:is>
          <x:t>Local evaluator</x:t>
        </x:is>
      </x:c>
      <x:c r="G70" t="inlineStr">
        <x:is>
          <x:t>EN</x:t>
        </x:is>
      </x:c>
      <x:c r="H70" t="inlineStr">
        <x:is>
          <x:t>933d1ab9a + NY source e3e08af63f6ed16f; pushed SHA in RECEIPT.json</x:t>
        </x:is>
      </x:c>
      <x:c r="I70" t="inlineStr">
        <x:is>
          <x:t>PASS</x:t>
        </x:is>
      </x:c>
      <x:c r="J70" t="inlineStr">
        <x:is>
          <x:t>needs_review</x:t>
        </x:is>
      </x:c>
      <x:c r="K70" t="inlineStr">
        <x:is>
          <x:t>/workspaces/training-modules-09-10/output/nationwide-correction-execution-20261011/checkpoints/active-assignments-20261012-v1/ny-history-clock-20261012/CANDIDATE-v5.json#/rows/target-unconfirmed-forged</x:t>
        </x:is>
      </x:c>
      <x:c r="L70" t="inlineStr">
        <x:is>
          <x:t>R Codex; G and H-L review pending</x:t>
        </x:is>
      </x:c>
      <x:c r="M70" t="inlineStr">
        <x:is>
          <x:t>GA-19;GA-21</x:t>
        </x:is>
      </x:c>
      <x:c r="N70" t="inlineStr">
        <x:is>
          <x:t>Bounded engineering result only; all commercial holds; no control closure</x:t>
        </x:is>
      </x:c>
    </x:row>
    <x:row r="71">
      <x:c r="A71" t="inlineStr">
        <x:is>
          <x:t>NY268-two-requested</x:t>
        </x:is>
      </x:c>
      <x:c r="B71" t="inlineStr">
        <x:is>
          <x:t>P02-05</x:t>
        </x:is>
      </x:c>
      <x:c r="C71" t="inlineStr">
        <x:is>
          <x:t>NY</x:t>
        </x:is>
      </x:c>
      <x:c r="D71" t="inlineStr">
        <x:is>
          <x:t>NY:discretionary-conviction-sealing-by-petition-under-cpl-160-59</x:t>
        </x:is>
      </x:c>
      <x:c r="E71" t="inlineStr">
        <x:is>
          <x:t>two-requested</x:t>
        </x:is>
      </x:c>
      <x:c r="F71" t="inlineStr">
        <x:is>
          <x:t>Local evaluator</x:t>
        </x:is>
      </x:c>
      <x:c r="G71" t="inlineStr">
        <x:is>
          <x:t>EN</x:t>
        </x:is>
      </x:c>
      <x:c r="H71" t="inlineStr">
        <x:is>
          <x:t>933d1ab9a + NY source e3e08af63f6ed16f; pushed SHA in RECEIPT.json</x:t>
        </x:is>
      </x:c>
      <x:c r="I71" t="inlineStr">
        <x:is>
          <x:t>PASS</x:t>
        </x:is>
      </x:c>
      <x:c r="J71" t="inlineStr">
        <x:is>
          <x:t>packet_ready_with_caution</x:t>
        </x:is>
      </x:c>
      <x:c r="K71" t="inlineStr">
        <x:is>
          <x:t>/workspaces/training-modules-09-10/output/nationwide-correction-execution-20261011/checkpoints/active-assignments-20261012-v1/ny-history-clock-20261012/CANDIDATE-v5.json#/rows/two-requested</x:t>
        </x:is>
      </x:c>
      <x:c r="L71" t="inlineStr">
        <x:is>
          <x:t>R Codex; G and H-L review pending</x:t>
        </x:is>
      </x:c>
      <x:c r="M71" t="inlineStr">
        <x:is>
          <x:t>GA-19;GA-21</x:t>
        </x:is>
      </x:c>
      <x:c r="N71" t="inlineStr">
        <x:is>
          <x:t>Bounded engineering result only; all commercial holds; no control closure</x:t>
        </x:is>
      </x:c>
    </x:row>
    <x:row r="72">
      <x:c r="A72" t="inlineStr">
        <x:is>
          <x:t>NY268-single-act-eligible-group</x:t>
        </x:is>
      </x:c>
      <x:c r="B72" t="inlineStr">
        <x:is>
          <x:t>P02-05</x:t>
        </x:is>
      </x:c>
      <x:c r="C72" t="inlineStr">
        <x:is>
          <x:t>NY</x:t>
        </x:is>
      </x:c>
      <x:c r="D72" t="inlineStr">
        <x:is>
          <x:t>NY:discretionary-conviction-sealing-by-petition-under-cpl-160-59</x:t>
        </x:is>
      </x:c>
      <x:c r="E72" t="inlineStr">
        <x:is>
          <x:t>single-act-eligible-group</x:t>
        </x:is>
      </x:c>
      <x:c r="F72" t="inlineStr">
        <x:is>
          <x:t>Local evaluator</x:t>
        </x:is>
      </x:c>
      <x:c r="G72" t="inlineStr">
        <x:is>
          <x:t>EN</x:t>
        </x:is>
      </x:c>
      <x:c r="H72" t="inlineStr">
        <x:is>
          <x:t>933d1ab9a + NY source e3e08af63f6ed16f; pushed SHA in RECEIPT.json</x:t>
        </x:is>
      </x:c>
      <x:c r="I72" t="inlineStr">
        <x:is>
          <x:t>PASS</x:t>
        </x:is>
      </x:c>
      <x:c r="J72" t="inlineStr">
        <x:is>
          <x:t>packet_ready_with_caution</x:t>
        </x:is>
      </x:c>
      <x:c r="K72" t="inlineStr">
        <x:is>
          <x:t>/workspaces/training-modules-09-10/output/nationwide-correction-execution-20261011/checkpoints/active-assignments-20261012-v1/ny-history-clock-20261012/CANDIDATE-v5.json#/rows/single-act-eligible-group</x:t>
        </x:is>
      </x:c>
      <x:c r="L72" t="inlineStr">
        <x:is>
          <x:t>R Codex; G and H-L review pending</x:t>
        </x:is>
      </x:c>
      <x:c r="M72" t="inlineStr">
        <x:is>
          <x:t>GA-19;GA-21</x:t>
        </x:is>
      </x:c>
      <x:c r="N72" t="inlineStr">
        <x:is>
          <x:t>Bounded engineering result only; all commercial holds; no control closure</x:t>
        </x:is>
      </x:c>
    </x:row>
    <x:row r="73">
      <x:c r="A73" t="inlineStr">
        <x:is>
          <x:t>NY268-single-act-two-felonies</x:t>
        </x:is>
      </x:c>
      <x:c r="B73" t="inlineStr">
        <x:is>
          <x:t>P02-05</x:t>
        </x:is>
      </x:c>
      <x:c r="C73" t="inlineStr">
        <x:is>
          <x:t>NY</x:t>
        </x:is>
      </x:c>
      <x:c r="D73" t="inlineStr">
        <x:is>
          <x:t>NY:discretionary-conviction-sealing-by-petition-under-cpl-160-59</x:t>
        </x:is>
      </x:c>
      <x:c r="E73" t="inlineStr">
        <x:is>
          <x:t>single-act-two-felonies</x:t>
        </x:is>
      </x:c>
      <x:c r="F73" t="inlineStr">
        <x:is>
          <x:t>Local evaluator</x:t>
        </x:is>
      </x:c>
      <x:c r="G73" t="inlineStr">
        <x:is>
          <x:t>EN</x:t>
        </x:is>
      </x:c>
      <x:c r="H73" t="inlineStr">
        <x:is>
          <x:t>933d1ab9a + NY source e3e08af63f6ed16f; pushed SHA in RECEIPT.json</x:t>
        </x:is>
      </x:c>
      <x:c r="I73" t="inlineStr">
        <x:is>
          <x:t>PASS</x:t>
        </x:is>
      </x:c>
      <x:c r="J73" t="inlineStr">
        <x:is>
          <x:t>packet_ready_with_caution</x:t>
        </x:is>
      </x:c>
      <x:c r="K73" t="inlineStr">
        <x:is>
          <x:t>/workspaces/training-modules-09-10/output/nationwide-correction-execution-20261011/checkpoints/active-assignments-20261012-v1/ny-history-clock-20261012/CANDIDATE-v5.json#/rows/single-act-two-felonies</x:t>
        </x:is>
      </x:c>
      <x:c r="L73" t="inlineStr">
        <x:is>
          <x:t>R Codex; G and H-L review pending</x:t>
        </x:is>
      </x:c>
      <x:c r="M73" t="inlineStr">
        <x:is>
          <x:t>GA-19;GA-21</x:t>
        </x:is>
      </x:c>
      <x:c r="N73" t="inlineStr">
        <x:is>
          <x:t>Bounded engineering result only; all commercial holds; no control closure</x:t>
        </x:is>
      </x:c>
    </x:row>
    <x:row r="74">
      <x:c r="A74" t="inlineStr">
        <x:is>
          <x:t>NY268-same-act-ineligible-not-grouped</x:t>
        </x:is>
      </x:c>
      <x:c r="B74" t="inlineStr">
        <x:is>
          <x:t>P02-05</x:t>
        </x:is>
      </x:c>
      <x:c r="C74" t="inlineStr">
        <x:is>
          <x:t>NY</x:t>
        </x:is>
      </x:c>
      <x:c r="D74" t="inlineStr">
        <x:is>
          <x:t>NY:discretionary-conviction-sealing-by-petition-under-cpl-160-59</x:t>
        </x:is>
      </x:c>
      <x:c r="E74" t="inlineStr">
        <x:is>
          <x:t>same-act-ineligible-not-grouped</x:t>
        </x:is>
      </x:c>
      <x:c r="F74" t="inlineStr">
        <x:is>
          <x:t>Local evaluator</x:t>
        </x:is>
      </x:c>
      <x:c r="G74" t="inlineStr">
        <x:is>
          <x:t>EN</x:t>
        </x:is>
      </x:c>
      <x:c r="H74" t="inlineStr">
        <x:is>
          <x:t>933d1ab9a + NY source e3e08af63f6ed16f; pushed SHA in RECEIPT.json</x:t>
        </x:is>
      </x:c>
      <x:c r="I74" t="inlineStr">
        <x:is>
          <x:t>PASS</x:t>
        </x:is>
      </x:c>
      <x:c r="J74" t="inlineStr">
        <x:is>
          <x:t>needs_review</x:t>
        </x:is>
      </x:c>
      <x:c r="K74" t="inlineStr">
        <x:is>
          <x:t>/workspaces/training-modules-09-10/output/nationwide-correction-execution-20261011/checkpoints/active-assignments-20261012-v1/ny-history-clock-20261012/CANDIDATE-v5.json#/rows/same-act-ineligible-not-grouped</x:t>
        </x:is>
      </x:c>
      <x:c r="L74" t="inlineStr">
        <x:is>
          <x:t>R Codex; G and H-L review pending</x:t>
        </x:is>
      </x:c>
      <x:c r="M74" t="inlineStr">
        <x:is>
          <x:t>GA-19;GA-21</x:t>
        </x:is>
      </x:c>
      <x:c r="N74" t="inlineStr">
        <x:is>
          <x:t>Bounded engineering result only; all commercial holds; no control closure</x:t>
        </x:is>
      </x:c>
    </x:row>
    <x:row r="75">
      <x:c r="A75" t="inlineStr">
        <x:is>
          <x:t>NY268-grouping-connected</x:t>
        </x:is>
      </x:c>
      <x:c r="B75" t="inlineStr">
        <x:is>
          <x:t>P02-05</x:t>
        </x:is>
      </x:c>
      <x:c r="C75" t="inlineStr">
        <x:is>
          <x:t>NY</x:t>
        </x:is>
      </x:c>
      <x:c r="D75" t="inlineStr">
        <x:is>
          <x:t>NY:discretionary-conviction-sealing-by-petition-under-cpl-160-59</x:t>
        </x:is>
      </x:c>
      <x:c r="E75" t="inlineStr">
        <x:is>
          <x:t>grouping-connected</x:t>
        </x:is>
      </x:c>
      <x:c r="F75" t="inlineStr">
        <x:is>
          <x:t>Local evaluator</x:t>
        </x:is>
      </x:c>
      <x:c r="G75" t="inlineStr">
        <x:is>
          <x:t>EN</x:t>
        </x:is>
      </x:c>
      <x:c r="H75" t="inlineStr">
        <x:is>
          <x:t>933d1ab9a + NY source e3e08af63f6ed16f; pushed SHA in RECEIPT.json</x:t>
        </x:is>
      </x:c>
      <x:c r="I75" t="inlineStr">
        <x:is>
          <x:t>PASS</x:t>
        </x:is>
      </x:c>
      <x:c r="J75" t="inlineStr">
        <x:is>
          <x:t>needs_review</x:t>
        </x:is>
      </x:c>
      <x:c r="K75" t="inlineStr">
        <x:is>
          <x:t>/workspaces/training-modules-09-10/output/nationwide-correction-execution-20261011/checkpoints/active-assignments-20261012-v1/ny-history-clock-20261012/CANDIDATE-v5.json#/rows/grouping-connected</x:t>
        </x:is>
      </x:c>
      <x:c r="L75" t="inlineStr">
        <x:is>
          <x:t>R Codex; G and H-L review pending</x:t>
        </x:is>
      </x:c>
      <x:c r="M75" t="inlineStr">
        <x:is>
          <x:t>GA-19;GA-21</x:t>
        </x:is>
      </x:c>
      <x:c r="N75" t="inlineStr">
        <x:is>
          <x:t>Bounded engineering result only; all commercial holds; no control closure</x:t>
        </x:is>
      </x:c>
    </x:row>
    <x:row r="76">
      <x:c r="A76" t="inlineStr">
        <x:is>
          <x:t>NY268-grouping-other_groups</x:t>
        </x:is>
      </x:c>
      <x:c r="B76" t="inlineStr">
        <x:is>
          <x:t>P02-05</x:t>
        </x:is>
      </x:c>
      <x:c r="C76" t="inlineStr">
        <x:is>
          <x:t>NY</x:t>
        </x:is>
      </x:c>
      <x:c r="D76" t="inlineStr">
        <x:is>
          <x:t>NY:discretionary-conviction-sealing-by-petition-under-cpl-160-59</x:t>
        </x:is>
      </x:c>
      <x:c r="E76" t="inlineStr">
        <x:is>
          <x:t>grouping-other_groups</x:t>
        </x:is>
      </x:c>
      <x:c r="F76" t="inlineStr">
        <x:is>
          <x:t>Local evaluator</x:t>
        </x:is>
      </x:c>
      <x:c r="G76" t="inlineStr">
        <x:is>
          <x:t>EN</x:t>
        </x:is>
      </x:c>
      <x:c r="H76" t="inlineStr">
        <x:is>
          <x:t>933d1ab9a + NY source e3e08af63f6ed16f; pushed SHA in RECEIPT.json</x:t>
        </x:is>
      </x:c>
      <x:c r="I76" t="inlineStr">
        <x:is>
          <x:t>PASS</x:t>
        </x:is>
      </x:c>
      <x:c r="J76" t="inlineStr">
        <x:is>
          <x:t>needs_review</x:t>
        </x:is>
      </x:c>
      <x:c r="K76" t="inlineStr">
        <x:is>
          <x:t>/workspaces/training-modules-09-10/output/nationwide-correction-execution-20261011/checkpoints/active-assignments-20261012-v1/ny-history-clock-20261012/CANDIDATE-v5.json#/rows/grouping-other_groups</x:t>
        </x:is>
      </x:c>
      <x:c r="L76" t="inlineStr">
        <x:is>
          <x:t>R Codex; G and H-L review pending</x:t>
        </x:is>
      </x:c>
      <x:c r="M76" t="inlineStr">
        <x:is>
          <x:t>GA-19;GA-21</x:t>
        </x:is>
      </x:c>
      <x:c r="N76" t="inlineStr">
        <x:is>
          <x:t>Bounded engineering result only; all commercial holds; no control closure</x:t>
        </x:is>
      </x:c>
    </x:row>
    <x:row r="77">
      <x:c r="A77" t="inlineStr">
        <x:is>
          <x:t>NY268-application-none</x:t>
        </x:is>
      </x:c>
      <x:c r="B77" t="inlineStr">
        <x:is>
          <x:t>P02-05</x:t>
        </x:is>
      </x:c>
      <x:c r="C77" t="inlineStr">
        <x:is>
          <x:t>NY</x:t>
        </x:is>
      </x:c>
      <x:c r="D77" t="inlineStr">
        <x:is>
          <x:t>NY:discretionary-conviction-sealing-by-petition-under-cpl-160-59</x:t>
        </x:is>
      </x:c>
      <x:c r="E77" t="inlineStr">
        <x:is>
          <x:t>application-none</x:t>
        </x:is>
      </x:c>
      <x:c r="F77" t="inlineStr">
        <x:is>
          <x:t>Local evaluator</x:t>
        </x:is>
      </x:c>
      <x:c r="G77" t="inlineStr">
        <x:is>
          <x:t>EN</x:t>
        </x:is>
      </x:c>
      <x:c r="H77" t="inlineStr">
        <x:is>
          <x:t>933d1ab9a + NY source e3e08af63f6ed16f; pushed SHA in RECEIPT.json</x:t>
        </x:is>
      </x:c>
      <x:c r="I77" t="inlineStr">
        <x:is>
          <x:t>PASS</x:t>
        </x:is>
      </x:c>
      <x:c r="J77" t="inlineStr">
        <x:is>
          <x:t>packet_ready_with_caution</x:t>
        </x:is>
      </x:c>
      <x:c r="K77" t="inlineStr">
        <x:is>
          <x:t>/workspaces/training-modules-09-10/output/nationwide-correction-execution-20261011/checkpoints/active-assignments-20261012-v1/ny-history-clock-20261012/CANDIDATE-v5.json#/rows/application-none</x:t>
        </x:is>
      </x:c>
      <x:c r="L77" t="inlineStr">
        <x:is>
          <x:t>R Codex; G and H-L review pending</x:t>
        </x:is>
      </x:c>
      <x:c r="M77" t="inlineStr">
        <x:is>
          <x:t>GA-19;GA-21</x:t>
        </x:is>
      </x:c>
      <x:c r="N77" t="inlineStr">
        <x:is>
          <x:t>Bounded engineering result only; all commercial holds; no control closure</x:t>
        </x:is>
      </x:c>
    </x:row>
    <x:row r="78">
      <x:c r="A78" t="inlineStr">
        <x:is>
          <x:t>NY268-application-denied</x:t>
        </x:is>
      </x:c>
      <x:c r="B78" t="inlineStr">
        <x:is>
          <x:t>P02-05</x:t>
        </x:is>
      </x:c>
      <x:c r="C78" t="inlineStr">
        <x:is>
          <x:t>NY</x:t>
        </x:is>
      </x:c>
      <x:c r="D78" t="inlineStr">
        <x:is>
          <x:t>NY:discretionary-conviction-sealing-by-petition-under-cpl-160-59</x:t>
        </x:is>
      </x:c>
      <x:c r="E78" t="inlineStr">
        <x:is>
          <x:t>application-denied</x:t>
        </x:is>
      </x:c>
      <x:c r="F78" t="inlineStr">
        <x:is>
          <x:t>Local evaluator</x:t>
        </x:is>
      </x:c>
      <x:c r="G78" t="inlineStr">
        <x:is>
          <x:t>EN</x:t>
        </x:is>
      </x:c>
      <x:c r="H78" t="inlineStr">
        <x:is>
          <x:t>933d1ab9a + NY source e3e08af63f6ed16f; pushed SHA in RECEIPT.json</x:t>
        </x:is>
      </x:c>
      <x:c r="I78" t="inlineStr">
        <x:is>
          <x:t>PASS</x:t>
        </x:is>
      </x:c>
      <x:c r="J78" t="inlineStr">
        <x:is>
          <x:t>packet_ready_with_caution</x:t>
        </x:is>
      </x:c>
      <x:c r="K78" t="inlineStr">
        <x:is>
          <x:t>/workspaces/training-modules-09-10/output/nationwide-correction-execution-20261011/checkpoints/active-assignments-20261012-v1/ny-history-clock-20261012/CANDIDATE-v5.json#/rows/application-denied</x:t>
        </x:is>
      </x:c>
      <x:c r="L78" t="inlineStr">
        <x:is>
          <x:t>R Codex; G and H-L review pending</x:t>
        </x:is>
      </x:c>
      <x:c r="M78" t="inlineStr">
        <x:is>
          <x:t>GA-19;GA-21</x:t>
        </x:is>
      </x:c>
      <x:c r="N78" t="inlineStr">
        <x:is>
          <x:t>Bounded engineering result only; all commercial holds; no control closure</x:t>
        </x:is>
      </x:c>
    </x:row>
    <x:row r="79">
      <x:c r="A79" t="inlineStr">
        <x:is>
          <x:t>NY268-application-pending</x:t>
        </x:is>
      </x:c>
      <x:c r="B79" t="inlineStr">
        <x:is>
          <x:t>P02-05</x:t>
        </x:is>
      </x:c>
      <x:c r="C79" t="inlineStr">
        <x:is>
          <x:t>NY</x:t>
        </x:is>
      </x:c>
      <x:c r="D79" t="inlineStr">
        <x:is>
          <x:t>NY:discretionary-conviction-sealing-by-petition-under-cpl-160-59</x:t>
        </x:is>
      </x:c>
      <x:c r="E79" t="inlineStr">
        <x:is>
          <x:t>application-pending</x:t>
        </x:is>
      </x:c>
      <x:c r="F79" t="inlineStr">
        <x:is>
          <x:t>Local evaluator</x:t>
        </x:is>
      </x:c>
      <x:c r="G79" t="inlineStr">
        <x:is>
          <x:t>EN</x:t>
        </x:is>
      </x:c>
      <x:c r="H79" t="inlineStr">
        <x:is>
          <x:t>933d1ab9a + NY source e3e08af63f6ed16f; pushed SHA in RECEIPT.json</x:t>
        </x:is>
      </x:c>
      <x:c r="I79" t="inlineStr">
        <x:is>
          <x:t>PASS</x:t>
        </x:is>
      </x:c>
      <x:c r="J79" t="inlineStr">
        <x:is>
          <x:t>packet_ready_with_caution</x:t>
        </x:is>
      </x:c>
      <x:c r="K79" t="inlineStr">
        <x:is>
          <x:t>/workspaces/training-modules-09-10/output/nationwide-correction-execution-20261011/checkpoints/active-assignments-20261012-v1/ny-history-clock-20261012/CANDIDATE-v5.json#/rows/application-pending</x:t>
        </x:is>
      </x:c>
      <x:c r="L79" t="inlineStr">
        <x:is>
          <x:t>R Codex; G and H-L review pending</x:t>
        </x:is>
      </x:c>
      <x:c r="M79" t="inlineStr">
        <x:is>
          <x:t>GA-19;GA-21</x:t>
        </x:is>
      </x:c>
      <x:c r="N79" t="inlineStr">
        <x:is>
          <x:t>Bounded engineering result only; all commercial holds; no control closure</x:t>
        </x:is>
      </x:c>
    </x:row>
    <x:row r="80">
      <x:c r="A80" t="inlineStr">
        <x:is>
          <x:t>NY268-application-mixed</x:t>
        </x:is>
      </x:c>
      <x:c r="B80" t="inlineStr">
        <x:is>
          <x:t>P02-05</x:t>
        </x:is>
      </x:c>
      <x:c r="C80" t="inlineStr">
        <x:is>
          <x:t>NY</x:t>
        </x:is>
      </x:c>
      <x:c r="D80" t="inlineStr">
        <x:is>
          <x:t>NY:discretionary-conviction-sealing-by-petition-under-cpl-160-59</x:t>
        </x:is>
      </x:c>
      <x:c r="E80" t="inlineStr">
        <x:is>
          <x:t>application-mixed</x:t>
        </x:is>
      </x:c>
      <x:c r="F80" t="inlineStr">
        <x:is>
          <x:t>Local evaluator</x:t>
        </x:is>
      </x:c>
      <x:c r="G80" t="inlineStr">
        <x:is>
          <x:t>EN</x:t>
        </x:is>
      </x:c>
      <x:c r="H80" t="inlineStr">
        <x:is>
          <x:t>933d1ab9a + NY source e3e08af63f6ed16f; pushed SHA in RECEIPT.json</x:t>
        </x:is>
      </x:c>
      <x:c r="I80" t="inlineStr">
        <x:is>
          <x:t>PASS</x:t>
        </x:is>
      </x:c>
      <x:c r="J80" t="inlineStr">
        <x:is>
          <x:t>packet_ready_with_caution</x:t>
        </x:is>
      </x:c>
      <x:c r="K80" t="inlineStr">
        <x:is>
          <x:t>/workspaces/training-modules-09-10/output/nationwide-correction-execution-20261011/checkpoints/active-assignments-20261012-v1/ny-history-clock-20261012/CANDIDATE-v5.json#/rows/application-mixed</x:t>
        </x:is>
      </x:c>
      <x:c r="L80" t="inlineStr">
        <x:is>
          <x:t>R Codex; G and H-L review pending</x:t>
        </x:is>
      </x:c>
      <x:c r="M80" t="inlineStr">
        <x:is>
          <x:t>GA-19;GA-21</x:t>
        </x:is>
      </x:c>
      <x:c r="N80" t="inlineStr">
        <x:is>
          <x:t>Bounded engineering result only; all commercial holds; no control closure</x:t>
        </x:is>
      </x:c>
    </x:row>
    <x:row r="81">
      <x:c r="A81" t="inlineStr">
        <x:is>
          <x:t>NY268-one-prior-order-remaining</x:t>
        </x:is>
      </x:c>
      <x:c r="B81" t="inlineStr">
        <x:is>
          <x:t>P02-05</x:t>
        </x:is>
      </x:c>
      <x:c r="C81" t="inlineStr">
        <x:is>
          <x:t>NY</x:t>
        </x:is>
      </x:c>
      <x:c r="D81" t="inlineStr">
        <x:is>
          <x:t>NY:discretionary-conviction-sealing-by-petition-under-cpl-160-59</x:t>
        </x:is>
      </x:c>
      <x:c r="E81" t="inlineStr">
        <x:is>
          <x:t>one-prior-order-remaining</x:t>
        </x:is>
      </x:c>
      <x:c r="F81" t="inlineStr">
        <x:is>
          <x:t>Local evaluator</x:t>
        </x:is>
      </x:c>
      <x:c r="G81" t="inlineStr">
        <x:is>
          <x:t>EN</x:t>
        </x:is>
      </x:c>
      <x:c r="H81" t="inlineStr">
        <x:is>
          <x:t>933d1ab9a + NY source e3e08af63f6ed16f; pushed SHA in RECEIPT.json</x:t>
        </x:is>
      </x:c>
      <x:c r="I81" t="inlineStr">
        <x:is>
          <x:t>PASS</x:t>
        </x:is>
      </x:c>
      <x:c r="J81" t="inlineStr">
        <x:is>
          <x:t>packet_ready_with_caution</x:t>
        </x:is>
      </x:c>
      <x:c r="K81" t="inlineStr">
        <x:is>
          <x:t>/workspaces/training-modules-09-10/output/nationwide-correction-execution-20261011/checkpoints/active-assignments-20261012-v1/ny-history-clock-20261012/CANDIDATE-v5.json#/rows/one-prior-order-remaining</x:t>
        </x:is>
      </x:c>
      <x:c r="L81" t="inlineStr">
        <x:is>
          <x:t>R Codex; G and H-L review pending</x:t>
        </x:is>
      </x:c>
      <x:c r="M81" t="inlineStr">
        <x:is>
          <x:t>GA-19;GA-21</x:t>
        </x:is>
      </x:c>
      <x:c r="N81" t="inlineStr">
        <x:is>
          <x:t>Bounded engineering result only; all commercial holds; no control closure</x:t>
        </x:is>
      </x:c>
    </x:row>
    <x:row r="82">
      <x:c r="A82" t="inlineStr">
        <x:is>
          <x:t>NY268-prior-felony-misdemeanor-request</x:t>
        </x:is>
      </x:c>
      <x:c r="B82" t="inlineStr">
        <x:is>
          <x:t>P02-05</x:t>
        </x:is>
      </x:c>
      <x:c r="C82" t="inlineStr">
        <x:is>
          <x:t>NY</x:t>
        </x:is>
      </x:c>
      <x:c r="D82" t="inlineStr">
        <x:is>
          <x:t>NY:discretionary-conviction-sealing-by-petition-under-cpl-160-59</x:t>
        </x:is>
      </x:c>
      <x:c r="E82" t="inlineStr">
        <x:is>
          <x:t>prior-felony-misdemeanor-request</x:t>
        </x:is>
      </x:c>
      <x:c r="F82" t="inlineStr">
        <x:is>
          <x:t>Local evaluator</x:t>
        </x:is>
      </x:c>
      <x:c r="G82" t="inlineStr">
        <x:is>
          <x:t>EN</x:t>
        </x:is>
      </x:c>
      <x:c r="H82" t="inlineStr">
        <x:is>
          <x:t>933d1ab9a + NY source e3e08af63f6ed16f; pushed SHA in RECEIPT.json</x:t>
        </x:is>
      </x:c>
      <x:c r="I82" t="inlineStr">
        <x:is>
          <x:t>PASS</x:t>
        </x:is>
      </x:c>
      <x:c r="J82" t="inlineStr">
        <x:is>
          <x:t>packet_ready_with_caution</x:t>
        </x:is>
      </x:c>
      <x:c r="K82" t="inlineStr">
        <x:is>
          <x:t>/workspaces/training-modules-09-10/output/nationwide-correction-execution-20261011/checkpoints/active-assignments-20261012-v1/ny-history-clock-20261012/CANDIDATE-v5.json#/rows/prior-felony-misdemeanor-request</x:t>
        </x:is>
      </x:c>
      <x:c r="L82" t="inlineStr">
        <x:is>
          <x:t>R Codex; G and H-L review pending</x:t>
        </x:is>
      </x:c>
      <x:c r="M82" t="inlineStr">
        <x:is>
          <x:t>GA-19;GA-21</x:t>
        </x:is>
      </x:c>
      <x:c r="N82" t="inlineStr">
        <x:is>
          <x:t>Bounded engineering result only; all commercial holds; no control closure</x:t>
        </x:is>
      </x:c>
    </x:row>
    <x:row r="83">
      <x:c r="A83" t="inlineStr">
        <x:is>
          <x:t>NY268-exhausted</x:t>
        </x:is>
      </x:c>
      <x:c r="B83" t="inlineStr">
        <x:is>
          <x:t>P02-05</x:t>
        </x:is>
      </x:c>
      <x:c r="C83" t="inlineStr">
        <x:is>
          <x:t>NY</x:t>
        </x:is>
      </x:c>
      <x:c r="D83" t="inlineStr">
        <x:is>
          <x:t>NY:discretionary-conviction-sealing-by-petition-under-cpl-160-59</x:t>
        </x:is>
      </x:c>
      <x:c r="E83" t="inlineStr">
        <x:is>
          <x:t>exhausted</x:t>
        </x:is>
      </x:c>
      <x:c r="F83" t="inlineStr">
        <x:is>
          <x:t>Local evaluator</x:t>
        </x:is>
      </x:c>
      <x:c r="G83" t="inlineStr">
        <x:is>
          <x:t>EN</x:t>
        </x:is>
      </x:c>
      <x:c r="H83" t="inlineStr">
        <x:is>
          <x:t>933d1ab9a + NY source e3e08af63f6ed16f; pushed SHA in RECEIPT.json</x:t>
        </x:is>
      </x:c>
      <x:c r="I83" t="inlineStr">
        <x:is>
          <x:t>PASS</x:t>
        </x:is>
      </x:c>
      <x:c r="J83" t="inlineStr">
        <x:is>
          <x:t>likely_not_eligible</x:t>
        </x:is>
      </x:c>
      <x:c r="K83" t="inlineStr">
        <x:is>
          <x:t>/workspaces/training-modules-09-10/output/nationwide-correction-execution-20261011/checkpoints/active-assignments-20261012-v1/ny-history-clock-20261012/CANDIDATE-v5.json#/rows/exhausted</x:t>
        </x:is>
      </x:c>
      <x:c r="L83" t="inlineStr">
        <x:is>
          <x:t>R Codex; G and H-L review pending</x:t>
        </x:is>
      </x:c>
      <x:c r="M83" t="inlineStr">
        <x:is>
          <x:t>GA-19;GA-21</x:t>
        </x:is>
      </x:c>
      <x:c r="N83" t="inlineStr">
        <x:is>
          <x:t>Bounded engineering result only; all commercial holds; no control closure</x:t>
        </x:is>
      </x:c>
    </x:row>
    <x:row r="84">
      <x:c r="A84" t="inlineStr">
        <x:is>
          <x:t>NY268-16058-grant-needs-order-review</x:t>
        </x:is>
      </x:c>
      <x:c r="B84" t="inlineStr">
        <x:is>
          <x:t>P02-05</x:t>
        </x:is>
      </x:c>
      <x:c r="C84" t="inlineStr">
        <x:is>
          <x:t>NY</x:t>
        </x:is>
      </x:c>
      <x:c r="D84" t="inlineStr">
        <x:is>
          <x:t>NY:discretionary-conviction-sealing-by-petition-under-cpl-160-59</x:t>
        </x:is>
      </x:c>
      <x:c r="E84" t="inlineStr">
        <x:is>
          <x:t>16058-grant-needs-order-review</x:t>
        </x:is>
      </x:c>
      <x:c r="F84" t="inlineStr">
        <x:is>
          <x:t>Local evaluator</x:t>
        </x:is>
      </x:c>
      <x:c r="G84" t="inlineStr">
        <x:is>
          <x:t>EN</x:t>
        </x:is>
      </x:c>
      <x:c r="H84" t="inlineStr">
        <x:is>
          <x:t>933d1ab9a + NY source e3e08af63f6ed16f; pushed SHA in RECEIPT.json</x:t>
        </x:is>
      </x:c>
      <x:c r="I84" t="inlineStr">
        <x:is>
          <x:t>PASS</x:t>
        </x:is>
      </x:c>
      <x:c r="J84" t="inlineStr">
        <x:is>
          <x:t>needs_review</x:t>
        </x:is>
      </x:c>
      <x:c r="K84" t="inlineStr">
        <x:is>
          <x:t>/workspaces/training-modules-09-10/output/nationwide-correction-execution-20261011/checkpoints/active-assignments-20261012-v1/ny-history-clock-20261012/CANDIDATE-v5.json#/rows/16058-grant-needs-order-review</x:t>
        </x:is>
      </x:c>
      <x:c r="L84" t="inlineStr">
        <x:is>
          <x:t>R Codex; G and H-L review pending</x:t>
        </x:is>
      </x:c>
      <x:c r="M84" t="inlineStr">
        <x:is>
          <x:t>GA-19;GA-21</x:t>
        </x:is>
      </x:c>
      <x:c r="N84" t="inlineStr">
        <x:is>
          <x:t>Bounded engineering result only; all commercial holds; no control closure</x:t>
        </x:is>
      </x:c>
    </x:row>
    <x:row r="85">
      <x:c r="A85" t="inlineStr">
        <x:is>
          <x:t>NY268-contradiction-{"ny_16059_requested_total":0}</x:t>
        </x:is>
      </x:c>
      <x:c r="B85" t="inlineStr">
        <x:is>
          <x:t>P02-05</x:t>
        </x:is>
      </x:c>
      <x:c r="C85" t="inlineStr">
        <x:is>
          <x:t>NY</x:t>
        </x:is>
      </x:c>
      <x:c r="D85" t="inlineStr">
        <x:is>
          <x:t>NY:discretionary-conviction-sealing-by-petition-under-cpl-160-59</x:t>
        </x:is>
      </x:c>
      <x:c r="E85" t="inlineStr">
        <x:is>
          <x:t>contradiction-{"ny_16059_requested_total":0}</x:t>
        </x:is>
      </x:c>
      <x:c r="F85" t="inlineStr">
        <x:is>
          <x:t>Local evaluator</x:t>
        </x:is>
      </x:c>
      <x:c r="G85" t="inlineStr">
        <x:is>
          <x:t>EN</x:t>
        </x:is>
      </x:c>
      <x:c r="H85" t="inlineStr">
        <x:is>
          <x:t>933d1ab9a + NY source e3e08af63f6ed16f; pushed SHA in RECEIPT.json</x:t>
        </x:is>
      </x:c>
      <x:c r="I85" t="inlineStr">
        <x:is>
          <x:t>PASS</x:t>
        </x:is>
      </x:c>
      <x:c r="J85" t="inlineStr">
        <x:is>
          <x:t>needs_review</x:t>
        </x:is>
      </x:c>
      <x:c r="K85" t="inlineStr">
        <x:is>
          <x:t>/workspaces/training-modules-09-10/output/nationwide-correction-execution-20261011/checkpoints/active-assignments-20261012-v1/ny-history-clock-20261012/CANDIDATE-v5.json#/rows/contradiction-{"ny_16059_requested_total":0}</x:t>
        </x:is>
      </x:c>
      <x:c r="L85" t="inlineStr">
        <x:is>
          <x:t>R Codex; G and H-L review pending</x:t>
        </x:is>
      </x:c>
      <x:c r="M85" t="inlineStr">
        <x:is>
          <x:t>GA-19;GA-21</x:t>
        </x:is>
      </x:c>
      <x:c r="N85" t="inlineStr">
        <x:is>
          <x:t>Bounded engineering result only; all commercial holds; no control closure</x:t>
        </x:is>
      </x:c>
    </x:row>
    <x:row r="86">
      <x:c r="A86" t="inlineStr">
        <x:is>
          <x:t>NY268-contradiction-{"ny_16059_requested_total":2}</x:t>
        </x:is>
      </x:c>
      <x:c r="B86" t="inlineStr">
        <x:is>
          <x:t>P02-05</x:t>
        </x:is>
      </x:c>
      <x:c r="C86" t="inlineStr">
        <x:is>
          <x:t>NY</x:t>
        </x:is>
      </x:c>
      <x:c r="D86" t="inlineStr">
        <x:is>
          <x:t>NY:discretionary-conviction-sealing-by-petition-under-cpl-160-59</x:t>
        </x:is>
      </x:c>
      <x:c r="E86" t="inlineStr">
        <x:is>
          <x:t>contradiction-{"ny_16059_requested_total":2}</x:t>
        </x:is>
      </x:c>
      <x:c r="F86" t="inlineStr">
        <x:is>
          <x:t>Local evaluator</x:t>
        </x:is>
      </x:c>
      <x:c r="G86" t="inlineStr">
        <x:is>
          <x:t>EN</x:t>
        </x:is>
      </x:c>
      <x:c r="H86" t="inlineStr">
        <x:is>
          <x:t>933d1ab9a + NY source e3e08af63f6ed16f; pushed SHA in RECEIPT.json</x:t>
        </x:is>
      </x:c>
      <x:c r="I86" t="inlineStr">
        <x:is>
          <x:t>PASS</x:t>
        </x:is>
      </x:c>
      <x:c r="J86" t="inlineStr">
        <x:is>
          <x:t>needs_review</x:t>
        </x:is>
      </x:c>
      <x:c r="K86" t="inlineStr">
        <x:is>
          <x:t>/workspaces/training-modules-09-10/output/nationwide-correction-execution-20261011/checkpoints/active-assignments-20261012-v1/ny-history-clock-20261012/CANDIDATE-v5.json#/rows/contradiction-{"ny_16059_requested_total":2}</x:t>
        </x:is>
      </x:c>
      <x:c r="L86" t="inlineStr">
        <x:is>
          <x:t>R Codex; G and H-L review pending</x:t>
        </x:is>
      </x:c>
      <x:c r="M86" t="inlineStr">
        <x:is>
          <x:t>GA-19;GA-21</x:t>
        </x:is>
      </x:c>
      <x:c r="N86" t="inlineStr">
        <x:is>
          <x:t>Bounded engineering result only; all commercial holds; no control closure</x:t>
        </x:is>
      </x:c>
    </x:row>
    <x:row r="87">
      <x:c r="A87" t="inlineStr">
        <x:is>
          <x:t>NY268-contradiction-{"ny_16059_requested_felonies":1}</x:t>
        </x:is>
      </x:c>
      <x:c r="B87" t="inlineStr">
        <x:is>
          <x:t>P02-05</x:t>
        </x:is>
      </x:c>
      <x:c r="C87" t="inlineStr">
        <x:is>
          <x:t>NY</x:t>
        </x:is>
      </x:c>
      <x:c r="D87" t="inlineStr">
        <x:is>
          <x:t>NY:discretionary-conviction-sealing-by-petition-under-cpl-160-59</x:t>
        </x:is>
      </x:c>
      <x:c r="E87" t="inlineStr">
        <x:is>
          <x:t>contradiction-{"ny_16059_requested_felonies":1}</x:t>
        </x:is>
      </x:c>
      <x:c r="F87" t="inlineStr">
        <x:is>
          <x:t>Local evaluator</x:t>
        </x:is>
      </x:c>
      <x:c r="G87" t="inlineStr">
        <x:is>
          <x:t>EN</x:t>
        </x:is>
      </x:c>
      <x:c r="H87" t="inlineStr">
        <x:is>
          <x:t>933d1ab9a + NY source e3e08af63f6ed16f; pushed SHA in RECEIPT.json</x:t>
        </x:is>
      </x:c>
      <x:c r="I87" t="inlineStr">
        <x:is>
          <x:t>PASS</x:t>
        </x:is>
      </x:c>
      <x:c r="J87" t="inlineStr">
        <x:is>
          <x:t>needs_review</x:t>
        </x:is>
      </x:c>
      <x:c r="K87" t="inlineStr">
        <x:is>
          <x:t>/workspaces/training-modules-09-10/output/nationwide-correction-execution-20261011/checkpoints/active-assignments-20261012-v1/ny-history-clock-20261012/CANDIDATE-v5.json#/rows/contradiction-{"ny_16059_requested_felonies":1}</x:t>
        </x:is>
      </x:c>
      <x:c r="L87" t="inlineStr">
        <x:is>
          <x:t>R Codex; G and H-L review pending</x:t>
        </x:is>
      </x:c>
      <x:c r="M87" t="inlineStr">
        <x:is>
          <x:t>GA-19;GA-21</x:t>
        </x:is>
      </x:c>
      <x:c r="N87" t="inlineStr">
        <x:is>
          <x:t>Bounded engineering result only; all commercial holds; no control closure</x:t>
        </x:is>
      </x:c>
    </x:row>
    <x:row r="88">
      <x:c r="A88" t="inlineStr">
        <x:is>
          <x:t>NY268-contradiction-{"ny_16059_granted_total":1}</x:t>
        </x:is>
      </x:c>
      <x:c r="B88" t="inlineStr">
        <x:is>
          <x:t>P02-05</x:t>
        </x:is>
      </x:c>
      <x:c r="C88" t="inlineStr">
        <x:is>
          <x:t>NY</x:t>
        </x:is>
      </x:c>
      <x:c r="D88" t="inlineStr">
        <x:is>
          <x:t>NY:discretionary-conviction-sealing-by-petition-under-cpl-160-59</x:t>
        </x:is>
      </x:c>
      <x:c r="E88" t="inlineStr">
        <x:is>
          <x:t>contradiction-{"ny_16059_granted_total":1}</x:t>
        </x:is>
      </x:c>
      <x:c r="F88" t="inlineStr">
        <x:is>
          <x:t>Local evaluator</x:t>
        </x:is>
      </x:c>
      <x:c r="G88" t="inlineStr">
        <x:is>
          <x:t>EN</x:t>
        </x:is>
      </x:c>
      <x:c r="H88" t="inlineStr">
        <x:is>
          <x:t>933d1ab9a + NY source e3e08af63f6ed16f; pushed SHA in RECEIPT.json</x:t>
        </x:is>
      </x:c>
      <x:c r="I88" t="inlineStr">
        <x:is>
          <x:t>PASS</x:t>
        </x:is>
      </x:c>
      <x:c r="J88" t="inlineStr">
        <x:is>
          <x:t>needs_review</x:t>
        </x:is>
      </x:c>
      <x:c r="K88" t="inlineStr">
        <x:is>
          <x:t>/workspaces/training-modules-09-10/output/nationwide-correction-execution-20261011/checkpoints/active-assignments-20261012-v1/ny-history-clock-20261012/CANDIDATE-v5.json#/rows/contradiction-{"ny_16059_granted_total":1}</x:t>
        </x:is>
      </x:c>
      <x:c r="L88" t="inlineStr">
        <x:is>
          <x:t>R Codex; G and H-L review pending</x:t>
        </x:is>
      </x:c>
      <x:c r="M88" t="inlineStr">
        <x:is>
          <x:t>GA-19;GA-21</x:t>
        </x:is>
      </x:c>
      <x:c r="N88" t="inlineStr">
        <x:is>
          <x:t>Bounded engineering result only; all commercial holds; no control closure</x:t>
        </x:is>
      </x:c>
    </x:row>
    <x:row r="89">
      <x:c r="A89" t="inlineStr">
        <x:is>
          <x:t>NY268-contradiction-{"ny_16059_application_status":"granted"}</x:t>
        </x:is>
      </x:c>
      <x:c r="B89" t="inlineStr">
        <x:is>
          <x:t>P02-05</x:t>
        </x:is>
      </x:c>
      <x:c r="C89" t="inlineStr">
        <x:is>
          <x:t>NY</x:t>
        </x:is>
      </x:c>
      <x:c r="D89" t="inlineStr">
        <x:is>
          <x:t>NY:discretionary-conviction-sealing-by-petition-under-cpl-160-59</x:t>
        </x:is>
      </x:c>
      <x:c r="E89" t="inlineStr">
        <x:is>
          <x:t>contradiction-{"ny_16059_application_status":"granted"}</x:t>
        </x:is>
      </x:c>
      <x:c r="F89" t="inlineStr">
        <x:is>
          <x:t>Local evaluator</x:t>
        </x:is>
      </x:c>
      <x:c r="G89" t="inlineStr">
        <x:is>
          <x:t>EN</x:t>
        </x:is>
      </x:c>
      <x:c r="H89" t="inlineStr">
        <x:is>
          <x:t>933d1ab9a + NY source e3e08af63f6ed16f; pushed SHA in RECEIPT.json</x:t>
        </x:is>
      </x:c>
      <x:c r="I89" t="inlineStr">
        <x:is>
          <x:t>PASS</x:t>
        </x:is>
      </x:c>
      <x:c r="J89" t="inlineStr">
        <x:is>
          <x:t>needs_review</x:t>
        </x:is>
      </x:c>
      <x:c r="K89" t="inlineStr">
        <x:is>
          <x:t>/workspaces/training-modules-09-10/output/nationwide-correction-execution-20261011/checkpoints/active-assignments-20261012-v1/ny-history-clock-20261012/CANDIDATE-v5.json#/rows/contradiction-{"ny_16059_application_status":"granted"}</x:t>
        </x:is>
      </x:c>
      <x:c r="L89" t="inlineStr">
        <x:is>
          <x:t>R Codex; G and H-L review pending</x:t>
        </x:is>
      </x:c>
      <x:c r="M89" t="inlineStr">
        <x:is>
          <x:t>GA-19;GA-21</x:t>
        </x:is>
      </x:c>
      <x:c r="N89" t="inlineStr">
        <x:is>
          <x:t>Bounded engineering result only; all commercial holds; no control closure</x:t>
        </x:is>
      </x:c>
    </x:row>
    <x:row r="90">
      <x:c r="A90" t="inlineStr">
        <x:is>
          <x:t>NY268-contradiction-{"case_outcome":"Felony conviction","offense_level":"Felony"}</x:t>
        </x:is>
      </x:c>
      <x:c r="B90" t="inlineStr">
        <x:is>
          <x:t>P02-05</x:t>
        </x:is>
      </x:c>
      <x:c r="C90" t="inlineStr">
        <x:is>
          <x:t>NY</x:t>
        </x:is>
      </x:c>
      <x:c r="D90" t="inlineStr">
        <x:is>
          <x:t>NY:discretionary-conviction-sealing-by-petition-under-cpl-160-59</x:t>
        </x:is>
      </x:c>
      <x:c r="E90" t="inlineStr">
        <x:is>
          <x:t>contradiction-{"case_outcome":"Felony conviction","offense_level":"Felony"}</x:t>
        </x:is>
      </x:c>
      <x:c r="F90" t="inlineStr">
        <x:is>
          <x:t>Local evaluator</x:t>
        </x:is>
      </x:c>
      <x:c r="G90" t="inlineStr">
        <x:is>
          <x:t>EN</x:t>
        </x:is>
      </x:c>
      <x:c r="H90" t="inlineStr">
        <x:is>
          <x:t>933d1ab9a + NY source e3e08af63f6ed16f; pushed SHA in RECEIPT.json</x:t>
        </x:is>
      </x:c>
      <x:c r="I90" t="inlineStr">
        <x:is>
          <x:t>PASS</x:t>
        </x:is>
      </x:c>
      <x:c r="J90" t="inlineStr">
        <x:is>
          <x:t>needs_review</x:t>
        </x:is>
      </x:c>
      <x:c r="K90" t="inlineStr">
        <x:is>
          <x:t>/workspaces/training-modules-09-10/output/nationwide-correction-execution-20261011/checkpoints/active-assignments-20261012-v1/ny-history-clock-20261012/CANDIDATE-v5.json#/rows/contradiction-{"case_outcome":"Felony conviction","offense_level":"Felony"}</x:t>
        </x:is>
      </x:c>
      <x:c r="L90" t="inlineStr">
        <x:is>
          <x:t>R Codex; G and H-L review pending</x:t>
        </x:is>
      </x:c>
      <x:c r="M90" t="inlineStr">
        <x:is>
          <x:t>GA-19;GA-21</x:t>
        </x:is>
      </x:c>
      <x:c r="N90" t="inlineStr">
        <x:is>
          <x:t>Bounded engineering result only; all commercial holds; no control closure</x:t>
        </x:is>
      </x:c>
    </x:row>
    <x:row r="91">
      <x:c r="A91" t="inlineStr">
        <x:is>
          <x:t>NY268-count-ny_16059_history_total-undefined</x:t>
        </x:is>
      </x:c>
      <x:c r="B91" t="inlineStr">
        <x:is>
          <x:t>P02-05</x:t>
        </x:is>
      </x:c>
      <x:c r="C91" t="inlineStr">
        <x:is>
          <x:t>NY</x:t>
        </x:is>
      </x:c>
      <x:c r="D91" t="inlineStr">
        <x:is>
          <x:t>NY:discretionary-conviction-sealing-by-petition-under-cpl-160-59</x:t>
        </x:is>
      </x:c>
      <x:c r="E91" t="inlineStr">
        <x:is>
          <x:t>count-ny_16059_history_total-undefined</x:t>
        </x:is>
      </x:c>
      <x:c r="F91" t="inlineStr">
        <x:is>
          <x:t>Local evaluator</x:t>
        </x:is>
      </x:c>
      <x:c r="G91" t="inlineStr">
        <x:is>
          <x:t>EN</x:t>
        </x:is>
      </x:c>
      <x:c r="H91" t="inlineStr">
        <x:is>
          <x:t>933d1ab9a + NY source e3e08af63f6ed16f; pushed SHA in RECEIPT.json</x:t>
        </x:is>
      </x:c>
      <x:c r="I91" t="inlineStr">
        <x:is>
          <x:t>PASS</x:t>
        </x:is>
      </x:c>
      <x:c r="J91" t="inlineStr">
        <x:is>
          <x:t>needs_more_info</x:t>
        </x:is>
      </x:c>
      <x:c r="K91" t="inlineStr">
        <x:is>
          <x:t>/workspaces/training-modules-09-10/output/nationwide-correction-execution-20261011/checkpoints/active-assignments-20261012-v1/ny-history-clock-20261012/CANDIDATE-v5.json#/rows/count-ny_16059_history_total-undefined</x:t>
        </x:is>
      </x:c>
      <x:c r="L91" t="inlineStr">
        <x:is>
          <x:t>R Codex; G and H-L review pending</x:t>
        </x:is>
      </x:c>
      <x:c r="M91" t="inlineStr">
        <x:is>
          <x:t>GA-19;GA-21</x:t>
        </x:is>
      </x:c>
      <x:c r="N91" t="inlineStr">
        <x:is>
          <x:t>Bounded engineering result only; all commercial holds; no control closure</x:t>
        </x:is>
      </x:c>
    </x:row>
    <x:row r="92">
      <x:c r="A92" t="inlineStr">
        <x:is>
          <x:t>NY268-count-ny_16059_history_total--1</x:t>
        </x:is>
      </x:c>
      <x:c r="B92" t="inlineStr">
        <x:is>
          <x:t>P02-05</x:t>
        </x:is>
      </x:c>
      <x:c r="C92" t="inlineStr">
        <x:is>
          <x:t>NY</x:t>
        </x:is>
      </x:c>
      <x:c r="D92" t="inlineStr">
        <x:is>
          <x:t>NY:discretionary-conviction-sealing-by-petition-under-cpl-160-59</x:t>
        </x:is>
      </x:c>
      <x:c r="E92" t="inlineStr">
        <x:is>
          <x:t>count-ny_16059_history_total--1</x:t>
        </x:is>
      </x:c>
      <x:c r="F92" t="inlineStr">
        <x:is>
          <x:t>Local evaluator</x:t>
        </x:is>
      </x:c>
      <x:c r="G92" t="inlineStr">
        <x:is>
          <x:t>EN</x:t>
        </x:is>
      </x:c>
      <x:c r="H92" t="inlineStr">
        <x:is>
          <x:t>933d1ab9a + NY source e3e08af63f6ed16f; pushed SHA in RECEIPT.json</x:t>
        </x:is>
      </x:c>
      <x:c r="I92" t="inlineStr">
        <x:is>
          <x:t>PASS</x:t>
        </x:is>
      </x:c>
      <x:c r="J92" t="inlineStr">
        <x:is>
          <x:t>needs_more_info</x:t>
        </x:is>
      </x:c>
      <x:c r="K92" t="inlineStr">
        <x:is>
          <x:t>/workspaces/training-modules-09-10/output/nationwide-correction-execution-20261011/checkpoints/active-assignments-20261012-v1/ny-history-clock-20261012/CANDIDATE-v5.json#/rows/count-ny_16059_history_total--1</x:t>
        </x:is>
      </x:c>
      <x:c r="L92" t="inlineStr">
        <x:is>
          <x:t>R Codex; G and H-L review pending</x:t>
        </x:is>
      </x:c>
      <x:c r="M92" t="inlineStr">
        <x:is>
          <x:t>GA-19;GA-21</x:t>
        </x:is>
      </x:c>
      <x:c r="N92" t="inlineStr">
        <x:is>
          <x:t>Bounded engineering result only; all commercial holds; no control closure</x:t>
        </x:is>
      </x:c>
    </x:row>
    <x:row r="93">
      <x:c r="A93" t="inlineStr">
        <x:is>
          <x:t>NY268-count-ny_16059_history_total-0.5</x:t>
        </x:is>
      </x:c>
      <x:c r="B93" t="inlineStr">
        <x:is>
          <x:t>P02-05</x:t>
        </x:is>
      </x:c>
      <x:c r="C93" t="inlineStr">
        <x:is>
          <x:t>NY</x:t>
        </x:is>
      </x:c>
      <x:c r="D93" t="inlineStr">
        <x:is>
          <x:t>NY:discretionary-conviction-sealing-by-petition-under-cpl-160-59</x:t>
        </x:is>
      </x:c>
      <x:c r="E93" t="inlineStr">
        <x:is>
          <x:t>count-ny_16059_history_total-0.5</x:t>
        </x:is>
      </x:c>
      <x:c r="F93" t="inlineStr">
        <x:is>
          <x:t>Local evaluator</x:t>
        </x:is>
      </x:c>
      <x:c r="G93" t="inlineStr">
        <x:is>
          <x:t>EN</x:t>
        </x:is>
      </x:c>
      <x:c r="H93" t="inlineStr">
        <x:is>
          <x:t>933d1ab9a + NY source e3e08af63f6ed16f; pushed SHA in RECEIPT.json</x:t>
        </x:is>
      </x:c>
      <x:c r="I93" t="inlineStr">
        <x:is>
          <x:t>PASS</x:t>
        </x:is>
      </x:c>
      <x:c r="J93" t="inlineStr">
        <x:is>
          <x:t>needs_more_info</x:t>
        </x:is>
      </x:c>
      <x:c r="K93" t="inlineStr">
        <x:is>
          <x:t>/workspaces/training-modules-09-10/output/nationwide-correction-execution-20261011/checkpoints/active-assignments-20261012-v1/ny-history-clock-20261012/CANDIDATE-v5.json#/rows/count-ny_16059_history_total-0.5</x:t>
        </x:is>
      </x:c>
      <x:c r="L93" t="inlineStr">
        <x:is>
          <x:t>R Codex; G and H-L review pending</x:t>
        </x:is>
      </x:c>
      <x:c r="M93" t="inlineStr">
        <x:is>
          <x:t>GA-19;GA-21</x:t>
        </x:is>
      </x:c>
      <x:c r="N93" t="inlineStr">
        <x:is>
          <x:t>Bounded engineering result only; all commercial holds; no control closure</x:t>
        </x:is>
      </x:c>
    </x:row>
    <x:row r="94">
      <x:c r="A94" t="inlineStr">
        <x:is>
          <x:t>NY268-count-ny_16059_history_total-I am not sure</x:t>
        </x:is>
      </x:c>
      <x:c r="B94" t="inlineStr">
        <x:is>
          <x:t>P02-05</x:t>
        </x:is>
      </x:c>
      <x:c r="C94" t="inlineStr">
        <x:is>
          <x:t>NY</x:t>
        </x:is>
      </x:c>
      <x:c r="D94" t="inlineStr">
        <x:is>
          <x:t>NY:discretionary-conviction-sealing-by-petition-under-cpl-160-59</x:t>
        </x:is>
      </x:c>
      <x:c r="E94" t="inlineStr">
        <x:is>
          <x:t>count-ny_16059_history_total-I am not sure</x:t>
        </x:is>
      </x:c>
      <x:c r="F94" t="inlineStr">
        <x:is>
          <x:t>Local evaluator</x:t>
        </x:is>
      </x:c>
      <x:c r="G94" t="inlineStr">
        <x:is>
          <x:t>EN</x:t>
        </x:is>
      </x:c>
      <x:c r="H94" t="inlineStr">
        <x:is>
          <x:t>933d1ab9a + NY source e3e08af63f6ed16f; pushed SHA in RECEIPT.json</x:t>
        </x:is>
      </x:c>
      <x:c r="I94" t="inlineStr">
        <x:is>
          <x:t>PASS</x:t>
        </x:is>
      </x:c>
      <x:c r="J94" t="inlineStr">
        <x:is>
          <x:t>needs_more_info</x:t>
        </x:is>
      </x:c>
      <x:c r="K94" t="inlineStr">
        <x:is>
          <x:t>/workspaces/training-modules-09-10/output/nationwide-correction-execution-20261011/checkpoints/active-assignments-20261012-v1/ny-history-clock-20261012/CANDIDATE-v5.json#/rows/count-ny_16059_history_total-I am not sure</x:t>
        </x:is>
      </x:c>
      <x:c r="L94" t="inlineStr">
        <x:is>
          <x:t>R Codex; G and H-L review pending</x:t>
        </x:is>
      </x:c>
      <x:c r="M94" t="inlineStr">
        <x:is>
          <x:t>GA-19;GA-21</x:t>
        </x:is>
      </x:c>
      <x:c r="N94" t="inlineStr">
        <x:is>
          <x:t>Bounded engineering result only; all commercial holds; no control closure</x:t>
        </x:is>
      </x:c>
    </x:row>
    <x:row r="95">
      <x:c r="A95" t="inlineStr">
        <x:is>
          <x:t>NY268-count-ny_16059_history_total-not a count</x:t>
        </x:is>
      </x:c>
      <x:c r="B95" t="inlineStr">
        <x:is>
          <x:t>P02-05</x:t>
        </x:is>
      </x:c>
      <x:c r="C95" t="inlineStr">
        <x:is>
          <x:t>NY</x:t>
        </x:is>
      </x:c>
      <x:c r="D95" t="inlineStr">
        <x:is>
          <x:t>NY:discretionary-conviction-sealing-by-petition-under-cpl-160-59</x:t>
        </x:is>
      </x:c>
      <x:c r="E95" t="inlineStr">
        <x:is>
          <x:t>count-ny_16059_history_total-not a count</x:t>
        </x:is>
      </x:c>
      <x:c r="F95" t="inlineStr">
        <x:is>
          <x:t>Local evaluator</x:t>
        </x:is>
      </x:c>
      <x:c r="G95" t="inlineStr">
        <x:is>
          <x:t>EN</x:t>
        </x:is>
      </x:c>
      <x:c r="H95" t="inlineStr">
        <x:is>
          <x:t>933d1ab9a + NY source e3e08af63f6ed16f; pushed SHA in RECEIPT.json</x:t>
        </x:is>
      </x:c>
      <x:c r="I95" t="inlineStr">
        <x:is>
          <x:t>PASS</x:t>
        </x:is>
      </x:c>
      <x:c r="J95" t="inlineStr">
        <x:is>
          <x:t>needs_more_info</x:t>
        </x:is>
      </x:c>
      <x:c r="K95" t="inlineStr">
        <x:is>
          <x:t>/workspaces/training-modules-09-10/output/nationwide-correction-execution-20261011/checkpoints/active-assignments-20261012-v1/ny-history-clock-20261012/CANDIDATE-v5.json#/rows/count-ny_16059_history_total-not a count</x:t>
        </x:is>
      </x:c>
      <x:c r="L95" t="inlineStr">
        <x:is>
          <x:t>R Codex; G and H-L review pending</x:t>
        </x:is>
      </x:c>
      <x:c r="M95" t="inlineStr">
        <x:is>
          <x:t>GA-19;GA-21</x:t>
        </x:is>
      </x:c>
      <x:c r="N95" t="inlineStr">
        <x:is>
          <x:t>Bounded engineering result only; all commercial holds; no control closure</x:t>
        </x:is>
      </x:c>
    </x:row>
    <x:row r="96">
      <x:c r="A96" t="inlineStr">
        <x:is>
          <x:t>NY268-count-ny_16059_history_total-</x:t>
        </x:is>
      </x:c>
      <x:c r="B96" t="inlineStr">
        <x:is>
          <x:t>P02-05</x:t>
        </x:is>
      </x:c>
      <x:c r="C96" t="inlineStr">
        <x:is>
          <x:t>NY</x:t>
        </x:is>
      </x:c>
      <x:c r="D96" t="inlineStr">
        <x:is>
          <x:t>NY:discretionary-conviction-sealing-by-petition-under-cpl-160-59</x:t>
        </x:is>
      </x:c>
      <x:c r="E96" t="inlineStr">
        <x:is>
          <x:t>count-ny_16059_history_total-</x:t>
        </x:is>
      </x:c>
      <x:c r="F96" t="inlineStr">
        <x:is>
          <x:t>Local evaluator</x:t>
        </x:is>
      </x:c>
      <x:c r="G96" t="inlineStr">
        <x:is>
          <x:t>EN</x:t>
        </x:is>
      </x:c>
      <x:c r="H96" t="inlineStr">
        <x:is>
          <x:t>933d1ab9a + NY source e3e08af63f6ed16f; pushed SHA in RECEIPT.json</x:t>
        </x:is>
      </x:c>
      <x:c r="I96" t="inlineStr">
        <x:is>
          <x:t>PASS</x:t>
        </x:is>
      </x:c>
      <x:c r="J96" t="inlineStr">
        <x:is>
          <x:t>needs_more_info</x:t>
        </x:is>
      </x:c>
      <x:c r="K96" t="inlineStr">
        <x:is>
          <x:t>/workspaces/training-modules-09-10/output/nationwide-correction-execution-20261011/checkpoints/active-assignments-20261012-v1/ny-history-clock-20261012/CANDIDATE-v5.json#/rows/count-ny_16059_history_total-</x:t>
        </x:is>
      </x:c>
      <x:c r="L96" t="inlineStr">
        <x:is>
          <x:t>R Codex; G and H-L review pending</x:t>
        </x:is>
      </x:c>
      <x:c r="M96" t="inlineStr">
        <x:is>
          <x:t>GA-19;GA-21</x:t>
        </x:is>
      </x:c>
      <x:c r="N96" t="inlineStr">
        <x:is>
          <x:t>Bounded engineering result only; all commercial holds; no control closure</x:t>
        </x:is>
      </x:c>
    </x:row>
    <x:row r="97">
      <x:c r="A97" t="inlineStr">
        <x:is>
          <x:t>NY268-count-ny_16059_history_felonies-undefined</x:t>
        </x:is>
      </x:c>
      <x:c r="B97" t="inlineStr">
        <x:is>
          <x:t>P02-05</x:t>
        </x:is>
      </x:c>
      <x:c r="C97" t="inlineStr">
        <x:is>
          <x:t>NY</x:t>
        </x:is>
      </x:c>
      <x:c r="D97" t="inlineStr">
        <x:is>
          <x:t>NY:discretionary-conviction-sealing-by-petition-under-cpl-160-59</x:t>
        </x:is>
      </x:c>
      <x:c r="E97" t="inlineStr">
        <x:is>
          <x:t>count-ny_16059_history_felonies-undefined</x:t>
        </x:is>
      </x:c>
      <x:c r="F97" t="inlineStr">
        <x:is>
          <x:t>Local evaluator</x:t>
        </x:is>
      </x:c>
      <x:c r="G97" t="inlineStr">
        <x:is>
          <x:t>EN</x:t>
        </x:is>
      </x:c>
      <x:c r="H97" t="inlineStr">
        <x:is>
          <x:t>933d1ab9a + NY source e3e08af63f6ed16f; pushed SHA in RECEIPT.json</x:t>
        </x:is>
      </x:c>
      <x:c r="I97" t="inlineStr">
        <x:is>
          <x:t>PASS</x:t>
        </x:is>
      </x:c>
      <x:c r="J97" t="inlineStr">
        <x:is>
          <x:t>needs_more_info</x:t>
        </x:is>
      </x:c>
      <x:c r="K97" t="inlineStr">
        <x:is>
          <x:t>/workspaces/training-modules-09-10/output/nationwide-correction-execution-20261011/checkpoints/active-assignments-20261012-v1/ny-history-clock-20261012/CANDIDATE-v5.json#/rows/count-ny_16059_history_felonies-undefined</x:t>
        </x:is>
      </x:c>
      <x:c r="L97" t="inlineStr">
        <x:is>
          <x:t>R Codex; G and H-L review pending</x:t>
        </x:is>
      </x:c>
      <x:c r="M97" t="inlineStr">
        <x:is>
          <x:t>GA-19;GA-21</x:t>
        </x:is>
      </x:c>
      <x:c r="N97" t="inlineStr">
        <x:is>
          <x:t>Bounded engineering result only; all commercial holds; no control closure</x:t>
        </x:is>
      </x:c>
    </x:row>
    <x:row r="98">
      <x:c r="A98" t="inlineStr">
        <x:is>
          <x:t>NY268-count-ny_16059_history_felonies--1</x:t>
        </x:is>
      </x:c>
      <x:c r="B98" t="inlineStr">
        <x:is>
          <x:t>P02-05</x:t>
        </x:is>
      </x:c>
      <x:c r="C98" t="inlineStr">
        <x:is>
          <x:t>NY</x:t>
        </x:is>
      </x:c>
      <x:c r="D98" t="inlineStr">
        <x:is>
          <x:t>NY:discretionary-conviction-sealing-by-petition-under-cpl-160-59</x:t>
        </x:is>
      </x:c>
      <x:c r="E98" t="inlineStr">
        <x:is>
          <x:t>count-ny_16059_history_felonies--1</x:t>
        </x:is>
      </x:c>
      <x:c r="F98" t="inlineStr">
        <x:is>
          <x:t>Local evaluator</x:t>
        </x:is>
      </x:c>
      <x:c r="G98" t="inlineStr">
        <x:is>
          <x:t>EN</x:t>
        </x:is>
      </x:c>
      <x:c r="H98" t="inlineStr">
        <x:is>
          <x:t>933d1ab9a + NY source e3e08af63f6ed16f; pushed SHA in RECEIPT.json</x:t>
        </x:is>
      </x:c>
      <x:c r="I98" t="inlineStr">
        <x:is>
          <x:t>PASS</x:t>
        </x:is>
      </x:c>
      <x:c r="J98" t="inlineStr">
        <x:is>
          <x:t>needs_more_info</x:t>
        </x:is>
      </x:c>
      <x:c r="K98" t="inlineStr">
        <x:is>
          <x:t>/workspaces/training-modules-09-10/output/nationwide-correction-execution-20261011/checkpoints/active-assignments-20261012-v1/ny-history-clock-20261012/CANDIDATE-v5.json#/rows/count-ny_16059_history_felonies--1</x:t>
        </x:is>
      </x:c>
      <x:c r="L98" t="inlineStr">
        <x:is>
          <x:t>R Codex; G and H-L review pending</x:t>
        </x:is>
      </x:c>
      <x:c r="M98" t="inlineStr">
        <x:is>
          <x:t>GA-19;GA-21</x:t>
        </x:is>
      </x:c>
      <x:c r="N98" t="inlineStr">
        <x:is>
          <x:t>Bounded engineering result only; all commercial holds; no control closure</x:t>
        </x:is>
      </x:c>
    </x:row>
    <x:row r="99">
      <x:c r="A99" t="inlineStr">
        <x:is>
          <x:t>NY268-count-ny_16059_history_felonies-0.5</x:t>
        </x:is>
      </x:c>
      <x:c r="B99" t="inlineStr">
        <x:is>
          <x:t>P02-05</x:t>
        </x:is>
      </x:c>
      <x:c r="C99" t="inlineStr">
        <x:is>
          <x:t>NY</x:t>
        </x:is>
      </x:c>
      <x:c r="D99" t="inlineStr">
        <x:is>
          <x:t>NY:discretionary-conviction-sealing-by-petition-under-cpl-160-59</x:t>
        </x:is>
      </x:c>
      <x:c r="E99" t="inlineStr">
        <x:is>
          <x:t>count-ny_16059_history_felonies-0.5</x:t>
        </x:is>
      </x:c>
      <x:c r="F99" t="inlineStr">
        <x:is>
          <x:t>Local evaluator</x:t>
        </x:is>
      </x:c>
      <x:c r="G99" t="inlineStr">
        <x:is>
          <x:t>EN</x:t>
        </x:is>
      </x:c>
      <x:c r="H99" t="inlineStr">
        <x:is>
          <x:t>933d1ab9a + NY source e3e08af63f6ed16f; pushed SHA in RECEIPT.json</x:t>
        </x:is>
      </x:c>
      <x:c r="I99" t="inlineStr">
        <x:is>
          <x:t>PASS</x:t>
        </x:is>
      </x:c>
      <x:c r="J99" t="inlineStr">
        <x:is>
          <x:t>needs_more_info</x:t>
        </x:is>
      </x:c>
      <x:c r="K99" t="inlineStr">
        <x:is>
          <x:t>/workspaces/training-modules-09-10/output/nationwide-correction-execution-20261011/checkpoints/active-assignments-20261012-v1/ny-history-clock-20261012/CANDIDATE-v5.json#/rows/count-ny_16059_history_felonies-0.5</x:t>
        </x:is>
      </x:c>
      <x:c r="L99" t="inlineStr">
        <x:is>
          <x:t>R Codex; G and H-L review pending</x:t>
        </x:is>
      </x:c>
      <x:c r="M99" t="inlineStr">
        <x:is>
          <x:t>GA-19;GA-21</x:t>
        </x:is>
      </x:c>
      <x:c r="N99" t="inlineStr">
        <x:is>
          <x:t>Bounded engineering result only; all commercial holds; no control closure</x:t>
        </x:is>
      </x:c>
    </x:row>
    <x:row r="100">
      <x:c r="A100" t="inlineStr">
        <x:is>
          <x:t>NY268-count-ny_16059_history_felonies-I am not sure</x:t>
        </x:is>
      </x:c>
      <x:c r="B100" t="inlineStr">
        <x:is>
          <x:t>P02-05</x:t>
        </x:is>
      </x:c>
      <x:c r="C100" t="inlineStr">
        <x:is>
          <x:t>NY</x:t>
        </x:is>
      </x:c>
      <x:c r="D100" t="inlineStr">
        <x:is>
          <x:t>NY:discretionary-conviction-sealing-by-petition-under-cpl-160-59</x:t>
        </x:is>
      </x:c>
      <x:c r="E100" t="inlineStr">
        <x:is>
          <x:t>count-ny_16059_history_felonies-I am not sure</x:t>
        </x:is>
      </x:c>
      <x:c r="F100" t="inlineStr">
        <x:is>
          <x:t>Local evaluator</x:t>
        </x:is>
      </x:c>
      <x:c r="G100" t="inlineStr">
        <x:is>
          <x:t>EN</x:t>
        </x:is>
      </x:c>
      <x:c r="H100" t="inlineStr">
        <x:is>
          <x:t>933d1ab9a + NY source e3e08af63f6ed16f; pushed SHA in RECEIPT.json</x:t>
        </x:is>
      </x:c>
      <x:c r="I100" t="inlineStr">
        <x:is>
          <x:t>PASS</x:t>
        </x:is>
      </x:c>
      <x:c r="J100" t="inlineStr">
        <x:is>
          <x:t>needs_more_info</x:t>
        </x:is>
      </x:c>
      <x:c r="K100" t="inlineStr">
        <x:is>
          <x:t>/workspaces/training-modules-09-10/output/nationwide-correction-execution-20261011/checkpoints/active-assignments-20261012-v1/ny-history-clock-20261012/CANDIDATE-v5.json#/rows/count-ny_16059_history_felonies-I am not sure</x:t>
        </x:is>
      </x:c>
      <x:c r="L100" t="inlineStr">
        <x:is>
          <x:t>R Codex; G and H-L review pending</x:t>
        </x:is>
      </x:c>
      <x:c r="M100" t="inlineStr">
        <x:is>
          <x:t>GA-19;GA-21</x:t>
        </x:is>
      </x:c>
      <x:c r="N100" t="inlineStr">
        <x:is>
          <x:t>Bounded engineering result only; all commercial holds; no control closure</x:t>
        </x:is>
      </x:c>
    </x:row>
    <x:row r="101">
      <x:c r="A101" t="inlineStr">
        <x:is>
          <x:t>NY268-count-ny_16059_history_felonies-not a count</x:t>
        </x:is>
      </x:c>
      <x:c r="B101" t="inlineStr">
        <x:is>
          <x:t>P02-05</x:t>
        </x:is>
      </x:c>
      <x:c r="C101" t="inlineStr">
        <x:is>
          <x:t>NY</x:t>
        </x:is>
      </x:c>
      <x:c r="D101" t="inlineStr">
        <x:is>
          <x:t>NY:discretionary-conviction-sealing-by-petition-under-cpl-160-59</x:t>
        </x:is>
      </x:c>
      <x:c r="E101" t="inlineStr">
        <x:is>
          <x:t>count-ny_16059_history_felonies-not a count</x:t>
        </x:is>
      </x:c>
      <x:c r="F101" t="inlineStr">
        <x:is>
          <x:t>Local evaluator</x:t>
        </x:is>
      </x:c>
      <x:c r="G101" t="inlineStr">
        <x:is>
          <x:t>EN</x:t>
        </x:is>
      </x:c>
      <x:c r="H101" t="inlineStr">
        <x:is>
          <x:t>933d1ab9a + NY source e3e08af63f6ed16f; pushed SHA in RECEIPT.json</x:t>
        </x:is>
      </x:c>
      <x:c r="I101" t="inlineStr">
        <x:is>
          <x:t>PASS</x:t>
        </x:is>
      </x:c>
      <x:c r="J101" t="inlineStr">
        <x:is>
          <x:t>needs_more_info</x:t>
        </x:is>
      </x:c>
      <x:c r="K101" t="inlineStr">
        <x:is>
          <x:t>/workspaces/training-modules-09-10/output/nationwide-correction-execution-20261011/checkpoints/active-assignments-20261012-v1/ny-history-clock-20261012/CANDIDATE-v5.json#/rows/count-ny_16059_history_felonies-not a count</x:t>
        </x:is>
      </x:c>
      <x:c r="L101" t="inlineStr">
        <x:is>
          <x:t>R Codex; G and H-L review pending</x:t>
        </x:is>
      </x:c>
      <x:c r="M101" t="inlineStr">
        <x:is>
          <x:t>GA-19;GA-21</x:t>
        </x:is>
      </x:c>
      <x:c r="N101" t="inlineStr">
        <x:is>
          <x:t>Bounded engineering result only; all commercial holds; no control closure</x:t>
        </x:is>
      </x:c>
    </x:row>
    <x:row r="102">
      <x:c r="A102" t="inlineStr">
        <x:is>
          <x:t>NY268-count-ny_16059_history_felonies-</x:t>
        </x:is>
      </x:c>
      <x:c r="B102" t="inlineStr">
        <x:is>
          <x:t>P02-05</x:t>
        </x:is>
      </x:c>
      <x:c r="C102" t="inlineStr">
        <x:is>
          <x:t>NY</x:t>
        </x:is>
      </x:c>
      <x:c r="D102" t="inlineStr">
        <x:is>
          <x:t>NY:discretionary-conviction-sealing-by-petition-under-cpl-160-59</x:t>
        </x:is>
      </x:c>
      <x:c r="E102" t="inlineStr">
        <x:is>
          <x:t>count-ny_16059_history_felonies-</x:t>
        </x:is>
      </x:c>
      <x:c r="F102" t="inlineStr">
        <x:is>
          <x:t>Local evaluator</x:t>
        </x:is>
      </x:c>
      <x:c r="G102" t="inlineStr">
        <x:is>
          <x:t>EN</x:t>
        </x:is>
      </x:c>
      <x:c r="H102" t="inlineStr">
        <x:is>
          <x:t>933d1ab9a + NY source e3e08af63f6ed16f; pushed SHA in RECEIPT.json</x:t>
        </x:is>
      </x:c>
      <x:c r="I102" t="inlineStr">
        <x:is>
          <x:t>PASS</x:t>
        </x:is>
      </x:c>
      <x:c r="J102" t="inlineStr">
        <x:is>
          <x:t>needs_more_info</x:t>
        </x:is>
      </x:c>
      <x:c r="K102" t="inlineStr">
        <x:is>
          <x:t>/workspaces/training-modules-09-10/output/nationwide-correction-execution-20261011/checkpoints/active-assignments-20261012-v1/ny-history-clock-20261012/CANDIDATE-v5.json#/rows/count-ny_16059_history_felonies-</x:t>
        </x:is>
      </x:c>
      <x:c r="L102" t="inlineStr">
        <x:is>
          <x:t>R Codex; G and H-L review pending</x:t>
        </x:is>
      </x:c>
      <x:c r="M102" t="inlineStr">
        <x:is>
          <x:t>GA-19;GA-21</x:t>
        </x:is>
      </x:c>
      <x:c r="N102" t="inlineStr">
        <x:is>
          <x:t>Bounded engineering result only; all commercial holds; no control closure</x:t>
        </x:is>
      </x:c>
    </x:row>
    <x:row r="103">
      <x:c r="A103" t="inlineStr">
        <x:is>
          <x:t>NY268-count-ny_16059_requested_total-undefined</x:t>
        </x:is>
      </x:c>
      <x:c r="B103" t="inlineStr">
        <x:is>
          <x:t>P02-05</x:t>
        </x:is>
      </x:c>
      <x:c r="C103" t="inlineStr">
        <x:is>
          <x:t>NY</x:t>
        </x:is>
      </x:c>
      <x:c r="D103" t="inlineStr">
        <x:is>
          <x:t>NY:discretionary-conviction-sealing-by-petition-under-cpl-160-59</x:t>
        </x:is>
      </x:c>
      <x:c r="E103" t="inlineStr">
        <x:is>
          <x:t>count-ny_16059_requested_total-undefined</x:t>
        </x:is>
      </x:c>
      <x:c r="F103" t="inlineStr">
        <x:is>
          <x:t>Local evaluator</x:t>
        </x:is>
      </x:c>
      <x:c r="G103" t="inlineStr">
        <x:is>
          <x:t>EN</x:t>
        </x:is>
      </x:c>
      <x:c r="H103" t="inlineStr">
        <x:is>
          <x:t>933d1ab9a + NY source e3e08af63f6ed16f; pushed SHA in RECEIPT.json</x:t>
        </x:is>
      </x:c>
      <x:c r="I103" t="inlineStr">
        <x:is>
          <x:t>PASS</x:t>
        </x:is>
      </x:c>
      <x:c r="J103" t="inlineStr">
        <x:is>
          <x:t>needs_more_info</x:t>
        </x:is>
      </x:c>
      <x:c r="K103" t="inlineStr">
        <x:is>
          <x:t>/workspaces/training-modules-09-10/output/nationwide-correction-execution-20261011/checkpoints/active-assignments-20261012-v1/ny-history-clock-20261012/CANDIDATE-v5.json#/rows/count-ny_16059_requested_total-undefined</x:t>
        </x:is>
      </x:c>
      <x:c r="L103" t="inlineStr">
        <x:is>
          <x:t>R Codex; G and H-L review pending</x:t>
        </x:is>
      </x:c>
      <x:c r="M103" t="inlineStr">
        <x:is>
          <x:t>GA-19;GA-21</x:t>
        </x:is>
      </x:c>
      <x:c r="N103" t="inlineStr">
        <x:is>
          <x:t>Bounded engineering result only; all commercial holds; no control closure</x:t>
        </x:is>
      </x:c>
    </x:row>
    <x:row r="104">
      <x:c r="A104" t="inlineStr">
        <x:is>
          <x:t>NY268-count-ny_16059_requested_total--1</x:t>
        </x:is>
      </x:c>
      <x:c r="B104" t="inlineStr">
        <x:is>
          <x:t>P02-05</x:t>
        </x:is>
      </x:c>
      <x:c r="C104" t="inlineStr">
        <x:is>
          <x:t>NY</x:t>
        </x:is>
      </x:c>
      <x:c r="D104" t="inlineStr">
        <x:is>
          <x:t>NY:discretionary-conviction-sealing-by-petition-under-cpl-160-59</x:t>
        </x:is>
      </x:c>
      <x:c r="E104" t="inlineStr">
        <x:is>
          <x:t>count-ny_16059_requested_total--1</x:t>
        </x:is>
      </x:c>
      <x:c r="F104" t="inlineStr">
        <x:is>
          <x:t>Local evaluator</x:t>
        </x:is>
      </x:c>
      <x:c r="G104" t="inlineStr">
        <x:is>
          <x:t>EN</x:t>
        </x:is>
      </x:c>
      <x:c r="H104" t="inlineStr">
        <x:is>
          <x:t>933d1ab9a + NY source e3e08af63f6ed16f; pushed SHA in RECEIPT.json</x:t>
        </x:is>
      </x:c>
      <x:c r="I104" t="inlineStr">
        <x:is>
          <x:t>PASS</x:t>
        </x:is>
      </x:c>
      <x:c r="J104" t="inlineStr">
        <x:is>
          <x:t>needs_more_info</x:t>
        </x:is>
      </x:c>
      <x:c r="K104" t="inlineStr">
        <x:is>
          <x:t>/workspaces/training-modules-09-10/output/nationwide-correction-execution-20261011/checkpoints/active-assignments-20261012-v1/ny-history-clock-20261012/CANDIDATE-v5.json#/rows/count-ny_16059_requested_total--1</x:t>
        </x:is>
      </x:c>
      <x:c r="L104" t="inlineStr">
        <x:is>
          <x:t>R Codex; G and H-L review pending</x:t>
        </x:is>
      </x:c>
      <x:c r="M104" t="inlineStr">
        <x:is>
          <x:t>GA-19;GA-21</x:t>
        </x:is>
      </x:c>
      <x:c r="N104" t="inlineStr">
        <x:is>
          <x:t>Bounded engineering result only; all commercial holds; no control closure</x:t>
        </x:is>
      </x:c>
    </x:row>
    <x:row r="105">
      <x:c r="A105" t="inlineStr">
        <x:is>
          <x:t>NY268-count-ny_16059_requested_total-0.5</x:t>
        </x:is>
      </x:c>
      <x:c r="B105" t="inlineStr">
        <x:is>
          <x:t>P02-05</x:t>
        </x:is>
      </x:c>
      <x:c r="C105" t="inlineStr">
        <x:is>
          <x:t>NY</x:t>
        </x:is>
      </x:c>
      <x:c r="D105" t="inlineStr">
        <x:is>
          <x:t>NY:discretionary-conviction-sealing-by-petition-under-cpl-160-59</x:t>
        </x:is>
      </x:c>
      <x:c r="E105" t="inlineStr">
        <x:is>
          <x:t>count-ny_16059_requested_total-0.5</x:t>
        </x:is>
      </x:c>
      <x:c r="F105" t="inlineStr">
        <x:is>
          <x:t>Local evaluator</x:t>
        </x:is>
      </x:c>
      <x:c r="G105" t="inlineStr">
        <x:is>
          <x:t>EN</x:t>
        </x:is>
      </x:c>
      <x:c r="H105" t="inlineStr">
        <x:is>
          <x:t>933d1ab9a + NY source e3e08af63f6ed16f; pushed SHA in RECEIPT.json</x:t>
        </x:is>
      </x:c>
      <x:c r="I105" t="inlineStr">
        <x:is>
          <x:t>PASS</x:t>
        </x:is>
      </x:c>
      <x:c r="J105" t="inlineStr">
        <x:is>
          <x:t>needs_more_info</x:t>
        </x:is>
      </x:c>
      <x:c r="K105" t="inlineStr">
        <x:is>
          <x:t>/workspaces/training-modules-09-10/output/nationwide-correction-execution-20261011/checkpoints/active-assignments-20261012-v1/ny-history-clock-20261012/CANDIDATE-v5.json#/rows/count-ny_16059_requested_total-0.5</x:t>
        </x:is>
      </x:c>
      <x:c r="L105" t="inlineStr">
        <x:is>
          <x:t>R Codex; G and H-L review pending</x:t>
        </x:is>
      </x:c>
      <x:c r="M105" t="inlineStr">
        <x:is>
          <x:t>GA-19;GA-21</x:t>
        </x:is>
      </x:c>
      <x:c r="N105" t="inlineStr">
        <x:is>
          <x:t>Bounded engineering result only; all commercial holds; no control closure</x:t>
        </x:is>
      </x:c>
    </x:row>
    <x:row r="106">
      <x:c r="A106" t="inlineStr">
        <x:is>
          <x:t>NY268-count-ny_16059_requested_total-I am not sure</x:t>
        </x:is>
      </x:c>
      <x:c r="B106" t="inlineStr">
        <x:is>
          <x:t>P02-05</x:t>
        </x:is>
      </x:c>
      <x:c r="C106" t="inlineStr">
        <x:is>
          <x:t>NY</x:t>
        </x:is>
      </x:c>
      <x:c r="D106" t="inlineStr">
        <x:is>
          <x:t>NY:discretionary-conviction-sealing-by-petition-under-cpl-160-59</x:t>
        </x:is>
      </x:c>
      <x:c r="E106" t="inlineStr">
        <x:is>
          <x:t>count-ny_16059_requested_total-I am not sure</x:t>
        </x:is>
      </x:c>
      <x:c r="F106" t="inlineStr">
        <x:is>
          <x:t>Local evaluator</x:t>
        </x:is>
      </x:c>
      <x:c r="G106" t="inlineStr">
        <x:is>
          <x:t>EN</x:t>
        </x:is>
      </x:c>
      <x:c r="H106" t="inlineStr">
        <x:is>
          <x:t>933d1ab9a + NY source e3e08af63f6ed16f; pushed SHA in RECEIPT.json</x:t>
        </x:is>
      </x:c>
      <x:c r="I106" t="inlineStr">
        <x:is>
          <x:t>PASS</x:t>
        </x:is>
      </x:c>
      <x:c r="J106" t="inlineStr">
        <x:is>
          <x:t>needs_more_info</x:t>
        </x:is>
      </x:c>
      <x:c r="K106" t="inlineStr">
        <x:is>
          <x:t>/workspaces/training-modules-09-10/output/nationwide-correction-execution-20261011/checkpoints/active-assignments-20261012-v1/ny-history-clock-20261012/CANDIDATE-v5.json#/rows/count-ny_16059_requested_total-I am not sure</x:t>
        </x:is>
      </x:c>
      <x:c r="L106" t="inlineStr">
        <x:is>
          <x:t>R Codex; G and H-L review pending</x:t>
        </x:is>
      </x:c>
      <x:c r="M106" t="inlineStr">
        <x:is>
          <x:t>GA-19;GA-21</x:t>
        </x:is>
      </x:c>
      <x:c r="N106" t="inlineStr">
        <x:is>
          <x:t>Bounded engineering result only; all commercial holds; no control closure</x:t>
        </x:is>
      </x:c>
    </x:row>
    <x:row r="107">
      <x:c r="A107" t="inlineStr">
        <x:is>
          <x:t>NY268-count-ny_16059_requested_total-not a count</x:t>
        </x:is>
      </x:c>
      <x:c r="B107" t="inlineStr">
        <x:is>
          <x:t>P02-05</x:t>
        </x:is>
      </x:c>
      <x:c r="C107" t="inlineStr">
        <x:is>
          <x:t>NY</x:t>
        </x:is>
      </x:c>
      <x:c r="D107" t="inlineStr">
        <x:is>
          <x:t>NY:discretionary-conviction-sealing-by-petition-under-cpl-160-59</x:t>
        </x:is>
      </x:c>
      <x:c r="E107" t="inlineStr">
        <x:is>
          <x:t>count-ny_16059_requested_total-not a count</x:t>
        </x:is>
      </x:c>
      <x:c r="F107" t="inlineStr">
        <x:is>
          <x:t>Local evaluator</x:t>
        </x:is>
      </x:c>
      <x:c r="G107" t="inlineStr">
        <x:is>
          <x:t>EN</x:t>
        </x:is>
      </x:c>
      <x:c r="H107" t="inlineStr">
        <x:is>
          <x:t>933d1ab9a + NY source e3e08af63f6ed16f; pushed SHA in RECEIPT.json</x:t>
        </x:is>
      </x:c>
      <x:c r="I107" t="inlineStr">
        <x:is>
          <x:t>PASS</x:t>
        </x:is>
      </x:c>
      <x:c r="J107" t="inlineStr">
        <x:is>
          <x:t>needs_more_info</x:t>
        </x:is>
      </x:c>
      <x:c r="K107" t="inlineStr">
        <x:is>
          <x:t>/workspaces/training-modules-09-10/output/nationwide-correction-execution-20261011/checkpoints/active-assignments-20261012-v1/ny-history-clock-20261012/CANDIDATE-v5.json#/rows/count-ny_16059_requested_total-not a count</x:t>
        </x:is>
      </x:c>
      <x:c r="L107" t="inlineStr">
        <x:is>
          <x:t>R Codex; G and H-L review pending</x:t>
        </x:is>
      </x:c>
      <x:c r="M107" t="inlineStr">
        <x:is>
          <x:t>GA-19;GA-21</x:t>
        </x:is>
      </x:c>
      <x:c r="N107" t="inlineStr">
        <x:is>
          <x:t>Bounded engineering result only; all commercial holds; no control closure</x:t>
        </x:is>
      </x:c>
    </x:row>
    <x:row r="108">
      <x:c r="A108" t="inlineStr">
        <x:is>
          <x:t>NY268-count-ny_16059_requested_total-</x:t>
        </x:is>
      </x:c>
      <x:c r="B108" t="inlineStr">
        <x:is>
          <x:t>P02-05</x:t>
        </x:is>
      </x:c>
      <x:c r="C108" t="inlineStr">
        <x:is>
          <x:t>NY</x:t>
        </x:is>
      </x:c>
      <x:c r="D108" t="inlineStr">
        <x:is>
          <x:t>NY:discretionary-conviction-sealing-by-petition-under-cpl-160-59</x:t>
        </x:is>
      </x:c>
      <x:c r="E108" t="inlineStr">
        <x:is>
          <x:t>count-ny_16059_requested_total-</x:t>
        </x:is>
      </x:c>
      <x:c r="F108" t="inlineStr">
        <x:is>
          <x:t>Local evaluator</x:t>
        </x:is>
      </x:c>
      <x:c r="G108" t="inlineStr">
        <x:is>
          <x:t>EN</x:t>
        </x:is>
      </x:c>
      <x:c r="H108" t="inlineStr">
        <x:is>
          <x:t>933d1ab9a + NY source e3e08af63f6ed16f; pushed SHA in RECEIPT.json</x:t>
        </x:is>
      </x:c>
      <x:c r="I108" t="inlineStr">
        <x:is>
          <x:t>PASS</x:t>
        </x:is>
      </x:c>
      <x:c r="J108" t="inlineStr">
        <x:is>
          <x:t>needs_more_info</x:t>
        </x:is>
      </x:c>
      <x:c r="K108" t="inlineStr">
        <x:is>
          <x:t>/workspaces/training-modules-09-10/output/nationwide-correction-execution-20261011/checkpoints/active-assignments-20261012-v1/ny-history-clock-20261012/CANDIDATE-v5.json#/rows/count-ny_16059_requested_total-</x:t>
        </x:is>
      </x:c>
      <x:c r="L108" t="inlineStr">
        <x:is>
          <x:t>R Codex; G and H-L review pending</x:t>
        </x:is>
      </x:c>
      <x:c r="M108" t="inlineStr">
        <x:is>
          <x:t>GA-19;GA-21</x:t>
        </x:is>
      </x:c>
      <x:c r="N108" t="inlineStr">
        <x:is>
          <x:t>Bounded engineering result only; all commercial holds; no control closure</x:t>
        </x:is>
      </x:c>
    </x:row>
    <x:row r="109">
      <x:c r="A109" t="inlineStr">
        <x:is>
          <x:t>NY268-count-ny_16059_requested_felonies-undefined</x:t>
        </x:is>
      </x:c>
      <x:c r="B109" t="inlineStr">
        <x:is>
          <x:t>P02-05</x:t>
        </x:is>
      </x:c>
      <x:c r="C109" t="inlineStr">
        <x:is>
          <x:t>NY</x:t>
        </x:is>
      </x:c>
      <x:c r="D109" t="inlineStr">
        <x:is>
          <x:t>NY:discretionary-conviction-sealing-by-petition-under-cpl-160-59</x:t>
        </x:is>
      </x:c>
      <x:c r="E109" t="inlineStr">
        <x:is>
          <x:t>count-ny_16059_requested_felonies-undefined</x:t>
        </x:is>
      </x:c>
      <x:c r="F109" t="inlineStr">
        <x:is>
          <x:t>Local evaluator</x:t>
        </x:is>
      </x:c>
      <x:c r="G109" t="inlineStr">
        <x:is>
          <x:t>EN</x:t>
        </x:is>
      </x:c>
      <x:c r="H109" t="inlineStr">
        <x:is>
          <x:t>933d1ab9a + NY source e3e08af63f6ed16f; pushed SHA in RECEIPT.json</x:t>
        </x:is>
      </x:c>
      <x:c r="I109" t="inlineStr">
        <x:is>
          <x:t>PASS</x:t>
        </x:is>
      </x:c>
      <x:c r="J109" t="inlineStr">
        <x:is>
          <x:t>needs_more_info</x:t>
        </x:is>
      </x:c>
      <x:c r="K109" t="inlineStr">
        <x:is>
          <x:t>/workspaces/training-modules-09-10/output/nationwide-correction-execution-20261011/checkpoints/active-assignments-20261012-v1/ny-history-clock-20261012/CANDIDATE-v5.json#/rows/count-ny_16059_requested_felonies-undefined</x:t>
        </x:is>
      </x:c>
      <x:c r="L109" t="inlineStr">
        <x:is>
          <x:t>R Codex; G and H-L review pending</x:t>
        </x:is>
      </x:c>
      <x:c r="M109" t="inlineStr">
        <x:is>
          <x:t>GA-19;GA-21</x:t>
        </x:is>
      </x:c>
      <x:c r="N109" t="inlineStr">
        <x:is>
          <x:t>Bounded engineering result only; all commercial holds; no control closure</x:t>
        </x:is>
      </x:c>
    </x:row>
    <x:row r="110">
      <x:c r="A110" t="inlineStr">
        <x:is>
          <x:t>NY268-count-ny_16059_requested_felonies--1</x:t>
        </x:is>
      </x:c>
      <x:c r="B110" t="inlineStr">
        <x:is>
          <x:t>P02-05</x:t>
        </x:is>
      </x:c>
      <x:c r="C110" t="inlineStr">
        <x:is>
          <x:t>NY</x:t>
        </x:is>
      </x:c>
      <x:c r="D110" t="inlineStr">
        <x:is>
          <x:t>NY:discretionary-conviction-sealing-by-petition-under-cpl-160-59</x:t>
        </x:is>
      </x:c>
      <x:c r="E110" t="inlineStr">
        <x:is>
          <x:t>count-ny_16059_requested_felonies--1</x:t>
        </x:is>
      </x:c>
      <x:c r="F110" t="inlineStr">
        <x:is>
          <x:t>Local evaluator</x:t>
        </x:is>
      </x:c>
      <x:c r="G110" t="inlineStr">
        <x:is>
          <x:t>EN</x:t>
        </x:is>
      </x:c>
      <x:c r="H110" t="inlineStr">
        <x:is>
          <x:t>933d1ab9a + NY source e3e08af63f6ed16f; pushed SHA in RECEIPT.json</x:t>
        </x:is>
      </x:c>
      <x:c r="I110" t="inlineStr">
        <x:is>
          <x:t>PASS</x:t>
        </x:is>
      </x:c>
      <x:c r="J110" t="inlineStr">
        <x:is>
          <x:t>needs_more_info</x:t>
        </x:is>
      </x:c>
      <x:c r="K110" t="inlineStr">
        <x:is>
          <x:t>/workspaces/training-modules-09-10/output/nationwide-correction-execution-20261011/checkpoints/active-assignments-20261012-v1/ny-history-clock-20261012/CANDIDATE-v5.json#/rows/count-ny_16059_requested_felonies--1</x:t>
        </x:is>
      </x:c>
      <x:c r="L110" t="inlineStr">
        <x:is>
          <x:t>R Codex; G and H-L review pending</x:t>
        </x:is>
      </x:c>
      <x:c r="M110" t="inlineStr">
        <x:is>
          <x:t>GA-19;GA-21</x:t>
        </x:is>
      </x:c>
      <x:c r="N110" t="inlineStr">
        <x:is>
          <x:t>Bounded engineering result only; all commercial holds; no control closure</x:t>
        </x:is>
      </x:c>
    </x:row>
    <x:row r="111">
      <x:c r="A111" t="inlineStr">
        <x:is>
          <x:t>NY268-count-ny_16059_requested_felonies-0.5</x:t>
        </x:is>
      </x:c>
      <x:c r="B111" t="inlineStr">
        <x:is>
          <x:t>P02-05</x:t>
        </x:is>
      </x:c>
      <x:c r="C111" t="inlineStr">
        <x:is>
          <x:t>NY</x:t>
        </x:is>
      </x:c>
      <x:c r="D111" t="inlineStr">
        <x:is>
          <x:t>NY:discretionary-conviction-sealing-by-petition-under-cpl-160-59</x:t>
        </x:is>
      </x:c>
      <x:c r="E111" t="inlineStr">
        <x:is>
          <x:t>count-ny_16059_requested_felonies-0.5</x:t>
        </x:is>
      </x:c>
      <x:c r="F111" t="inlineStr">
        <x:is>
          <x:t>Local evaluator</x:t>
        </x:is>
      </x:c>
      <x:c r="G111" t="inlineStr">
        <x:is>
          <x:t>EN</x:t>
        </x:is>
      </x:c>
      <x:c r="H111" t="inlineStr">
        <x:is>
          <x:t>933d1ab9a + NY source e3e08af63f6ed16f; pushed SHA in RECEIPT.json</x:t>
        </x:is>
      </x:c>
      <x:c r="I111" t="inlineStr">
        <x:is>
          <x:t>PASS</x:t>
        </x:is>
      </x:c>
      <x:c r="J111" t="inlineStr">
        <x:is>
          <x:t>needs_more_info</x:t>
        </x:is>
      </x:c>
      <x:c r="K111" t="inlineStr">
        <x:is>
          <x:t>/workspaces/training-modules-09-10/output/nationwide-correction-execution-20261011/checkpoints/active-assignments-20261012-v1/ny-history-clock-20261012/CANDIDATE-v5.json#/rows/count-ny_16059_requested_felonies-0.5</x:t>
        </x:is>
      </x:c>
      <x:c r="L111" t="inlineStr">
        <x:is>
          <x:t>R Codex; G and H-L review pending</x:t>
        </x:is>
      </x:c>
      <x:c r="M111" t="inlineStr">
        <x:is>
          <x:t>GA-19;GA-21</x:t>
        </x:is>
      </x:c>
      <x:c r="N111" t="inlineStr">
        <x:is>
          <x:t>Bounded engineering result only; all commercial holds; no control closure</x:t>
        </x:is>
      </x:c>
    </x:row>
    <x:row r="112">
      <x:c r="A112" t="inlineStr">
        <x:is>
          <x:t>NY268-count-ny_16059_requested_felonies-I am not sure</x:t>
        </x:is>
      </x:c>
      <x:c r="B112" t="inlineStr">
        <x:is>
          <x:t>P02-05</x:t>
        </x:is>
      </x:c>
      <x:c r="C112" t="inlineStr">
        <x:is>
          <x:t>NY</x:t>
        </x:is>
      </x:c>
      <x:c r="D112" t="inlineStr">
        <x:is>
          <x:t>NY:discretionary-conviction-sealing-by-petition-under-cpl-160-59</x:t>
        </x:is>
      </x:c>
      <x:c r="E112" t="inlineStr">
        <x:is>
          <x:t>count-ny_16059_requested_felonies-I am not sure</x:t>
        </x:is>
      </x:c>
      <x:c r="F112" t="inlineStr">
        <x:is>
          <x:t>Local evaluator</x:t>
        </x:is>
      </x:c>
      <x:c r="G112" t="inlineStr">
        <x:is>
          <x:t>EN</x:t>
        </x:is>
      </x:c>
      <x:c r="H112" t="inlineStr">
        <x:is>
          <x:t>933d1ab9a + NY source e3e08af63f6ed16f; pushed SHA in RECEIPT.json</x:t>
        </x:is>
      </x:c>
      <x:c r="I112" t="inlineStr">
        <x:is>
          <x:t>PASS</x:t>
        </x:is>
      </x:c>
      <x:c r="J112" t="inlineStr">
        <x:is>
          <x:t>needs_more_info</x:t>
        </x:is>
      </x:c>
      <x:c r="K112" t="inlineStr">
        <x:is>
          <x:t>/workspaces/training-modules-09-10/output/nationwide-correction-execution-20261011/checkpoints/active-assignments-20261012-v1/ny-history-clock-20261012/CANDIDATE-v5.json#/rows/count-ny_16059_requested_felonies-I am not sure</x:t>
        </x:is>
      </x:c>
      <x:c r="L112" t="inlineStr">
        <x:is>
          <x:t>R Codex; G and H-L review pending</x:t>
        </x:is>
      </x:c>
      <x:c r="M112" t="inlineStr">
        <x:is>
          <x:t>GA-19;GA-21</x:t>
        </x:is>
      </x:c>
      <x:c r="N112" t="inlineStr">
        <x:is>
          <x:t>Bounded engineering result only; all commercial holds; no control closure</x:t>
        </x:is>
      </x:c>
    </x:row>
    <x:row r="113">
      <x:c r="A113" t="inlineStr">
        <x:is>
          <x:t>NY268-count-ny_16059_requested_felonies-not a count</x:t>
        </x:is>
      </x:c>
      <x:c r="B113" t="inlineStr">
        <x:is>
          <x:t>P02-05</x:t>
        </x:is>
      </x:c>
      <x:c r="C113" t="inlineStr">
        <x:is>
          <x:t>NY</x:t>
        </x:is>
      </x:c>
      <x:c r="D113" t="inlineStr">
        <x:is>
          <x:t>NY:discretionary-conviction-sealing-by-petition-under-cpl-160-59</x:t>
        </x:is>
      </x:c>
      <x:c r="E113" t="inlineStr">
        <x:is>
          <x:t>count-ny_16059_requested_felonies-not a count</x:t>
        </x:is>
      </x:c>
      <x:c r="F113" t="inlineStr">
        <x:is>
          <x:t>Local evaluator</x:t>
        </x:is>
      </x:c>
      <x:c r="G113" t="inlineStr">
        <x:is>
          <x:t>EN</x:t>
        </x:is>
      </x:c>
      <x:c r="H113" t="inlineStr">
        <x:is>
          <x:t>933d1ab9a + NY source e3e08af63f6ed16f; pushed SHA in RECEIPT.json</x:t>
        </x:is>
      </x:c>
      <x:c r="I113" t="inlineStr">
        <x:is>
          <x:t>PASS</x:t>
        </x:is>
      </x:c>
      <x:c r="J113" t="inlineStr">
        <x:is>
          <x:t>needs_more_info</x:t>
        </x:is>
      </x:c>
      <x:c r="K113" t="inlineStr">
        <x:is>
          <x:t>/workspaces/training-modules-09-10/output/nationwide-correction-execution-20261011/checkpoints/active-assignments-20261012-v1/ny-history-clock-20261012/CANDIDATE-v5.json#/rows/count-ny_16059_requested_felonies-not a count</x:t>
        </x:is>
      </x:c>
      <x:c r="L113" t="inlineStr">
        <x:is>
          <x:t>R Codex; G and H-L review pending</x:t>
        </x:is>
      </x:c>
      <x:c r="M113" t="inlineStr">
        <x:is>
          <x:t>GA-19;GA-21</x:t>
        </x:is>
      </x:c>
      <x:c r="N113" t="inlineStr">
        <x:is>
          <x:t>Bounded engineering result only; all commercial holds; no control closure</x:t>
        </x:is>
      </x:c>
    </x:row>
    <x:row r="114">
      <x:c r="A114" t="inlineStr">
        <x:is>
          <x:t>NY268-count-ny_16059_requested_felonies-</x:t>
        </x:is>
      </x:c>
      <x:c r="B114" t="inlineStr">
        <x:is>
          <x:t>P02-05</x:t>
        </x:is>
      </x:c>
      <x:c r="C114" t="inlineStr">
        <x:is>
          <x:t>NY</x:t>
        </x:is>
      </x:c>
      <x:c r="D114" t="inlineStr">
        <x:is>
          <x:t>NY:discretionary-conviction-sealing-by-petition-under-cpl-160-59</x:t>
        </x:is>
      </x:c>
      <x:c r="E114" t="inlineStr">
        <x:is>
          <x:t>count-ny_16059_requested_felonies-</x:t>
        </x:is>
      </x:c>
      <x:c r="F114" t="inlineStr">
        <x:is>
          <x:t>Local evaluator</x:t>
        </x:is>
      </x:c>
      <x:c r="G114" t="inlineStr">
        <x:is>
          <x:t>EN</x:t>
        </x:is>
      </x:c>
      <x:c r="H114" t="inlineStr">
        <x:is>
          <x:t>933d1ab9a + NY source e3e08af63f6ed16f; pushed SHA in RECEIPT.json</x:t>
        </x:is>
      </x:c>
      <x:c r="I114" t="inlineStr">
        <x:is>
          <x:t>PASS</x:t>
        </x:is>
      </x:c>
      <x:c r="J114" t="inlineStr">
        <x:is>
          <x:t>needs_more_info</x:t>
        </x:is>
      </x:c>
      <x:c r="K114" t="inlineStr">
        <x:is>
          <x:t>/workspaces/training-modules-09-10/output/nationwide-correction-execution-20261011/checkpoints/active-assignments-20261012-v1/ny-history-clock-20261012/CANDIDATE-v5.json#/rows/count-ny_16059_requested_felonies-</x:t>
        </x:is>
      </x:c>
      <x:c r="L114" t="inlineStr">
        <x:is>
          <x:t>R Codex; G and H-L review pending</x:t>
        </x:is>
      </x:c>
      <x:c r="M114" t="inlineStr">
        <x:is>
          <x:t>GA-19;GA-21</x:t>
        </x:is>
      </x:c>
      <x:c r="N114" t="inlineStr">
        <x:is>
          <x:t>Bounded engineering result only; all commercial holds; no control closure</x:t>
        </x:is>
      </x:c>
    </x:row>
    <x:row r="115">
      <x:c r="A115" t="inlineStr">
        <x:is>
          <x:t>NY268-count-ny_16059_granted_total-undefined</x:t>
        </x:is>
      </x:c>
      <x:c r="B115" t="inlineStr">
        <x:is>
          <x:t>P02-05</x:t>
        </x:is>
      </x:c>
      <x:c r="C115" t="inlineStr">
        <x:is>
          <x:t>NY</x:t>
        </x:is>
      </x:c>
      <x:c r="D115" t="inlineStr">
        <x:is>
          <x:t>NY:discretionary-conviction-sealing-by-petition-under-cpl-160-59</x:t>
        </x:is>
      </x:c>
      <x:c r="E115" t="inlineStr">
        <x:is>
          <x:t>count-ny_16059_granted_total-undefined</x:t>
        </x:is>
      </x:c>
      <x:c r="F115" t="inlineStr">
        <x:is>
          <x:t>Local evaluator</x:t>
        </x:is>
      </x:c>
      <x:c r="G115" t="inlineStr">
        <x:is>
          <x:t>EN</x:t>
        </x:is>
      </x:c>
      <x:c r="H115" t="inlineStr">
        <x:is>
          <x:t>933d1ab9a + NY source e3e08af63f6ed16f; pushed SHA in RECEIPT.json</x:t>
        </x:is>
      </x:c>
      <x:c r="I115" t="inlineStr">
        <x:is>
          <x:t>PASS</x:t>
        </x:is>
      </x:c>
      <x:c r="J115" t="inlineStr">
        <x:is>
          <x:t>needs_more_info</x:t>
        </x:is>
      </x:c>
      <x:c r="K115" t="inlineStr">
        <x:is>
          <x:t>/workspaces/training-modules-09-10/output/nationwide-correction-execution-20261011/checkpoints/active-assignments-20261012-v1/ny-history-clock-20261012/CANDIDATE-v5.json#/rows/count-ny_16059_granted_total-undefined</x:t>
        </x:is>
      </x:c>
      <x:c r="L115" t="inlineStr">
        <x:is>
          <x:t>R Codex; G and H-L review pending</x:t>
        </x:is>
      </x:c>
      <x:c r="M115" t="inlineStr">
        <x:is>
          <x:t>GA-19;GA-21</x:t>
        </x:is>
      </x:c>
      <x:c r="N115" t="inlineStr">
        <x:is>
          <x:t>Bounded engineering result only; all commercial holds; no control closure</x:t>
        </x:is>
      </x:c>
    </x:row>
    <x:row r="116">
      <x:c r="A116" t="inlineStr">
        <x:is>
          <x:t>NY268-count-ny_16059_granted_total--1</x:t>
        </x:is>
      </x:c>
      <x:c r="B116" t="inlineStr">
        <x:is>
          <x:t>P02-05</x:t>
        </x:is>
      </x:c>
      <x:c r="C116" t="inlineStr">
        <x:is>
          <x:t>NY</x:t>
        </x:is>
      </x:c>
      <x:c r="D116" t="inlineStr">
        <x:is>
          <x:t>NY:discretionary-conviction-sealing-by-petition-under-cpl-160-59</x:t>
        </x:is>
      </x:c>
      <x:c r="E116" t="inlineStr">
        <x:is>
          <x:t>count-ny_16059_granted_total--1</x:t>
        </x:is>
      </x:c>
      <x:c r="F116" t="inlineStr">
        <x:is>
          <x:t>Local evaluator</x:t>
        </x:is>
      </x:c>
      <x:c r="G116" t="inlineStr">
        <x:is>
          <x:t>EN</x:t>
        </x:is>
      </x:c>
      <x:c r="H116" t="inlineStr">
        <x:is>
          <x:t>933d1ab9a + NY source e3e08af63f6ed16f; pushed SHA in RECEIPT.json</x:t>
        </x:is>
      </x:c>
      <x:c r="I116" t="inlineStr">
        <x:is>
          <x:t>PASS</x:t>
        </x:is>
      </x:c>
      <x:c r="J116" t="inlineStr">
        <x:is>
          <x:t>needs_more_info</x:t>
        </x:is>
      </x:c>
      <x:c r="K116" t="inlineStr">
        <x:is>
          <x:t>/workspaces/training-modules-09-10/output/nationwide-correction-execution-20261011/checkpoints/active-assignments-20261012-v1/ny-history-clock-20261012/CANDIDATE-v5.json#/rows/count-ny_16059_granted_total--1</x:t>
        </x:is>
      </x:c>
      <x:c r="L116" t="inlineStr">
        <x:is>
          <x:t>R Codex; G and H-L review pending</x:t>
        </x:is>
      </x:c>
      <x:c r="M116" t="inlineStr">
        <x:is>
          <x:t>GA-19;GA-21</x:t>
        </x:is>
      </x:c>
      <x:c r="N116" t="inlineStr">
        <x:is>
          <x:t>Bounded engineering result only; all commercial holds; no control closure</x:t>
        </x:is>
      </x:c>
    </x:row>
    <x:row r="117">
      <x:c r="A117" t="inlineStr">
        <x:is>
          <x:t>NY268-count-ny_16059_granted_total-0.5</x:t>
        </x:is>
      </x:c>
      <x:c r="B117" t="inlineStr">
        <x:is>
          <x:t>P02-05</x:t>
        </x:is>
      </x:c>
      <x:c r="C117" t="inlineStr">
        <x:is>
          <x:t>NY</x:t>
        </x:is>
      </x:c>
      <x:c r="D117" t="inlineStr">
        <x:is>
          <x:t>NY:discretionary-conviction-sealing-by-petition-under-cpl-160-59</x:t>
        </x:is>
      </x:c>
      <x:c r="E117" t="inlineStr">
        <x:is>
          <x:t>count-ny_16059_granted_total-0.5</x:t>
        </x:is>
      </x:c>
      <x:c r="F117" t="inlineStr">
        <x:is>
          <x:t>Local evaluator</x:t>
        </x:is>
      </x:c>
      <x:c r="G117" t="inlineStr">
        <x:is>
          <x:t>EN</x:t>
        </x:is>
      </x:c>
      <x:c r="H117" t="inlineStr">
        <x:is>
          <x:t>933d1ab9a + NY source e3e08af63f6ed16f; pushed SHA in RECEIPT.json</x:t>
        </x:is>
      </x:c>
      <x:c r="I117" t="inlineStr">
        <x:is>
          <x:t>PASS</x:t>
        </x:is>
      </x:c>
      <x:c r="J117" t="inlineStr">
        <x:is>
          <x:t>needs_more_info</x:t>
        </x:is>
      </x:c>
      <x:c r="K117" t="inlineStr">
        <x:is>
          <x:t>/workspaces/training-modules-09-10/output/nationwide-correction-execution-20261011/checkpoints/active-assignments-20261012-v1/ny-history-clock-20261012/CANDIDATE-v5.json#/rows/count-ny_16059_granted_total-0.5</x:t>
        </x:is>
      </x:c>
      <x:c r="L117" t="inlineStr">
        <x:is>
          <x:t>R Codex; G and H-L review pending</x:t>
        </x:is>
      </x:c>
      <x:c r="M117" t="inlineStr">
        <x:is>
          <x:t>GA-19;GA-21</x:t>
        </x:is>
      </x:c>
      <x:c r="N117" t="inlineStr">
        <x:is>
          <x:t>Bounded engineering result only; all commercial holds; no control closure</x:t>
        </x:is>
      </x:c>
    </x:row>
    <x:row r="118">
      <x:c r="A118" t="inlineStr">
        <x:is>
          <x:t>NY268-count-ny_16059_granted_total-I am not sure</x:t>
        </x:is>
      </x:c>
      <x:c r="B118" t="inlineStr">
        <x:is>
          <x:t>P02-05</x:t>
        </x:is>
      </x:c>
      <x:c r="C118" t="inlineStr">
        <x:is>
          <x:t>NY</x:t>
        </x:is>
      </x:c>
      <x:c r="D118" t="inlineStr">
        <x:is>
          <x:t>NY:discretionary-conviction-sealing-by-petition-under-cpl-160-59</x:t>
        </x:is>
      </x:c>
      <x:c r="E118" t="inlineStr">
        <x:is>
          <x:t>count-ny_16059_granted_total-I am not sure</x:t>
        </x:is>
      </x:c>
      <x:c r="F118" t="inlineStr">
        <x:is>
          <x:t>Local evaluator</x:t>
        </x:is>
      </x:c>
      <x:c r="G118" t="inlineStr">
        <x:is>
          <x:t>EN</x:t>
        </x:is>
      </x:c>
      <x:c r="H118" t="inlineStr">
        <x:is>
          <x:t>933d1ab9a + NY source e3e08af63f6ed16f; pushed SHA in RECEIPT.json</x:t>
        </x:is>
      </x:c>
      <x:c r="I118" t="inlineStr">
        <x:is>
          <x:t>PASS</x:t>
        </x:is>
      </x:c>
      <x:c r="J118" t="inlineStr">
        <x:is>
          <x:t>needs_more_info</x:t>
        </x:is>
      </x:c>
      <x:c r="K118" t="inlineStr">
        <x:is>
          <x:t>/workspaces/training-modules-09-10/output/nationwide-correction-execution-20261011/checkpoints/active-assignments-20261012-v1/ny-history-clock-20261012/CANDIDATE-v5.json#/rows/count-ny_16059_granted_total-I am not sure</x:t>
        </x:is>
      </x:c>
      <x:c r="L118" t="inlineStr">
        <x:is>
          <x:t>R Codex; G and H-L review pending</x:t>
        </x:is>
      </x:c>
      <x:c r="M118" t="inlineStr">
        <x:is>
          <x:t>GA-19;GA-21</x:t>
        </x:is>
      </x:c>
      <x:c r="N118" t="inlineStr">
        <x:is>
          <x:t>Bounded engineering result only; all commercial holds; no control closure</x:t>
        </x:is>
      </x:c>
    </x:row>
    <x:row r="119">
      <x:c r="A119" t="inlineStr">
        <x:is>
          <x:t>NY268-count-ny_16059_granted_total-not a count</x:t>
        </x:is>
      </x:c>
      <x:c r="B119" t="inlineStr">
        <x:is>
          <x:t>P02-05</x:t>
        </x:is>
      </x:c>
      <x:c r="C119" t="inlineStr">
        <x:is>
          <x:t>NY</x:t>
        </x:is>
      </x:c>
      <x:c r="D119" t="inlineStr">
        <x:is>
          <x:t>NY:discretionary-conviction-sealing-by-petition-under-cpl-160-59</x:t>
        </x:is>
      </x:c>
      <x:c r="E119" t="inlineStr">
        <x:is>
          <x:t>count-ny_16059_granted_total-not a count</x:t>
        </x:is>
      </x:c>
      <x:c r="F119" t="inlineStr">
        <x:is>
          <x:t>Local evaluator</x:t>
        </x:is>
      </x:c>
      <x:c r="G119" t="inlineStr">
        <x:is>
          <x:t>EN</x:t>
        </x:is>
      </x:c>
      <x:c r="H119" t="inlineStr">
        <x:is>
          <x:t>933d1ab9a + NY source e3e08af63f6ed16f; pushed SHA in RECEIPT.json</x:t>
        </x:is>
      </x:c>
      <x:c r="I119" t="inlineStr">
        <x:is>
          <x:t>PASS</x:t>
        </x:is>
      </x:c>
      <x:c r="J119" t="inlineStr">
        <x:is>
          <x:t>needs_more_info</x:t>
        </x:is>
      </x:c>
      <x:c r="K119" t="inlineStr">
        <x:is>
          <x:t>/workspaces/training-modules-09-10/output/nationwide-correction-execution-20261011/checkpoints/active-assignments-20261012-v1/ny-history-clock-20261012/CANDIDATE-v5.json#/rows/count-ny_16059_granted_total-not a count</x:t>
        </x:is>
      </x:c>
      <x:c r="L119" t="inlineStr">
        <x:is>
          <x:t>R Codex; G and H-L review pending</x:t>
        </x:is>
      </x:c>
      <x:c r="M119" t="inlineStr">
        <x:is>
          <x:t>GA-19;GA-21</x:t>
        </x:is>
      </x:c>
      <x:c r="N119" t="inlineStr">
        <x:is>
          <x:t>Bounded engineering result only; all commercial holds; no control closure</x:t>
        </x:is>
      </x:c>
    </x:row>
    <x:row r="120">
      <x:c r="A120" t="inlineStr">
        <x:is>
          <x:t>NY268-count-ny_16059_granted_total-</x:t>
        </x:is>
      </x:c>
      <x:c r="B120" t="inlineStr">
        <x:is>
          <x:t>P02-05</x:t>
        </x:is>
      </x:c>
      <x:c r="C120" t="inlineStr">
        <x:is>
          <x:t>NY</x:t>
        </x:is>
      </x:c>
      <x:c r="D120" t="inlineStr">
        <x:is>
          <x:t>NY:discretionary-conviction-sealing-by-petition-under-cpl-160-59</x:t>
        </x:is>
      </x:c>
      <x:c r="E120" t="inlineStr">
        <x:is>
          <x:t>count-ny_16059_granted_total-</x:t>
        </x:is>
      </x:c>
      <x:c r="F120" t="inlineStr">
        <x:is>
          <x:t>Local evaluator</x:t>
        </x:is>
      </x:c>
      <x:c r="G120" t="inlineStr">
        <x:is>
          <x:t>EN</x:t>
        </x:is>
      </x:c>
      <x:c r="H120" t="inlineStr">
        <x:is>
          <x:t>933d1ab9a + NY source e3e08af63f6ed16f; pushed SHA in RECEIPT.json</x:t>
        </x:is>
      </x:c>
      <x:c r="I120" t="inlineStr">
        <x:is>
          <x:t>PASS</x:t>
        </x:is>
      </x:c>
      <x:c r="J120" t="inlineStr">
        <x:is>
          <x:t>needs_more_info</x:t>
        </x:is>
      </x:c>
      <x:c r="K120" t="inlineStr">
        <x:is>
          <x:t>/workspaces/training-modules-09-10/output/nationwide-correction-execution-20261011/checkpoints/active-assignments-20261012-v1/ny-history-clock-20261012/CANDIDATE-v5.json#/rows/count-ny_16059_granted_total-</x:t>
        </x:is>
      </x:c>
      <x:c r="L120" t="inlineStr">
        <x:is>
          <x:t>R Codex; G and H-L review pending</x:t>
        </x:is>
      </x:c>
      <x:c r="M120" t="inlineStr">
        <x:is>
          <x:t>GA-19;GA-21</x:t>
        </x:is>
      </x:c>
      <x:c r="N120" t="inlineStr">
        <x:is>
          <x:t>Bounded engineering result only; all commercial holds; no control closure</x:t>
        </x:is>
      </x:c>
    </x:row>
    <x:row r="121">
      <x:c r="A121" t="inlineStr">
        <x:is>
          <x:t>NY268-count-ny_16059_granted_felonies-undefined</x:t>
        </x:is>
      </x:c>
      <x:c r="B121" t="inlineStr">
        <x:is>
          <x:t>P02-05</x:t>
        </x:is>
      </x:c>
      <x:c r="C121" t="inlineStr">
        <x:is>
          <x:t>NY</x:t>
        </x:is>
      </x:c>
      <x:c r="D121" t="inlineStr">
        <x:is>
          <x:t>NY:discretionary-conviction-sealing-by-petition-under-cpl-160-59</x:t>
        </x:is>
      </x:c>
      <x:c r="E121" t="inlineStr">
        <x:is>
          <x:t>count-ny_16059_granted_felonies-undefined</x:t>
        </x:is>
      </x:c>
      <x:c r="F121" t="inlineStr">
        <x:is>
          <x:t>Local evaluator</x:t>
        </x:is>
      </x:c>
      <x:c r="G121" t="inlineStr">
        <x:is>
          <x:t>EN</x:t>
        </x:is>
      </x:c>
      <x:c r="H121" t="inlineStr">
        <x:is>
          <x:t>933d1ab9a + NY source e3e08af63f6ed16f; pushed SHA in RECEIPT.json</x:t>
        </x:is>
      </x:c>
      <x:c r="I121" t="inlineStr">
        <x:is>
          <x:t>PASS</x:t>
        </x:is>
      </x:c>
      <x:c r="J121" t="inlineStr">
        <x:is>
          <x:t>needs_more_info</x:t>
        </x:is>
      </x:c>
      <x:c r="K121" t="inlineStr">
        <x:is>
          <x:t>/workspaces/training-modules-09-10/output/nationwide-correction-execution-20261011/checkpoints/active-assignments-20261012-v1/ny-history-clock-20261012/CANDIDATE-v5.json#/rows/count-ny_16059_granted_felonies-undefined</x:t>
        </x:is>
      </x:c>
      <x:c r="L121" t="inlineStr">
        <x:is>
          <x:t>R Codex; G and H-L review pending</x:t>
        </x:is>
      </x:c>
      <x:c r="M121" t="inlineStr">
        <x:is>
          <x:t>GA-19;GA-21</x:t>
        </x:is>
      </x:c>
      <x:c r="N121" t="inlineStr">
        <x:is>
          <x:t>Bounded engineering result only; all commercial holds; no control closure</x:t>
        </x:is>
      </x:c>
    </x:row>
    <x:row r="122">
      <x:c r="A122" t="inlineStr">
        <x:is>
          <x:t>NY268-count-ny_16059_granted_felonies--1</x:t>
        </x:is>
      </x:c>
      <x:c r="B122" t="inlineStr">
        <x:is>
          <x:t>P02-05</x:t>
        </x:is>
      </x:c>
      <x:c r="C122" t="inlineStr">
        <x:is>
          <x:t>NY</x:t>
        </x:is>
      </x:c>
      <x:c r="D122" t="inlineStr">
        <x:is>
          <x:t>NY:discretionary-conviction-sealing-by-petition-under-cpl-160-59</x:t>
        </x:is>
      </x:c>
      <x:c r="E122" t="inlineStr">
        <x:is>
          <x:t>count-ny_16059_granted_felonies--1</x:t>
        </x:is>
      </x:c>
      <x:c r="F122" t="inlineStr">
        <x:is>
          <x:t>Local evaluator</x:t>
        </x:is>
      </x:c>
      <x:c r="G122" t="inlineStr">
        <x:is>
          <x:t>EN</x:t>
        </x:is>
      </x:c>
      <x:c r="H122" t="inlineStr">
        <x:is>
          <x:t>933d1ab9a + NY source e3e08af63f6ed16f; pushed SHA in RECEIPT.json</x:t>
        </x:is>
      </x:c>
      <x:c r="I122" t="inlineStr">
        <x:is>
          <x:t>PASS</x:t>
        </x:is>
      </x:c>
      <x:c r="J122" t="inlineStr">
        <x:is>
          <x:t>needs_more_info</x:t>
        </x:is>
      </x:c>
      <x:c r="K122" t="inlineStr">
        <x:is>
          <x:t>/workspaces/training-modules-09-10/output/nationwide-correction-execution-20261011/checkpoints/active-assignments-20261012-v1/ny-history-clock-20261012/CANDIDATE-v5.json#/rows/count-ny_16059_granted_felonies--1</x:t>
        </x:is>
      </x:c>
      <x:c r="L122" t="inlineStr">
        <x:is>
          <x:t>R Codex; G and H-L review pending</x:t>
        </x:is>
      </x:c>
      <x:c r="M122" t="inlineStr">
        <x:is>
          <x:t>GA-19;GA-21</x:t>
        </x:is>
      </x:c>
      <x:c r="N122" t="inlineStr">
        <x:is>
          <x:t>Bounded engineering result only; all commercial holds; no control closure</x:t>
        </x:is>
      </x:c>
    </x:row>
    <x:row r="123">
      <x:c r="A123" t="inlineStr">
        <x:is>
          <x:t>NY268-count-ny_16059_granted_felonies-0.5</x:t>
        </x:is>
      </x:c>
      <x:c r="B123" t="inlineStr">
        <x:is>
          <x:t>P02-05</x:t>
        </x:is>
      </x:c>
      <x:c r="C123" t="inlineStr">
        <x:is>
          <x:t>NY</x:t>
        </x:is>
      </x:c>
      <x:c r="D123" t="inlineStr">
        <x:is>
          <x:t>NY:discretionary-conviction-sealing-by-petition-under-cpl-160-59</x:t>
        </x:is>
      </x:c>
      <x:c r="E123" t="inlineStr">
        <x:is>
          <x:t>count-ny_16059_granted_felonies-0.5</x:t>
        </x:is>
      </x:c>
      <x:c r="F123" t="inlineStr">
        <x:is>
          <x:t>Local evaluator</x:t>
        </x:is>
      </x:c>
      <x:c r="G123" t="inlineStr">
        <x:is>
          <x:t>EN</x:t>
        </x:is>
      </x:c>
      <x:c r="H123" t="inlineStr">
        <x:is>
          <x:t>933d1ab9a + NY source e3e08af63f6ed16f; pushed SHA in RECEIPT.json</x:t>
        </x:is>
      </x:c>
      <x:c r="I123" t="inlineStr">
        <x:is>
          <x:t>PASS</x:t>
        </x:is>
      </x:c>
      <x:c r="J123" t="inlineStr">
        <x:is>
          <x:t>needs_more_info</x:t>
        </x:is>
      </x:c>
      <x:c r="K123" t="inlineStr">
        <x:is>
          <x:t>/workspaces/training-modules-09-10/output/nationwide-correction-execution-20261011/checkpoints/active-assignments-20261012-v1/ny-history-clock-20261012/CANDIDATE-v5.json#/rows/count-ny_16059_granted_felonies-0.5</x:t>
        </x:is>
      </x:c>
      <x:c r="L123" t="inlineStr">
        <x:is>
          <x:t>R Codex; G and H-L review pending</x:t>
        </x:is>
      </x:c>
      <x:c r="M123" t="inlineStr">
        <x:is>
          <x:t>GA-19;GA-21</x:t>
        </x:is>
      </x:c>
      <x:c r="N123" t="inlineStr">
        <x:is>
          <x:t>Bounded engineering result only; all commercial holds; no control closure</x:t>
        </x:is>
      </x:c>
    </x:row>
    <x:row r="124">
      <x:c r="A124" t="inlineStr">
        <x:is>
          <x:t>NY268-count-ny_16059_granted_felonies-I am not sure</x:t>
        </x:is>
      </x:c>
      <x:c r="B124" t="inlineStr">
        <x:is>
          <x:t>P02-05</x:t>
        </x:is>
      </x:c>
      <x:c r="C124" t="inlineStr">
        <x:is>
          <x:t>NY</x:t>
        </x:is>
      </x:c>
      <x:c r="D124" t="inlineStr">
        <x:is>
          <x:t>NY:discretionary-conviction-sealing-by-petition-under-cpl-160-59</x:t>
        </x:is>
      </x:c>
      <x:c r="E124" t="inlineStr">
        <x:is>
          <x:t>count-ny_16059_granted_felonies-I am not sure</x:t>
        </x:is>
      </x:c>
      <x:c r="F124" t="inlineStr">
        <x:is>
          <x:t>Local evaluator</x:t>
        </x:is>
      </x:c>
      <x:c r="G124" t="inlineStr">
        <x:is>
          <x:t>EN</x:t>
        </x:is>
      </x:c>
      <x:c r="H124" t="inlineStr">
        <x:is>
          <x:t>933d1ab9a + NY source e3e08af63f6ed16f; pushed SHA in RECEIPT.json</x:t>
        </x:is>
      </x:c>
      <x:c r="I124" t="inlineStr">
        <x:is>
          <x:t>PASS</x:t>
        </x:is>
      </x:c>
      <x:c r="J124" t="inlineStr">
        <x:is>
          <x:t>needs_more_info</x:t>
        </x:is>
      </x:c>
      <x:c r="K124" t="inlineStr">
        <x:is>
          <x:t>/workspaces/training-modules-09-10/output/nationwide-correction-execution-20261011/checkpoints/active-assignments-20261012-v1/ny-history-clock-20261012/CANDIDATE-v5.json#/rows/count-ny_16059_granted_felonies-I am not sure</x:t>
        </x:is>
      </x:c>
      <x:c r="L124" t="inlineStr">
        <x:is>
          <x:t>R Codex; G and H-L review pending</x:t>
        </x:is>
      </x:c>
      <x:c r="M124" t="inlineStr">
        <x:is>
          <x:t>GA-19;GA-21</x:t>
        </x:is>
      </x:c>
      <x:c r="N124" t="inlineStr">
        <x:is>
          <x:t>Bounded engineering result only; all commercial holds; no control closure</x:t>
        </x:is>
      </x:c>
    </x:row>
    <x:row r="125">
      <x:c r="A125" t="inlineStr">
        <x:is>
          <x:t>NY268-count-ny_16059_granted_felonies-not a count</x:t>
        </x:is>
      </x:c>
      <x:c r="B125" t="inlineStr">
        <x:is>
          <x:t>P02-05</x:t>
        </x:is>
      </x:c>
      <x:c r="C125" t="inlineStr">
        <x:is>
          <x:t>NY</x:t>
        </x:is>
      </x:c>
      <x:c r="D125" t="inlineStr">
        <x:is>
          <x:t>NY:discretionary-conviction-sealing-by-petition-under-cpl-160-59</x:t>
        </x:is>
      </x:c>
      <x:c r="E125" t="inlineStr">
        <x:is>
          <x:t>count-ny_16059_granted_felonies-not a count</x:t>
        </x:is>
      </x:c>
      <x:c r="F125" t="inlineStr">
        <x:is>
          <x:t>Local evaluator</x:t>
        </x:is>
      </x:c>
      <x:c r="G125" t="inlineStr">
        <x:is>
          <x:t>EN</x:t>
        </x:is>
      </x:c>
      <x:c r="H125" t="inlineStr">
        <x:is>
          <x:t>933d1ab9a + NY source e3e08af63f6ed16f; pushed SHA in RECEIPT.json</x:t>
        </x:is>
      </x:c>
      <x:c r="I125" t="inlineStr">
        <x:is>
          <x:t>PASS</x:t>
        </x:is>
      </x:c>
      <x:c r="J125" t="inlineStr">
        <x:is>
          <x:t>needs_more_info</x:t>
        </x:is>
      </x:c>
      <x:c r="K125" t="inlineStr">
        <x:is>
          <x:t>/workspaces/training-modules-09-10/output/nationwide-correction-execution-20261011/checkpoints/active-assignments-20261012-v1/ny-history-clock-20261012/CANDIDATE-v5.json#/rows/count-ny_16059_granted_felonies-not a count</x:t>
        </x:is>
      </x:c>
      <x:c r="L125" t="inlineStr">
        <x:is>
          <x:t>R Codex; G and H-L review pending</x:t>
        </x:is>
      </x:c>
      <x:c r="M125" t="inlineStr">
        <x:is>
          <x:t>GA-19;GA-21</x:t>
        </x:is>
      </x:c>
      <x:c r="N125" t="inlineStr">
        <x:is>
          <x:t>Bounded engineering result only; all commercial holds; no control closure</x:t>
        </x:is>
      </x:c>
    </x:row>
    <x:row r="126">
      <x:c r="A126" t="inlineStr">
        <x:is>
          <x:t>NY268-count-ny_16059_granted_felonies-</x:t>
        </x:is>
      </x:c>
      <x:c r="B126" t="inlineStr">
        <x:is>
          <x:t>P02-05</x:t>
        </x:is>
      </x:c>
      <x:c r="C126" t="inlineStr">
        <x:is>
          <x:t>NY</x:t>
        </x:is>
      </x:c>
      <x:c r="D126" t="inlineStr">
        <x:is>
          <x:t>NY:discretionary-conviction-sealing-by-petition-under-cpl-160-59</x:t>
        </x:is>
      </x:c>
      <x:c r="E126" t="inlineStr">
        <x:is>
          <x:t>count-ny_16059_granted_felonies-</x:t>
        </x:is>
      </x:c>
      <x:c r="F126" t="inlineStr">
        <x:is>
          <x:t>Local evaluator</x:t>
        </x:is>
      </x:c>
      <x:c r="G126" t="inlineStr">
        <x:is>
          <x:t>EN</x:t>
        </x:is>
      </x:c>
      <x:c r="H126" t="inlineStr">
        <x:is>
          <x:t>933d1ab9a + NY source e3e08af63f6ed16f; pushed SHA in RECEIPT.json</x:t>
        </x:is>
      </x:c>
      <x:c r="I126" t="inlineStr">
        <x:is>
          <x:t>PASS</x:t>
        </x:is>
      </x:c>
      <x:c r="J126" t="inlineStr">
        <x:is>
          <x:t>needs_more_info</x:t>
        </x:is>
      </x:c>
      <x:c r="K126" t="inlineStr">
        <x:is>
          <x:t>/workspaces/training-modules-09-10/output/nationwide-correction-execution-20261011/checkpoints/active-assignments-20261012-v1/ny-history-clock-20261012/CANDIDATE-v5.json#/rows/count-ny_16059_granted_felonies-</x:t>
        </x:is>
      </x:c>
      <x:c r="L126" t="inlineStr">
        <x:is>
          <x:t>R Codex; G and H-L review pending</x:t>
        </x:is>
      </x:c>
      <x:c r="M126" t="inlineStr">
        <x:is>
          <x:t>GA-19;GA-21</x:t>
        </x:is>
      </x:c>
      <x:c r="N126" t="inlineStr">
        <x:is>
          <x:t>Bounded engineering result only; all commercial holds; no control closure</x:t>
        </x:is>
      </x:c>
    </x:row>
    <x:row r="127">
      <x:c r="A127" t="inlineStr">
        <x:is>
          <x:t>NY268-missing-ny_16059_grouping-undefined</x:t>
        </x:is>
      </x:c>
      <x:c r="B127" t="inlineStr">
        <x:is>
          <x:t>P02-05</x:t>
        </x:is>
      </x:c>
      <x:c r="C127" t="inlineStr">
        <x:is>
          <x:t>NY</x:t>
        </x:is>
      </x:c>
      <x:c r="D127" t="inlineStr">
        <x:is>
          <x:t>NY:discretionary-conviction-sealing-by-petition-under-cpl-160-59</x:t>
        </x:is>
      </x:c>
      <x:c r="E127" t="inlineStr">
        <x:is>
          <x:t>missing-ny_16059_grouping-undefined</x:t>
        </x:is>
      </x:c>
      <x:c r="F127" t="inlineStr">
        <x:is>
          <x:t>Local evaluator</x:t>
        </x:is>
      </x:c>
      <x:c r="G127" t="inlineStr">
        <x:is>
          <x:t>EN</x:t>
        </x:is>
      </x:c>
      <x:c r="H127" t="inlineStr">
        <x:is>
          <x:t>933d1ab9a + NY source e3e08af63f6ed16f; pushed SHA in RECEIPT.json</x:t>
        </x:is>
      </x:c>
      <x:c r="I127" t="inlineStr">
        <x:is>
          <x:t>PASS</x:t>
        </x:is>
      </x:c>
      <x:c r="J127" t="inlineStr">
        <x:is>
          <x:t>needs_more_info</x:t>
        </x:is>
      </x:c>
      <x:c r="K127" t="inlineStr">
        <x:is>
          <x:t>/workspaces/training-modules-09-10/output/nationwide-correction-execution-20261011/checkpoints/active-assignments-20261012-v1/ny-history-clock-20261012/CANDIDATE-v5.json#/rows/missing-ny_16059_grouping-undefined</x:t>
        </x:is>
      </x:c>
      <x:c r="L127" t="inlineStr">
        <x:is>
          <x:t>R Codex; G and H-L review pending</x:t>
        </x:is>
      </x:c>
      <x:c r="M127" t="inlineStr">
        <x:is>
          <x:t>GA-19;GA-21</x:t>
        </x:is>
      </x:c>
      <x:c r="N127" t="inlineStr">
        <x:is>
          <x:t>Bounded engineering result only; all commercial holds; no control closure</x:t>
        </x:is>
      </x:c>
    </x:row>
    <x:row r="128">
      <x:c r="A128" t="inlineStr">
        <x:is>
          <x:t>NY268-missing-ny_16059_grouping-unknown</x:t>
        </x:is>
      </x:c>
      <x:c r="B128" t="inlineStr">
        <x:is>
          <x:t>P02-05</x:t>
        </x:is>
      </x:c>
      <x:c r="C128" t="inlineStr">
        <x:is>
          <x:t>NY</x:t>
        </x:is>
      </x:c>
      <x:c r="D128" t="inlineStr">
        <x:is>
          <x:t>NY:discretionary-conviction-sealing-by-petition-under-cpl-160-59</x:t>
        </x:is>
      </x:c>
      <x:c r="E128" t="inlineStr">
        <x:is>
          <x:t>missing-ny_16059_grouping-unknown</x:t>
        </x:is>
      </x:c>
      <x:c r="F128" t="inlineStr">
        <x:is>
          <x:t>Local evaluator</x:t>
        </x:is>
      </x:c>
      <x:c r="G128" t="inlineStr">
        <x:is>
          <x:t>EN</x:t>
        </x:is>
      </x:c>
      <x:c r="H128" t="inlineStr">
        <x:is>
          <x:t>933d1ab9a + NY source e3e08af63f6ed16f; pushed SHA in RECEIPT.json</x:t>
        </x:is>
      </x:c>
      <x:c r="I128" t="inlineStr">
        <x:is>
          <x:t>PASS</x:t>
        </x:is>
      </x:c>
      <x:c r="J128" t="inlineStr">
        <x:is>
          <x:t>needs_more_info</x:t>
        </x:is>
      </x:c>
      <x:c r="K128" t="inlineStr">
        <x:is>
          <x:t>/workspaces/training-modules-09-10/output/nationwide-correction-execution-20261011/checkpoints/active-assignments-20261012-v1/ny-history-clock-20261012/CANDIDATE-v5.json#/rows/missing-ny_16059_grouping-unknown</x:t>
        </x:is>
      </x:c>
      <x:c r="L128" t="inlineStr">
        <x:is>
          <x:t>R Codex; G and H-L review pending</x:t>
        </x:is>
      </x:c>
      <x:c r="M128" t="inlineStr">
        <x:is>
          <x:t>GA-19;GA-21</x:t>
        </x:is>
      </x:c>
      <x:c r="N128" t="inlineStr">
        <x:is>
          <x:t>Bounded engineering result only; all commercial holds; no control closure</x:t>
        </x:is>
      </x:c>
    </x:row>
    <x:row r="129">
      <x:c r="A129" t="inlineStr">
        <x:is>
          <x:t>NY268-missing-ny_16059_application_status-undefined</x:t>
        </x:is>
      </x:c>
      <x:c r="B129" t="inlineStr">
        <x:is>
          <x:t>P02-05</x:t>
        </x:is>
      </x:c>
      <x:c r="C129" t="inlineStr">
        <x:is>
          <x:t>NY</x:t>
        </x:is>
      </x:c>
      <x:c r="D129" t="inlineStr">
        <x:is>
          <x:t>NY:discretionary-conviction-sealing-by-petition-under-cpl-160-59</x:t>
        </x:is>
      </x:c>
      <x:c r="E129" t="inlineStr">
        <x:is>
          <x:t>missing-ny_16059_application_status-undefined</x:t>
        </x:is>
      </x:c>
      <x:c r="F129" t="inlineStr">
        <x:is>
          <x:t>Local evaluator</x:t>
        </x:is>
      </x:c>
      <x:c r="G129" t="inlineStr">
        <x:is>
          <x:t>EN</x:t>
        </x:is>
      </x:c>
      <x:c r="H129" t="inlineStr">
        <x:is>
          <x:t>933d1ab9a + NY source e3e08af63f6ed16f; pushed SHA in RECEIPT.json</x:t>
        </x:is>
      </x:c>
      <x:c r="I129" t="inlineStr">
        <x:is>
          <x:t>PASS</x:t>
        </x:is>
      </x:c>
      <x:c r="J129" t="inlineStr">
        <x:is>
          <x:t>needs_more_info</x:t>
        </x:is>
      </x:c>
      <x:c r="K129" t="inlineStr">
        <x:is>
          <x:t>/workspaces/training-modules-09-10/output/nationwide-correction-execution-20261011/checkpoints/active-assignments-20261012-v1/ny-history-clock-20261012/CANDIDATE-v5.json#/rows/missing-ny_16059_application_status-undefined</x:t>
        </x:is>
      </x:c>
      <x:c r="L129" t="inlineStr">
        <x:is>
          <x:t>R Codex; G and H-L review pending</x:t>
        </x:is>
      </x:c>
      <x:c r="M129" t="inlineStr">
        <x:is>
          <x:t>GA-19;GA-21</x:t>
        </x:is>
      </x:c>
      <x:c r="N129" t="inlineStr">
        <x:is>
          <x:t>Bounded engineering result only; all commercial holds; no control closure</x:t>
        </x:is>
      </x:c>
    </x:row>
    <x:row r="130">
      <x:c r="A130" t="inlineStr">
        <x:is>
          <x:t>NY268-missing-ny_16059_application_status-unknown</x:t>
        </x:is>
      </x:c>
      <x:c r="B130" t="inlineStr">
        <x:is>
          <x:t>P02-05</x:t>
        </x:is>
      </x:c>
      <x:c r="C130" t="inlineStr">
        <x:is>
          <x:t>NY</x:t>
        </x:is>
      </x:c>
      <x:c r="D130" t="inlineStr">
        <x:is>
          <x:t>NY:discretionary-conviction-sealing-by-petition-under-cpl-160-59</x:t>
        </x:is>
      </x:c>
      <x:c r="E130" t="inlineStr">
        <x:is>
          <x:t>missing-ny_16059_application_status-unknown</x:t>
        </x:is>
      </x:c>
      <x:c r="F130" t="inlineStr">
        <x:is>
          <x:t>Local evaluator</x:t>
        </x:is>
      </x:c>
      <x:c r="G130" t="inlineStr">
        <x:is>
          <x:t>EN</x:t>
        </x:is>
      </x:c>
      <x:c r="H130" t="inlineStr">
        <x:is>
          <x:t>933d1ab9a + NY source e3e08af63f6ed16f; pushed SHA in RECEIPT.json</x:t>
        </x:is>
      </x:c>
      <x:c r="I130" t="inlineStr">
        <x:is>
          <x:t>PASS</x:t>
        </x:is>
      </x:c>
      <x:c r="J130" t="inlineStr">
        <x:is>
          <x:t>needs_more_info</x:t>
        </x:is>
      </x:c>
      <x:c r="K130" t="inlineStr">
        <x:is>
          <x:t>/workspaces/training-modules-09-10/output/nationwide-correction-execution-20261011/checkpoints/active-assignments-20261012-v1/ny-history-clock-20261012/CANDIDATE-v5.json#/rows/missing-ny_16059_application_status-unknown</x:t>
        </x:is>
      </x:c>
      <x:c r="L130" t="inlineStr">
        <x:is>
          <x:t>R Codex; G and H-L review pending</x:t>
        </x:is>
      </x:c>
      <x:c r="M130" t="inlineStr">
        <x:is>
          <x:t>GA-19;GA-21</x:t>
        </x:is>
      </x:c>
      <x:c r="N130" t="inlineStr">
        <x:is>
          <x:t>Bounded engineering result only; all commercial holds; no control closure</x:t>
        </x:is>
      </x:c>
    </x:row>
    <x:row r="131">
      <x:c r="A131" t="inlineStr">
        <x:is>
          <x:t>NY268-missing-ny_16059_16058_grants-undefined</x:t>
        </x:is>
      </x:c>
      <x:c r="B131" t="inlineStr">
        <x:is>
          <x:t>P02-05</x:t>
        </x:is>
      </x:c>
      <x:c r="C131" t="inlineStr">
        <x:is>
          <x:t>NY</x:t>
        </x:is>
      </x:c>
      <x:c r="D131" t="inlineStr">
        <x:is>
          <x:t>NY:discretionary-conviction-sealing-by-petition-under-cpl-160-59</x:t>
        </x:is>
      </x:c>
      <x:c r="E131" t="inlineStr">
        <x:is>
          <x:t>missing-ny_16059_16058_grants-undefined</x:t>
        </x:is>
      </x:c>
      <x:c r="F131" t="inlineStr">
        <x:is>
          <x:t>Local evaluator</x:t>
        </x:is>
      </x:c>
      <x:c r="G131" t="inlineStr">
        <x:is>
          <x:t>EN</x:t>
        </x:is>
      </x:c>
      <x:c r="H131" t="inlineStr">
        <x:is>
          <x:t>933d1ab9a + NY source e3e08af63f6ed16f; pushed SHA in RECEIPT.json</x:t>
        </x:is>
      </x:c>
      <x:c r="I131" t="inlineStr">
        <x:is>
          <x:t>PASS</x:t>
        </x:is>
      </x:c>
      <x:c r="J131" t="inlineStr">
        <x:is>
          <x:t>needs_more_info</x:t>
        </x:is>
      </x:c>
      <x:c r="K131" t="inlineStr">
        <x:is>
          <x:t>/workspaces/training-modules-09-10/output/nationwide-correction-execution-20261011/checkpoints/active-assignments-20261012-v1/ny-history-clock-20261012/CANDIDATE-v5.json#/rows/missing-ny_16059_16058_grants-undefined</x:t>
        </x:is>
      </x:c>
      <x:c r="L131" t="inlineStr">
        <x:is>
          <x:t>R Codex; G and H-L review pending</x:t>
        </x:is>
      </x:c>
      <x:c r="M131" t="inlineStr">
        <x:is>
          <x:t>GA-19;GA-21</x:t>
        </x:is>
      </x:c>
      <x:c r="N131" t="inlineStr">
        <x:is>
          <x:t>Bounded engineering result only; all commercial holds; no control closure</x:t>
        </x:is>
      </x:c>
    </x:row>
    <x:row r="132">
      <x:c r="A132" t="inlineStr">
        <x:is>
          <x:t>NY268-missing-ny_16059_16058_grants-unknown</x:t>
        </x:is>
      </x:c>
      <x:c r="B132" t="inlineStr">
        <x:is>
          <x:t>P02-05</x:t>
        </x:is>
      </x:c>
      <x:c r="C132" t="inlineStr">
        <x:is>
          <x:t>NY</x:t>
        </x:is>
      </x:c>
      <x:c r="D132" t="inlineStr">
        <x:is>
          <x:t>NY:discretionary-conviction-sealing-by-petition-under-cpl-160-59</x:t>
        </x:is>
      </x:c>
      <x:c r="E132" t="inlineStr">
        <x:is>
          <x:t>missing-ny_16059_16058_grants-unknown</x:t>
        </x:is>
      </x:c>
      <x:c r="F132" t="inlineStr">
        <x:is>
          <x:t>Local evaluator</x:t>
        </x:is>
      </x:c>
      <x:c r="G132" t="inlineStr">
        <x:is>
          <x:t>EN</x:t>
        </x:is>
      </x:c>
      <x:c r="H132" t="inlineStr">
        <x:is>
          <x:t>933d1ab9a + NY source e3e08af63f6ed16f; pushed SHA in RECEIPT.json</x:t>
        </x:is>
      </x:c>
      <x:c r="I132" t="inlineStr">
        <x:is>
          <x:t>PASS</x:t>
        </x:is>
      </x:c>
      <x:c r="J132" t="inlineStr">
        <x:is>
          <x:t>needs_more_info</x:t>
        </x:is>
      </x:c>
      <x:c r="K132" t="inlineStr">
        <x:is>
          <x:t>/workspaces/training-modules-09-10/output/nationwide-correction-execution-20261011/checkpoints/active-assignments-20261012-v1/ny-history-clock-20261012/CANDIDATE-v5.json#/rows/missing-ny_16059_16058_grants-unknown</x:t>
        </x:is>
      </x:c>
      <x:c r="L132" t="inlineStr">
        <x:is>
          <x:t>R Codex; G and H-L review pending</x:t>
        </x:is>
      </x:c>
      <x:c r="M132" t="inlineStr">
        <x:is>
          <x:t>GA-19;GA-21</x:t>
        </x:is>
      </x:c>
      <x:c r="N132" t="inlineStr">
        <x:is>
          <x:t>Bounded engineering result only; all commercial holds; no control closure</x:t>
        </x:is>
      </x:c>
    </x:row>
    <x:row r="133">
      <x:c r="A133" t="inlineStr">
        <x:is>
          <x:t>NY268-legacy-only</x:t>
        </x:is>
      </x:c>
      <x:c r="B133" t="inlineStr">
        <x:is>
          <x:t>P02-05</x:t>
        </x:is>
      </x:c>
      <x:c r="C133" t="inlineStr">
        <x:is>
          <x:t>NY</x:t>
        </x:is>
      </x:c>
      <x:c r="D133" t="inlineStr">
        <x:is>
          <x:t>NY:discretionary-conviction-sealing-by-petition-under-cpl-160-59</x:t>
        </x:is>
      </x:c>
      <x:c r="E133" t="inlineStr">
        <x:is>
          <x:t>legacy-only</x:t>
        </x:is>
      </x:c>
      <x:c r="F133" t="inlineStr">
        <x:is>
          <x:t>Local evaluator</x:t>
        </x:is>
      </x:c>
      <x:c r="G133" t="inlineStr">
        <x:is>
          <x:t>EN</x:t>
        </x:is>
      </x:c>
      <x:c r="H133" t="inlineStr">
        <x:is>
          <x:t>933d1ab9a + NY source e3e08af63f6ed16f; pushed SHA in RECEIPT.json</x:t>
        </x:is>
      </x:c>
      <x:c r="I133" t="inlineStr">
        <x:is>
          <x:t>PASS</x:t>
        </x:is>
      </x:c>
      <x:c r="J133" t="inlineStr">
        <x:is>
          <x:t>needs_more_info</x:t>
        </x:is>
      </x:c>
      <x:c r="K133" t="inlineStr">
        <x:is>
          <x:t>/workspaces/training-modules-09-10/output/nationwide-correction-execution-20261011/checkpoints/active-assignments-20261012-v1/ny-history-clock-20261012/CANDIDATE-v5.json#/rows/legacy-only</x:t>
        </x:is>
      </x:c>
      <x:c r="L133" t="inlineStr">
        <x:is>
          <x:t>R Codex; G and H-L review pending</x:t>
        </x:is>
      </x:c>
      <x:c r="M133" t="inlineStr">
        <x:is>
          <x:t>GA-19;GA-21</x:t>
        </x:is>
      </x:c>
      <x:c r="N133" t="inlineStr">
        <x:is>
          <x:t>Bounded engineering result only; all commercial holds; no control closure</x:t>
        </x:is>
      </x:c>
    </x:row>
    <x:row r="134">
      <x:c r="A134" t="inlineStr">
        <x:is>
          <x:t>NY268-anniversary-2016-10-13</x:t>
        </x:is>
      </x:c>
      <x:c r="B134" t="inlineStr">
        <x:is>
          <x:t>P02-05</x:t>
        </x:is>
      </x:c>
      <x:c r="C134" t="inlineStr">
        <x:is>
          <x:t>NY</x:t>
        </x:is>
      </x:c>
      <x:c r="D134" t="inlineStr">
        <x:is>
          <x:t>NY:discretionary-conviction-sealing-by-petition-under-cpl-160-59</x:t>
        </x:is>
      </x:c>
      <x:c r="E134" t="inlineStr">
        <x:is>
          <x:t>anniversary-2016-10-13</x:t>
        </x:is>
      </x:c>
      <x:c r="F134" t="inlineStr">
        <x:is>
          <x:t>Local evaluator</x:t>
        </x:is>
      </x:c>
      <x:c r="G134" t="inlineStr">
        <x:is>
          <x:t>EN</x:t>
        </x:is>
      </x:c>
      <x:c r="H134" t="inlineStr">
        <x:is>
          <x:t>933d1ab9a + NY source e3e08af63f6ed16f; pushed SHA in RECEIPT.json</x:t>
        </x:is>
      </x:c>
      <x:c r="I134" t="inlineStr">
        <x:is>
          <x:t>PASS</x:t>
        </x:is>
      </x:c>
      <x:c r="J134" t="inlineStr">
        <x:is>
          <x:t>not_yet</x:t>
        </x:is>
      </x:c>
      <x:c r="K134" t="inlineStr">
        <x:is>
          <x:t>/workspaces/training-modules-09-10/output/nationwide-correction-execution-20261011/checkpoints/active-assignments-20261012-v1/ny-history-clock-20261012/CANDIDATE-v5.json#/rows/anniversary-2016-10-13</x:t>
        </x:is>
      </x:c>
      <x:c r="L134" t="inlineStr">
        <x:is>
          <x:t>R Codex; G and H-L review pending</x:t>
        </x:is>
      </x:c>
      <x:c r="M134" t="inlineStr">
        <x:is>
          <x:t>GA-19;GA-21</x:t>
        </x:is>
      </x:c>
      <x:c r="N134" t="inlineStr">
        <x:is>
          <x:t>Bounded engineering result only; all commercial holds; no control closure</x:t>
        </x:is>
      </x:c>
    </x:row>
    <x:row r="135">
      <x:c r="A135" t="inlineStr">
        <x:is>
          <x:t>NY268-anniversary-2016-10-12</x:t>
        </x:is>
      </x:c>
      <x:c r="B135" t="inlineStr">
        <x:is>
          <x:t>P02-05</x:t>
        </x:is>
      </x:c>
      <x:c r="C135" t="inlineStr">
        <x:is>
          <x:t>NY</x:t>
        </x:is>
      </x:c>
      <x:c r="D135" t="inlineStr">
        <x:is>
          <x:t>NY:discretionary-conviction-sealing-by-petition-under-cpl-160-59</x:t>
        </x:is>
      </x:c>
      <x:c r="E135" t="inlineStr">
        <x:is>
          <x:t>anniversary-2016-10-12</x:t>
        </x:is>
      </x:c>
      <x:c r="F135" t="inlineStr">
        <x:is>
          <x:t>Local evaluator</x:t>
        </x:is>
      </x:c>
      <x:c r="G135" t="inlineStr">
        <x:is>
          <x:t>EN</x:t>
        </x:is>
      </x:c>
      <x:c r="H135" t="inlineStr">
        <x:is>
          <x:t>933d1ab9a + NY source e3e08af63f6ed16f; pushed SHA in RECEIPT.json</x:t>
        </x:is>
      </x:c>
      <x:c r="I135" t="inlineStr">
        <x:is>
          <x:t>PASS</x:t>
        </x:is>
      </x:c>
      <x:c r="J135" t="inlineStr">
        <x:is>
          <x:t>packet_ready_with_caution</x:t>
        </x:is>
      </x:c>
      <x:c r="K135" t="inlineStr">
        <x:is>
          <x:t>/workspaces/training-modules-09-10/output/nationwide-correction-execution-20261011/checkpoints/active-assignments-20261012-v1/ny-history-clock-20261012/CANDIDATE-v5.json#/rows/anniversary-2016-10-12</x:t>
        </x:is>
      </x:c>
      <x:c r="L135" t="inlineStr">
        <x:is>
          <x:t>R Codex; G and H-L review pending</x:t>
        </x:is>
      </x:c>
      <x:c r="M135" t="inlineStr">
        <x:is>
          <x:t>GA-19;GA-21</x:t>
        </x:is>
      </x:c>
      <x:c r="N135" t="inlineStr">
        <x:is>
          <x:t>Bounded engineering result only; all commercial holds; no control closure</x:t>
        </x:is>
      </x:c>
    </x:row>
    <x:row r="136">
      <x:c r="A136" t="inlineStr">
        <x:is>
          <x:t>NY268-anniversary-2016-10-11</x:t>
        </x:is>
      </x:c>
      <x:c r="B136" t="inlineStr">
        <x:is>
          <x:t>P02-05</x:t>
        </x:is>
      </x:c>
      <x:c r="C136" t="inlineStr">
        <x:is>
          <x:t>NY</x:t>
        </x:is>
      </x:c>
      <x:c r="D136" t="inlineStr">
        <x:is>
          <x:t>NY:discretionary-conviction-sealing-by-petition-under-cpl-160-59</x:t>
        </x:is>
      </x:c>
      <x:c r="E136" t="inlineStr">
        <x:is>
          <x:t>anniversary-2016-10-11</x:t>
        </x:is>
      </x:c>
      <x:c r="F136" t="inlineStr">
        <x:is>
          <x:t>Local evaluator</x:t>
        </x:is>
      </x:c>
      <x:c r="G136" t="inlineStr">
        <x:is>
          <x:t>EN</x:t>
        </x:is>
      </x:c>
      <x:c r="H136" t="inlineStr">
        <x:is>
          <x:t>933d1ab9a + NY source e3e08af63f6ed16f; pushed SHA in RECEIPT.json</x:t>
        </x:is>
      </x:c>
      <x:c r="I136" t="inlineStr">
        <x:is>
          <x:t>PASS</x:t>
        </x:is>
      </x:c>
      <x:c r="J136" t="inlineStr">
        <x:is>
          <x:t>packet_ready_with_caution</x:t>
        </x:is>
      </x:c>
      <x:c r="K136" t="inlineStr">
        <x:is>
          <x:t>/workspaces/training-modules-09-10/output/nationwide-correction-execution-20261011/checkpoints/active-assignments-20261012-v1/ny-history-clock-20261012/CANDIDATE-v5.json#/rows/anniversary-2016-10-11</x:t>
        </x:is>
      </x:c>
      <x:c r="L136" t="inlineStr">
        <x:is>
          <x:t>R Codex; G and H-L review pending</x:t>
        </x:is>
      </x:c>
      <x:c r="M136" t="inlineStr">
        <x:is>
          <x:t>GA-19;GA-21</x:t>
        </x:is>
      </x:c>
      <x:c r="N136" t="inlineStr">
        <x:is>
          <x:t>Bounded engineering result only; all commercial holds; no control closure</x:t>
        </x:is>
      </x:c>
    </x:row>
    <x:row r="137">
      <x:c r="A137" t="inlineStr">
        <x:is>
          <x:t>NY268-bucket-not-anchor</x:t>
        </x:is>
      </x:c>
      <x:c r="B137" t="inlineStr">
        <x:is>
          <x:t>P02-05</x:t>
        </x:is>
      </x:c>
      <x:c r="C137" t="inlineStr">
        <x:is>
          <x:t>NY</x:t>
        </x:is>
      </x:c>
      <x:c r="D137" t="inlineStr">
        <x:is>
          <x:t>NY:discretionary-conviction-sealing-by-petition-under-cpl-160-59</x:t>
        </x:is>
      </x:c>
      <x:c r="E137" t="inlineStr">
        <x:is>
          <x:t>bucket-not-anchor</x:t>
        </x:is>
      </x:c>
      <x:c r="F137" t="inlineStr">
        <x:is>
          <x:t>Local evaluator</x:t>
        </x:is>
      </x:c>
      <x:c r="G137" t="inlineStr">
        <x:is>
          <x:t>EN</x:t>
        </x:is>
      </x:c>
      <x:c r="H137" t="inlineStr">
        <x:is>
          <x:t>933d1ab9a + NY source e3e08af63f6ed16f; pushed SHA in RECEIPT.json</x:t>
        </x:is>
      </x:c>
      <x:c r="I137" t="inlineStr">
        <x:is>
          <x:t>PASS</x:t>
        </x:is>
      </x:c>
      <x:c r="J137" t="inlineStr">
        <x:is>
          <x:t>needs_more_info</x:t>
        </x:is>
      </x:c>
      <x:c r="K137" t="inlineStr">
        <x:is>
          <x:t>/workspaces/training-modules-09-10/output/nationwide-correction-execution-20261011/checkpoints/active-assignments-20261012-v1/ny-history-clock-20261012/CANDIDATE-v5.json#/rows/bucket-not-anchor</x:t>
        </x:is>
      </x:c>
      <x:c r="L137" t="inlineStr">
        <x:is>
          <x:t>R Codex; G and H-L review pending</x:t>
        </x:is>
      </x:c>
      <x:c r="M137" t="inlineStr">
        <x:is>
          <x:t>GA-19;GA-21</x:t>
        </x:is>
      </x:c>
      <x:c r="N137" t="inlineStr">
        <x:is>
          <x:t>Bounded engineering result only; all commercial holds; no control closure</x:t>
        </x:is>
      </x:c>
    </x:row>
    <x:row r="138">
      <x:c r="A138" t="inlineStr">
        <x:is>
          <x:t>NY268-invalid-sentencing_date-2016-02-30</x:t>
        </x:is>
      </x:c>
      <x:c r="B138" t="inlineStr">
        <x:is>
          <x:t>P02-05</x:t>
        </x:is>
      </x:c>
      <x:c r="C138" t="inlineStr">
        <x:is>
          <x:t>NY</x:t>
        </x:is>
      </x:c>
      <x:c r="D138" t="inlineStr">
        <x:is>
          <x:t>NY:discretionary-conviction-sealing-by-petition-under-cpl-160-59</x:t>
        </x:is>
      </x:c>
      <x:c r="E138" t="inlineStr">
        <x:is>
          <x:t>invalid-sentencing_date-2016-02-30</x:t>
        </x:is>
      </x:c>
      <x:c r="F138" t="inlineStr">
        <x:is>
          <x:t>Local evaluator</x:t>
        </x:is>
      </x:c>
      <x:c r="G138" t="inlineStr">
        <x:is>
          <x:t>EN</x:t>
        </x:is>
      </x:c>
      <x:c r="H138" t="inlineStr">
        <x:is>
          <x:t>933d1ab9a + NY source e3e08af63f6ed16f; pushed SHA in RECEIPT.json</x:t>
        </x:is>
      </x:c>
      <x:c r="I138" t="inlineStr">
        <x:is>
          <x:t>PASS</x:t>
        </x:is>
      </x:c>
      <x:c r="J138" t="inlineStr">
        <x:is>
          <x:t>needs_more_info</x:t>
        </x:is>
      </x:c>
      <x:c r="K138" t="inlineStr">
        <x:is>
          <x:t>/workspaces/training-modules-09-10/output/nationwide-correction-execution-20261011/checkpoints/active-assignments-20261012-v1/ny-history-clock-20261012/CANDIDATE-v5.json#/rows/invalid-sentencing_date-2016-02-30</x:t>
        </x:is>
      </x:c>
      <x:c r="L138" t="inlineStr">
        <x:is>
          <x:t>R Codex; G and H-L review pending</x:t>
        </x:is>
      </x:c>
      <x:c r="M138" t="inlineStr">
        <x:is>
          <x:t>GA-19;GA-21</x:t>
        </x:is>
      </x:c>
      <x:c r="N138" t="inlineStr">
        <x:is>
          <x:t>Bounded engineering result only; all commercial holds; no control closure</x:t>
        </x:is>
      </x:c>
    </x:row>
    <x:row r="139">
      <x:c r="A139" t="inlineStr">
        <x:is>
          <x:t>NY268-invalid-sentencing_date-2015-02-29</x:t>
        </x:is>
      </x:c>
      <x:c r="B139" t="inlineStr">
        <x:is>
          <x:t>P02-05</x:t>
        </x:is>
      </x:c>
      <x:c r="C139" t="inlineStr">
        <x:is>
          <x:t>NY</x:t>
        </x:is>
      </x:c>
      <x:c r="D139" t="inlineStr">
        <x:is>
          <x:t>NY:discretionary-conviction-sealing-by-petition-under-cpl-160-59</x:t>
        </x:is>
      </x:c>
      <x:c r="E139" t="inlineStr">
        <x:is>
          <x:t>invalid-sentencing_date-2015-02-29</x:t>
        </x:is>
      </x:c>
      <x:c r="F139" t="inlineStr">
        <x:is>
          <x:t>Local evaluator</x:t>
        </x:is>
      </x:c>
      <x:c r="G139" t="inlineStr">
        <x:is>
          <x:t>EN</x:t>
        </x:is>
      </x:c>
      <x:c r="H139" t="inlineStr">
        <x:is>
          <x:t>933d1ab9a + NY source e3e08af63f6ed16f; pushed SHA in RECEIPT.json</x:t>
        </x:is>
      </x:c>
      <x:c r="I139" t="inlineStr">
        <x:is>
          <x:t>PASS</x:t>
        </x:is>
      </x:c>
      <x:c r="J139" t="inlineStr">
        <x:is>
          <x:t>needs_more_info</x:t>
        </x:is>
      </x:c>
      <x:c r="K139" t="inlineStr">
        <x:is>
          <x:t>/workspaces/training-modules-09-10/output/nationwide-correction-execution-20261011/checkpoints/active-assignments-20261012-v1/ny-history-clock-20261012/CANDIDATE-v5.json#/rows/invalid-sentencing_date-2015-02-29</x:t>
        </x:is>
      </x:c>
      <x:c r="L139" t="inlineStr">
        <x:is>
          <x:t>R Codex; G and H-L review pending</x:t>
        </x:is>
      </x:c>
      <x:c r="M139" t="inlineStr">
        <x:is>
          <x:t>GA-19;GA-21</x:t>
        </x:is>
      </x:c>
      <x:c r="N139" t="inlineStr">
        <x:is>
          <x:t>Bounded engineering result only; all commercial holds; no control closure</x:t>
        </x:is>
      </x:c>
    </x:row>
    <x:row r="140">
      <x:c r="A140" t="inlineStr">
        <x:is>
          <x:t>NY268-invalid-sentencing_date-2099-01-01</x:t>
        </x:is>
      </x:c>
      <x:c r="B140" t="inlineStr">
        <x:is>
          <x:t>P02-05</x:t>
        </x:is>
      </x:c>
      <x:c r="C140" t="inlineStr">
        <x:is>
          <x:t>NY</x:t>
        </x:is>
      </x:c>
      <x:c r="D140" t="inlineStr">
        <x:is>
          <x:t>NY:discretionary-conviction-sealing-by-petition-under-cpl-160-59</x:t>
        </x:is>
      </x:c>
      <x:c r="E140" t="inlineStr">
        <x:is>
          <x:t>invalid-sentencing_date-2099-01-01</x:t>
        </x:is>
      </x:c>
      <x:c r="F140" t="inlineStr">
        <x:is>
          <x:t>Local evaluator</x:t>
        </x:is>
      </x:c>
      <x:c r="G140" t="inlineStr">
        <x:is>
          <x:t>EN</x:t>
        </x:is>
      </x:c>
      <x:c r="H140" t="inlineStr">
        <x:is>
          <x:t>933d1ab9a + NY source e3e08af63f6ed16f; pushed SHA in RECEIPT.json</x:t>
        </x:is>
      </x:c>
      <x:c r="I140" t="inlineStr">
        <x:is>
          <x:t>PASS</x:t>
        </x:is>
      </x:c>
      <x:c r="J140" t="inlineStr">
        <x:is>
          <x:t>needs_more_info</x:t>
        </x:is>
      </x:c>
      <x:c r="K140" t="inlineStr">
        <x:is>
          <x:t>/workspaces/training-modules-09-10/output/nationwide-correction-execution-20261011/checkpoints/active-assignments-20261012-v1/ny-history-clock-20261012/CANDIDATE-v5.json#/rows/invalid-sentencing_date-2099-01-01</x:t>
        </x:is>
      </x:c>
      <x:c r="L140" t="inlineStr">
        <x:is>
          <x:t>R Codex; G and H-L review pending</x:t>
        </x:is>
      </x:c>
      <x:c r="M140" t="inlineStr">
        <x:is>
          <x:t>GA-19;GA-21</x:t>
        </x:is>
      </x:c>
      <x:c r="N140" t="inlineStr">
        <x:is>
          <x:t>Bounded engineering result only; all commercial holds; no control closure</x:t>
        </x:is>
      </x:c>
    </x:row>
    <x:row r="141">
      <x:c r="A141" t="inlineStr">
        <x:is>
          <x:t>NY268-invalid-sentencing_date-unknown</x:t>
        </x:is>
      </x:c>
      <x:c r="B141" t="inlineStr">
        <x:is>
          <x:t>P02-05</x:t>
        </x:is>
      </x:c>
      <x:c r="C141" t="inlineStr">
        <x:is>
          <x:t>NY</x:t>
        </x:is>
      </x:c>
      <x:c r="D141" t="inlineStr">
        <x:is>
          <x:t>NY:discretionary-conviction-sealing-by-petition-under-cpl-160-59</x:t>
        </x:is>
      </x:c>
      <x:c r="E141" t="inlineStr">
        <x:is>
          <x:t>invalid-sentencing_date-unknown</x:t>
        </x:is>
      </x:c>
      <x:c r="F141" t="inlineStr">
        <x:is>
          <x:t>Local evaluator</x:t>
        </x:is>
      </x:c>
      <x:c r="G141" t="inlineStr">
        <x:is>
          <x:t>EN</x:t>
        </x:is>
      </x:c>
      <x:c r="H141" t="inlineStr">
        <x:is>
          <x:t>933d1ab9a + NY source e3e08af63f6ed16f; pushed SHA in RECEIPT.json</x:t>
        </x:is>
      </x:c>
      <x:c r="I141" t="inlineStr">
        <x:is>
          <x:t>PASS</x:t>
        </x:is>
      </x:c>
      <x:c r="J141" t="inlineStr">
        <x:is>
          <x:t>needs_more_info</x:t>
        </x:is>
      </x:c>
      <x:c r="K141" t="inlineStr">
        <x:is>
          <x:t>/workspaces/training-modules-09-10/output/nationwide-correction-execution-20261011/checkpoints/active-assignments-20261012-v1/ny-history-clock-20261012/CANDIDATE-v5.json#/rows/invalid-sentencing_date-unknown</x:t>
        </x:is>
      </x:c>
      <x:c r="L141" t="inlineStr">
        <x:is>
          <x:t>R Codex; G and H-L review pending</x:t>
        </x:is>
      </x:c>
      <x:c r="M141" t="inlineStr">
        <x:is>
          <x:t>GA-19;GA-21</x:t>
        </x:is>
      </x:c>
      <x:c r="N141" t="inlineStr">
        <x:is>
          <x:t>Bounded engineering result only; all commercial holds; no control closure</x:t>
        </x:is>
      </x:c>
    </x:row>
    <x:row r="142">
      <x:c r="A142" t="inlineStr">
        <x:is>
          <x:t>NY268-invalid-sentencing_date-</x:t>
        </x:is>
      </x:c>
      <x:c r="B142" t="inlineStr">
        <x:is>
          <x:t>P02-05</x:t>
        </x:is>
      </x:c>
      <x:c r="C142" t="inlineStr">
        <x:is>
          <x:t>NY</x:t>
        </x:is>
      </x:c>
      <x:c r="D142" t="inlineStr">
        <x:is>
          <x:t>NY:discretionary-conviction-sealing-by-petition-under-cpl-160-59</x:t>
        </x:is>
      </x:c>
      <x:c r="E142" t="inlineStr">
        <x:is>
          <x:t>invalid-sentencing_date-</x:t>
        </x:is>
      </x:c>
      <x:c r="F142" t="inlineStr">
        <x:is>
          <x:t>Local evaluator</x:t>
        </x:is>
      </x:c>
      <x:c r="G142" t="inlineStr">
        <x:is>
          <x:t>EN</x:t>
        </x:is>
      </x:c>
      <x:c r="H142" t="inlineStr">
        <x:is>
          <x:t>933d1ab9a + NY source e3e08af63f6ed16f; pushed SHA in RECEIPT.json</x:t>
        </x:is>
      </x:c>
      <x:c r="I142" t="inlineStr">
        <x:is>
          <x:t>PASS</x:t>
        </x:is>
      </x:c>
      <x:c r="J142" t="inlineStr">
        <x:is>
          <x:t>needs_more_info</x:t>
        </x:is>
      </x:c>
      <x:c r="K142" t="inlineStr">
        <x:is>
          <x:t>/workspaces/training-modules-09-10/output/nationwide-correction-execution-20261011/checkpoints/active-assignments-20261012-v1/ny-history-clock-20261012/CANDIDATE-v5.json#/rows/invalid-sentencing_date-</x:t>
        </x:is>
      </x:c>
      <x:c r="L142" t="inlineStr">
        <x:is>
          <x:t>R Codex; G and H-L review pending</x:t>
        </x:is>
      </x:c>
      <x:c r="M142" t="inlineStr">
        <x:is>
          <x:t>GA-19;GA-21</x:t>
        </x:is>
      </x:c>
      <x:c r="N142" t="inlineStr">
        <x:is>
          <x:t>Bounded engineering result only; all commercial holds; no control closure</x:t>
        </x:is>
      </x:c>
    </x:row>
    <x:row r="143">
      <x:c r="A143" t="inlineStr">
        <x:is>
          <x:t>NY268-invalid-sentencing_date-2010-13-01</x:t>
        </x:is>
      </x:c>
      <x:c r="B143" t="inlineStr">
        <x:is>
          <x:t>P02-05</x:t>
        </x:is>
      </x:c>
      <x:c r="C143" t="inlineStr">
        <x:is>
          <x:t>NY</x:t>
        </x:is>
      </x:c>
      <x:c r="D143" t="inlineStr">
        <x:is>
          <x:t>NY:discretionary-conviction-sealing-by-petition-under-cpl-160-59</x:t>
        </x:is>
      </x:c>
      <x:c r="E143" t="inlineStr">
        <x:is>
          <x:t>invalid-sentencing_date-2010-13-01</x:t>
        </x:is>
      </x:c>
      <x:c r="F143" t="inlineStr">
        <x:is>
          <x:t>Local evaluator</x:t>
        </x:is>
      </x:c>
      <x:c r="G143" t="inlineStr">
        <x:is>
          <x:t>EN</x:t>
        </x:is>
      </x:c>
      <x:c r="H143" t="inlineStr">
        <x:is>
          <x:t>933d1ab9a + NY source e3e08af63f6ed16f; pushed SHA in RECEIPT.json</x:t>
        </x:is>
      </x:c>
      <x:c r="I143" t="inlineStr">
        <x:is>
          <x:t>PASS</x:t>
        </x:is>
      </x:c>
      <x:c r="J143" t="inlineStr">
        <x:is>
          <x:t>needs_more_info</x:t>
        </x:is>
      </x:c>
      <x:c r="K143" t="inlineStr">
        <x:is>
          <x:t>/workspaces/training-modules-09-10/output/nationwide-correction-execution-20261011/checkpoints/active-assignments-20261012-v1/ny-history-clock-20261012/CANDIDATE-v5.json#/rows/invalid-sentencing_date-2010-13-01</x:t>
        </x:is>
      </x:c>
      <x:c r="L143" t="inlineStr">
        <x:is>
          <x:t>R Codex; G and H-L review pending</x:t>
        </x:is>
      </x:c>
      <x:c r="M143" t="inlineStr">
        <x:is>
          <x:t>GA-19;GA-21</x:t>
        </x:is>
      </x:c>
      <x:c r="N143" t="inlineStr">
        <x:is>
          <x:t>Bounded engineering result only; all commercial holds; no control closure</x:t>
        </x:is>
      </x:c>
    </x:row>
    <x:row r="144">
      <x:c r="A144" t="inlineStr">
        <x:is>
          <x:t>NY268-invalid-release_date-2016-02-30</x:t>
        </x:is>
      </x:c>
      <x:c r="B144" t="inlineStr">
        <x:is>
          <x:t>P02-05</x:t>
        </x:is>
      </x:c>
      <x:c r="C144" t="inlineStr">
        <x:is>
          <x:t>NY</x:t>
        </x:is>
      </x:c>
      <x:c r="D144" t="inlineStr">
        <x:is>
          <x:t>NY:discretionary-conviction-sealing-by-petition-under-cpl-160-59</x:t>
        </x:is>
      </x:c>
      <x:c r="E144" t="inlineStr">
        <x:is>
          <x:t>invalid-release_date-2016-02-30</x:t>
        </x:is>
      </x:c>
      <x:c r="F144" t="inlineStr">
        <x:is>
          <x:t>Local evaluator</x:t>
        </x:is>
      </x:c>
      <x:c r="G144" t="inlineStr">
        <x:is>
          <x:t>EN</x:t>
        </x:is>
      </x:c>
      <x:c r="H144" t="inlineStr">
        <x:is>
          <x:t>933d1ab9a + NY source e3e08af63f6ed16f; pushed SHA in RECEIPT.json</x:t>
        </x:is>
      </x:c>
      <x:c r="I144" t="inlineStr">
        <x:is>
          <x:t>PASS</x:t>
        </x:is>
      </x:c>
      <x:c r="J144" t="inlineStr">
        <x:is>
          <x:t>needs_more_info</x:t>
        </x:is>
      </x:c>
      <x:c r="K144" t="inlineStr">
        <x:is>
          <x:t>/workspaces/training-modules-09-10/output/nationwide-correction-execution-20261011/checkpoints/active-assignments-20261012-v1/ny-history-clock-20261012/CANDIDATE-v5.json#/rows/invalid-release_date-2016-02-30</x:t>
        </x:is>
      </x:c>
      <x:c r="L144" t="inlineStr">
        <x:is>
          <x:t>R Codex; G and H-L review pending</x:t>
        </x:is>
      </x:c>
      <x:c r="M144" t="inlineStr">
        <x:is>
          <x:t>GA-19;GA-21</x:t>
        </x:is>
      </x:c>
      <x:c r="N144" t="inlineStr">
        <x:is>
          <x:t>Bounded engineering result only; all commercial holds; no control closure</x:t>
        </x:is>
      </x:c>
    </x:row>
    <x:row r="145">
      <x:c r="A145" t="inlineStr">
        <x:is>
          <x:t>NY268-invalid-release_date-2015-02-29</x:t>
        </x:is>
      </x:c>
      <x:c r="B145" t="inlineStr">
        <x:is>
          <x:t>P02-05</x:t>
        </x:is>
      </x:c>
      <x:c r="C145" t="inlineStr">
        <x:is>
          <x:t>NY</x:t>
        </x:is>
      </x:c>
      <x:c r="D145" t="inlineStr">
        <x:is>
          <x:t>NY:discretionary-conviction-sealing-by-petition-under-cpl-160-59</x:t>
        </x:is>
      </x:c>
      <x:c r="E145" t="inlineStr">
        <x:is>
          <x:t>invalid-release_date-2015-02-29</x:t>
        </x:is>
      </x:c>
      <x:c r="F145" t="inlineStr">
        <x:is>
          <x:t>Local evaluator</x:t>
        </x:is>
      </x:c>
      <x:c r="G145" t="inlineStr">
        <x:is>
          <x:t>EN</x:t>
        </x:is>
      </x:c>
      <x:c r="H145" t="inlineStr">
        <x:is>
          <x:t>933d1ab9a + NY source e3e08af63f6ed16f; pushed SHA in RECEIPT.json</x:t>
        </x:is>
      </x:c>
      <x:c r="I145" t="inlineStr">
        <x:is>
          <x:t>PASS</x:t>
        </x:is>
      </x:c>
      <x:c r="J145" t="inlineStr">
        <x:is>
          <x:t>needs_more_info</x:t>
        </x:is>
      </x:c>
      <x:c r="K145" t="inlineStr">
        <x:is>
          <x:t>/workspaces/training-modules-09-10/output/nationwide-correction-execution-20261011/checkpoints/active-assignments-20261012-v1/ny-history-clock-20261012/CANDIDATE-v5.json#/rows/invalid-release_date-2015-02-29</x:t>
        </x:is>
      </x:c>
      <x:c r="L145" t="inlineStr">
        <x:is>
          <x:t>R Codex; G and H-L review pending</x:t>
        </x:is>
      </x:c>
      <x:c r="M145" t="inlineStr">
        <x:is>
          <x:t>GA-19;GA-21</x:t>
        </x:is>
      </x:c>
      <x:c r="N145" t="inlineStr">
        <x:is>
          <x:t>Bounded engineering result only; all commercial holds; no control closure</x:t>
        </x:is>
      </x:c>
    </x:row>
    <x:row r="146">
      <x:c r="A146" t="inlineStr">
        <x:is>
          <x:t>NY268-invalid-release_date-2099-01-01</x:t>
        </x:is>
      </x:c>
      <x:c r="B146" t="inlineStr">
        <x:is>
          <x:t>P02-05</x:t>
        </x:is>
      </x:c>
      <x:c r="C146" t="inlineStr">
        <x:is>
          <x:t>NY</x:t>
        </x:is>
      </x:c>
      <x:c r="D146" t="inlineStr">
        <x:is>
          <x:t>NY:discretionary-conviction-sealing-by-petition-under-cpl-160-59</x:t>
        </x:is>
      </x:c>
      <x:c r="E146" t="inlineStr">
        <x:is>
          <x:t>invalid-release_date-2099-01-01</x:t>
        </x:is>
      </x:c>
      <x:c r="F146" t="inlineStr">
        <x:is>
          <x:t>Local evaluator</x:t>
        </x:is>
      </x:c>
      <x:c r="G146" t="inlineStr">
        <x:is>
          <x:t>EN</x:t>
        </x:is>
      </x:c>
      <x:c r="H146" t="inlineStr">
        <x:is>
          <x:t>933d1ab9a + NY source e3e08af63f6ed16f; pushed SHA in RECEIPT.json</x:t>
        </x:is>
      </x:c>
      <x:c r="I146" t="inlineStr">
        <x:is>
          <x:t>PASS</x:t>
        </x:is>
      </x:c>
      <x:c r="J146" t="inlineStr">
        <x:is>
          <x:t>needs_more_info</x:t>
        </x:is>
      </x:c>
      <x:c r="K146" t="inlineStr">
        <x:is>
          <x:t>/workspaces/training-modules-09-10/output/nationwide-correction-execution-20261011/checkpoints/active-assignments-20261012-v1/ny-history-clock-20261012/CANDIDATE-v5.json#/rows/invalid-release_date-2099-01-01</x:t>
        </x:is>
      </x:c>
      <x:c r="L146" t="inlineStr">
        <x:is>
          <x:t>R Codex; G and H-L review pending</x:t>
        </x:is>
      </x:c>
      <x:c r="M146" t="inlineStr">
        <x:is>
          <x:t>GA-19;GA-21</x:t>
        </x:is>
      </x:c>
      <x:c r="N146" t="inlineStr">
        <x:is>
          <x:t>Bounded engineering result only; all commercial holds; no control closure</x:t>
        </x:is>
      </x:c>
    </x:row>
    <x:row r="147">
      <x:c r="A147" t="inlineStr">
        <x:is>
          <x:t>NY268-invalid-release_date-unknown</x:t>
        </x:is>
      </x:c>
      <x:c r="B147" t="inlineStr">
        <x:is>
          <x:t>P02-05</x:t>
        </x:is>
      </x:c>
      <x:c r="C147" t="inlineStr">
        <x:is>
          <x:t>NY</x:t>
        </x:is>
      </x:c>
      <x:c r="D147" t="inlineStr">
        <x:is>
          <x:t>NY:discretionary-conviction-sealing-by-petition-under-cpl-160-59</x:t>
        </x:is>
      </x:c>
      <x:c r="E147" t="inlineStr">
        <x:is>
          <x:t>invalid-release_date-unknown</x:t>
        </x:is>
      </x:c>
      <x:c r="F147" t="inlineStr">
        <x:is>
          <x:t>Local evaluator</x:t>
        </x:is>
      </x:c>
      <x:c r="G147" t="inlineStr">
        <x:is>
          <x:t>EN</x:t>
        </x:is>
      </x:c>
      <x:c r="H147" t="inlineStr">
        <x:is>
          <x:t>933d1ab9a + NY source e3e08af63f6ed16f; pushed SHA in RECEIPT.json</x:t>
        </x:is>
      </x:c>
      <x:c r="I147" t="inlineStr">
        <x:is>
          <x:t>PASS</x:t>
        </x:is>
      </x:c>
      <x:c r="J147" t="inlineStr">
        <x:is>
          <x:t>needs_more_info</x:t>
        </x:is>
      </x:c>
      <x:c r="K147" t="inlineStr">
        <x:is>
          <x:t>/workspaces/training-modules-09-10/output/nationwide-correction-execution-20261011/checkpoints/active-assignments-20261012-v1/ny-history-clock-20261012/CANDIDATE-v5.json#/rows/invalid-release_date-unknown</x:t>
        </x:is>
      </x:c>
      <x:c r="L147" t="inlineStr">
        <x:is>
          <x:t>R Codex; G and H-L review pending</x:t>
        </x:is>
      </x:c>
      <x:c r="M147" t="inlineStr">
        <x:is>
          <x:t>GA-19;GA-21</x:t>
        </x:is>
      </x:c>
      <x:c r="N147" t="inlineStr">
        <x:is>
          <x:t>Bounded engineering result only; all commercial holds; no control closure</x:t>
        </x:is>
      </x:c>
    </x:row>
    <x:row r="148">
      <x:c r="A148" t="inlineStr">
        <x:is>
          <x:t>NY268-invalid-release_date-</x:t>
        </x:is>
      </x:c>
      <x:c r="B148" t="inlineStr">
        <x:is>
          <x:t>P02-05</x:t>
        </x:is>
      </x:c>
      <x:c r="C148" t="inlineStr">
        <x:is>
          <x:t>NY</x:t>
        </x:is>
      </x:c>
      <x:c r="D148" t="inlineStr">
        <x:is>
          <x:t>NY:discretionary-conviction-sealing-by-petition-under-cpl-160-59</x:t>
        </x:is>
      </x:c>
      <x:c r="E148" t="inlineStr">
        <x:is>
          <x:t>invalid-release_date-</x:t>
        </x:is>
      </x:c>
      <x:c r="F148" t="inlineStr">
        <x:is>
          <x:t>Local evaluator</x:t>
        </x:is>
      </x:c>
      <x:c r="G148" t="inlineStr">
        <x:is>
          <x:t>EN</x:t>
        </x:is>
      </x:c>
      <x:c r="H148" t="inlineStr">
        <x:is>
          <x:t>933d1ab9a + NY source e3e08af63f6ed16f; pushed SHA in RECEIPT.json</x:t>
        </x:is>
      </x:c>
      <x:c r="I148" t="inlineStr">
        <x:is>
          <x:t>PASS</x:t>
        </x:is>
      </x:c>
      <x:c r="J148" t="inlineStr">
        <x:is>
          <x:t>needs_more_info</x:t>
        </x:is>
      </x:c>
      <x:c r="K148" t="inlineStr">
        <x:is>
          <x:t>/workspaces/training-modules-09-10/output/nationwide-correction-execution-20261011/checkpoints/active-assignments-20261012-v1/ny-history-clock-20261012/CANDIDATE-v5.json#/rows/invalid-release_date-</x:t>
        </x:is>
      </x:c>
      <x:c r="L148" t="inlineStr">
        <x:is>
          <x:t>R Codex; G and H-L review pending</x:t>
        </x:is>
      </x:c>
      <x:c r="M148" t="inlineStr">
        <x:is>
          <x:t>GA-19;GA-21</x:t>
        </x:is>
      </x:c>
      <x:c r="N148" t="inlineStr">
        <x:is>
          <x:t>Bounded engineering result only; all commercial holds; no control closure</x:t>
        </x:is>
      </x:c>
    </x:row>
    <x:row r="149">
      <x:c r="A149" t="inlineStr">
        <x:is>
          <x:t>NY268-invalid-release_date-2010-13-01</x:t>
        </x:is>
      </x:c>
      <x:c r="B149" t="inlineStr">
        <x:is>
          <x:t>P02-05</x:t>
        </x:is>
      </x:c>
      <x:c r="C149" t="inlineStr">
        <x:is>
          <x:t>NY</x:t>
        </x:is>
      </x:c>
      <x:c r="D149" t="inlineStr">
        <x:is>
          <x:t>NY:discretionary-conviction-sealing-by-petition-under-cpl-160-59</x:t>
        </x:is>
      </x:c>
      <x:c r="E149" t="inlineStr">
        <x:is>
          <x:t>invalid-release_date-2010-13-01</x:t>
        </x:is>
      </x:c>
      <x:c r="F149" t="inlineStr">
        <x:is>
          <x:t>Local evaluator</x:t>
        </x:is>
      </x:c>
      <x:c r="G149" t="inlineStr">
        <x:is>
          <x:t>EN</x:t>
        </x:is>
      </x:c>
      <x:c r="H149" t="inlineStr">
        <x:is>
          <x:t>933d1ab9a + NY source e3e08af63f6ed16f; pushed SHA in RECEIPT.json</x:t>
        </x:is>
      </x:c>
      <x:c r="I149" t="inlineStr">
        <x:is>
          <x:t>PASS</x:t>
        </x:is>
      </x:c>
      <x:c r="J149" t="inlineStr">
        <x:is>
          <x:t>needs_more_info</x:t>
        </x:is>
      </x:c>
      <x:c r="K149" t="inlineStr">
        <x:is>
          <x:t>/workspaces/training-modules-09-10/output/nationwide-correction-execution-20261011/checkpoints/active-assignments-20261012-v1/ny-history-clock-20261012/CANDIDATE-v5.json#/rows/invalid-release_date-2010-13-01</x:t>
        </x:is>
      </x:c>
      <x:c r="L149" t="inlineStr">
        <x:is>
          <x:t>R Codex; G and H-L review pending</x:t>
        </x:is>
      </x:c>
      <x:c r="M149" t="inlineStr">
        <x:is>
          <x:t>GA-19;GA-21</x:t>
        </x:is>
      </x:c>
      <x:c r="N149" t="inlineStr">
        <x:is>
          <x:t>Bounded engineering result only; all commercial holds; no control closure</x:t>
        </x:is>
      </x:c>
    </x:row>
    <x:row r="150">
      <x:c r="A150" t="inlineStr">
        <x:is>
          <x:t>NY268-invalid-ny_16059_earliest_conviction_date-2016-02-30</x:t>
        </x:is>
      </x:c>
      <x:c r="B150" t="inlineStr">
        <x:is>
          <x:t>P02-05</x:t>
        </x:is>
      </x:c>
      <x:c r="C150" t="inlineStr">
        <x:is>
          <x:t>NY</x:t>
        </x:is>
      </x:c>
      <x:c r="D150" t="inlineStr">
        <x:is>
          <x:t>NY:discretionary-conviction-sealing-by-petition-under-cpl-160-59</x:t>
        </x:is>
      </x:c>
      <x:c r="E150" t="inlineStr">
        <x:is>
          <x:t>invalid-ny_16059_earliest_conviction_date-2016-02-30</x:t>
        </x:is>
      </x:c>
      <x:c r="F150" t="inlineStr">
        <x:is>
          <x:t>Local evaluator</x:t>
        </x:is>
      </x:c>
      <x:c r="G150" t="inlineStr">
        <x:is>
          <x:t>EN</x:t>
        </x:is>
      </x:c>
      <x:c r="H150" t="inlineStr">
        <x:is>
          <x:t>933d1ab9a + NY source e3e08af63f6ed16f; pushed SHA in RECEIPT.json</x:t>
        </x:is>
      </x:c>
      <x:c r="I150" t="inlineStr">
        <x:is>
          <x:t>PASS</x:t>
        </x:is>
      </x:c>
      <x:c r="J150" t="inlineStr">
        <x:is>
          <x:t>needs_more_info</x:t>
        </x:is>
      </x:c>
      <x:c r="K150" t="inlineStr">
        <x:is>
          <x:t>/workspaces/training-modules-09-10/output/nationwide-correction-execution-20261011/checkpoints/active-assignments-20261012-v1/ny-history-clock-20261012/CANDIDATE-v5.json#/rows/invalid-ny_16059_earliest_conviction_date-2016-02-30</x:t>
        </x:is>
      </x:c>
      <x:c r="L150" t="inlineStr">
        <x:is>
          <x:t>R Codex; G and H-L review pending</x:t>
        </x:is>
      </x:c>
      <x:c r="M150" t="inlineStr">
        <x:is>
          <x:t>GA-19;GA-21</x:t>
        </x:is>
      </x:c>
      <x:c r="N150" t="inlineStr">
        <x:is>
          <x:t>Bounded engineering result only; all commercial holds; no control closure</x:t>
        </x:is>
      </x:c>
    </x:row>
    <x:row r="151">
      <x:c r="A151" t="inlineStr">
        <x:is>
          <x:t>NY268-invalid-ny_16059_earliest_conviction_date-2015-02-29</x:t>
        </x:is>
      </x:c>
      <x:c r="B151" t="inlineStr">
        <x:is>
          <x:t>P02-05</x:t>
        </x:is>
      </x:c>
      <x:c r="C151" t="inlineStr">
        <x:is>
          <x:t>NY</x:t>
        </x:is>
      </x:c>
      <x:c r="D151" t="inlineStr">
        <x:is>
          <x:t>NY:discretionary-conviction-sealing-by-petition-under-cpl-160-59</x:t>
        </x:is>
      </x:c>
      <x:c r="E151" t="inlineStr">
        <x:is>
          <x:t>invalid-ny_16059_earliest_conviction_date-2015-02-29</x:t>
        </x:is>
      </x:c>
      <x:c r="F151" t="inlineStr">
        <x:is>
          <x:t>Local evaluator</x:t>
        </x:is>
      </x:c>
      <x:c r="G151" t="inlineStr">
        <x:is>
          <x:t>EN</x:t>
        </x:is>
      </x:c>
      <x:c r="H151" t="inlineStr">
        <x:is>
          <x:t>933d1ab9a + NY source e3e08af63f6ed16f; pushed SHA in RECEIPT.json</x:t>
        </x:is>
      </x:c>
      <x:c r="I151" t="inlineStr">
        <x:is>
          <x:t>PASS</x:t>
        </x:is>
      </x:c>
      <x:c r="J151" t="inlineStr">
        <x:is>
          <x:t>needs_more_info</x:t>
        </x:is>
      </x:c>
      <x:c r="K151" t="inlineStr">
        <x:is>
          <x:t>/workspaces/training-modules-09-10/output/nationwide-correction-execution-20261011/checkpoints/active-assignments-20261012-v1/ny-history-clock-20261012/CANDIDATE-v5.json#/rows/invalid-ny_16059_earliest_conviction_date-2015-02-29</x:t>
        </x:is>
      </x:c>
      <x:c r="L151" t="inlineStr">
        <x:is>
          <x:t>R Codex; G and H-L review pending</x:t>
        </x:is>
      </x:c>
      <x:c r="M151" t="inlineStr">
        <x:is>
          <x:t>GA-19;GA-21</x:t>
        </x:is>
      </x:c>
      <x:c r="N151" t="inlineStr">
        <x:is>
          <x:t>Bounded engineering result only; all commercial holds; no control closure</x:t>
        </x:is>
      </x:c>
    </x:row>
    <x:row r="152">
      <x:c r="A152" t="inlineStr">
        <x:is>
          <x:t>NY268-invalid-ny_16059_earliest_conviction_date-2099-01-01</x:t>
        </x:is>
      </x:c>
      <x:c r="B152" t="inlineStr">
        <x:is>
          <x:t>P02-05</x:t>
        </x:is>
      </x:c>
      <x:c r="C152" t="inlineStr">
        <x:is>
          <x:t>NY</x:t>
        </x:is>
      </x:c>
      <x:c r="D152" t="inlineStr">
        <x:is>
          <x:t>NY:discretionary-conviction-sealing-by-petition-under-cpl-160-59</x:t>
        </x:is>
      </x:c>
      <x:c r="E152" t="inlineStr">
        <x:is>
          <x:t>invalid-ny_16059_earliest_conviction_date-2099-01-01</x:t>
        </x:is>
      </x:c>
      <x:c r="F152" t="inlineStr">
        <x:is>
          <x:t>Local evaluator</x:t>
        </x:is>
      </x:c>
      <x:c r="G152" t="inlineStr">
        <x:is>
          <x:t>EN</x:t>
        </x:is>
      </x:c>
      <x:c r="H152" t="inlineStr">
        <x:is>
          <x:t>933d1ab9a + NY source e3e08af63f6ed16f; pushed SHA in RECEIPT.json</x:t>
        </x:is>
      </x:c>
      <x:c r="I152" t="inlineStr">
        <x:is>
          <x:t>PASS</x:t>
        </x:is>
      </x:c>
      <x:c r="J152" t="inlineStr">
        <x:is>
          <x:t>needs_more_info</x:t>
        </x:is>
      </x:c>
      <x:c r="K152" t="inlineStr">
        <x:is>
          <x:t>/workspaces/training-modules-09-10/output/nationwide-correction-execution-20261011/checkpoints/active-assignments-20261012-v1/ny-history-clock-20261012/CANDIDATE-v5.json#/rows/invalid-ny_16059_earliest_conviction_date-2099-01-01</x:t>
        </x:is>
      </x:c>
      <x:c r="L152" t="inlineStr">
        <x:is>
          <x:t>R Codex; G and H-L review pending</x:t>
        </x:is>
      </x:c>
      <x:c r="M152" t="inlineStr">
        <x:is>
          <x:t>GA-19;GA-21</x:t>
        </x:is>
      </x:c>
      <x:c r="N152" t="inlineStr">
        <x:is>
          <x:t>Bounded engineering result only; all commercial holds; no control closure</x:t>
        </x:is>
      </x:c>
    </x:row>
    <x:row r="153">
      <x:c r="A153" t="inlineStr">
        <x:is>
          <x:t>NY268-invalid-ny_16059_earliest_conviction_date-unknown</x:t>
        </x:is>
      </x:c>
      <x:c r="B153" t="inlineStr">
        <x:is>
          <x:t>P02-05</x:t>
        </x:is>
      </x:c>
      <x:c r="C153" t="inlineStr">
        <x:is>
          <x:t>NY</x:t>
        </x:is>
      </x:c>
      <x:c r="D153" t="inlineStr">
        <x:is>
          <x:t>NY:discretionary-conviction-sealing-by-petition-under-cpl-160-59</x:t>
        </x:is>
      </x:c>
      <x:c r="E153" t="inlineStr">
        <x:is>
          <x:t>invalid-ny_16059_earliest_conviction_date-unknown</x:t>
        </x:is>
      </x:c>
      <x:c r="F153" t="inlineStr">
        <x:is>
          <x:t>Local evaluator</x:t>
        </x:is>
      </x:c>
      <x:c r="G153" t="inlineStr">
        <x:is>
          <x:t>EN</x:t>
        </x:is>
      </x:c>
      <x:c r="H153" t="inlineStr">
        <x:is>
          <x:t>933d1ab9a + NY source e3e08af63f6ed16f; pushed SHA in RECEIPT.json</x:t>
        </x:is>
      </x:c>
      <x:c r="I153" t="inlineStr">
        <x:is>
          <x:t>PASS</x:t>
        </x:is>
      </x:c>
      <x:c r="J153" t="inlineStr">
        <x:is>
          <x:t>needs_more_info</x:t>
        </x:is>
      </x:c>
      <x:c r="K153" t="inlineStr">
        <x:is>
          <x:t>/workspaces/training-modules-09-10/output/nationwide-correction-execution-20261011/checkpoints/active-assignments-20261012-v1/ny-history-clock-20261012/CANDIDATE-v5.json#/rows/invalid-ny_16059_earliest_conviction_date-unknown</x:t>
        </x:is>
      </x:c>
      <x:c r="L153" t="inlineStr">
        <x:is>
          <x:t>R Codex; G and H-L review pending</x:t>
        </x:is>
      </x:c>
      <x:c r="M153" t="inlineStr">
        <x:is>
          <x:t>GA-19;GA-21</x:t>
        </x:is>
      </x:c>
      <x:c r="N153" t="inlineStr">
        <x:is>
          <x:t>Bounded engineering result only; all commercial holds; no control closure</x:t>
        </x:is>
      </x:c>
    </x:row>
    <x:row r="154">
      <x:c r="A154" t="inlineStr">
        <x:is>
          <x:t>NY268-invalid-ny_16059_earliest_conviction_date-</x:t>
        </x:is>
      </x:c>
      <x:c r="B154" t="inlineStr">
        <x:is>
          <x:t>P02-05</x:t>
        </x:is>
      </x:c>
      <x:c r="C154" t="inlineStr">
        <x:is>
          <x:t>NY</x:t>
        </x:is>
      </x:c>
      <x:c r="D154" t="inlineStr">
        <x:is>
          <x:t>NY:discretionary-conviction-sealing-by-petition-under-cpl-160-59</x:t>
        </x:is>
      </x:c>
      <x:c r="E154" t="inlineStr">
        <x:is>
          <x:t>invalid-ny_16059_earliest_conviction_date-</x:t>
        </x:is>
      </x:c>
      <x:c r="F154" t="inlineStr">
        <x:is>
          <x:t>Local evaluator</x:t>
        </x:is>
      </x:c>
      <x:c r="G154" t="inlineStr">
        <x:is>
          <x:t>EN</x:t>
        </x:is>
      </x:c>
      <x:c r="H154" t="inlineStr">
        <x:is>
          <x:t>933d1ab9a + NY source e3e08af63f6ed16f; pushed SHA in RECEIPT.json</x:t>
        </x:is>
      </x:c>
      <x:c r="I154" t="inlineStr">
        <x:is>
          <x:t>PASS</x:t>
        </x:is>
      </x:c>
      <x:c r="J154" t="inlineStr">
        <x:is>
          <x:t>needs_more_info</x:t>
        </x:is>
      </x:c>
      <x:c r="K154" t="inlineStr">
        <x:is>
          <x:t>/workspaces/training-modules-09-10/output/nationwide-correction-execution-20261011/checkpoints/active-assignments-20261012-v1/ny-history-clock-20261012/CANDIDATE-v5.json#/rows/invalid-ny_16059_earliest_conviction_date-</x:t>
        </x:is>
      </x:c>
      <x:c r="L154" t="inlineStr">
        <x:is>
          <x:t>R Codex; G and H-L review pending</x:t>
        </x:is>
      </x:c>
      <x:c r="M154" t="inlineStr">
        <x:is>
          <x:t>GA-19;GA-21</x:t>
        </x:is>
      </x:c>
      <x:c r="N154" t="inlineStr">
        <x:is>
          <x:t>Bounded engineering result only; all commercial holds; no control closure</x:t>
        </x:is>
      </x:c>
    </x:row>
    <x:row r="155">
      <x:c r="A155" t="inlineStr">
        <x:is>
          <x:t>NY268-invalid-ny_16059_earliest_conviction_date-2010-13-01</x:t>
        </x:is>
      </x:c>
      <x:c r="B155" t="inlineStr">
        <x:is>
          <x:t>P02-05</x:t>
        </x:is>
      </x:c>
      <x:c r="C155" t="inlineStr">
        <x:is>
          <x:t>NY</x:t>
        </x:is>
      </x:c>
      <x:c r="D155" t="inlineStr">
        <x:is>
          <x:t>NY:discretionary-conviction-sealing-by-petition-under-cpl-160-59</x:t>
        </x:is>
      </x:c>
      <x:c r="E155" t="inlineStr">
        <x:is>
          <x:t>invalid-ny_16059_earliest_conviction_date-2010-13-01</x:t>
        </x:is>
      </x:c>
      <x:c r="F155" t="inlineStr">
        <x:is>
          <x:t>Local evaluator</x:t>
        </x:is>
      </x:c>
      <x:c r="G155" t="inlineStr">
        <x:is>
          <x:t>EN</x:t>
        </x:is>
      </x:c>
      <x:c r="H155" t="inlineStr">
        <x:is>
          <x:t>933d1ab9a + NY source e3e08af63f6ed16f; pushed SHA in RECEIPT.json</x:t>
        </x:is>
      </x:c>
      <x:c r="I155" t="inlineStr">
        <x:is>
          <x:t>PASS</x:t>
        </x:is>
      </x:c>
      <x:c r="J155" t="inlineStr">
        <x:is>
          <x:t>needs_more_info</x:t>
        </x:is>
      </x:c>
      <x:c r="K155" t="inlineStr">
        <x:is>
          <x:t>/workspaces/training-modules-09-10/output/nationwide-correction-execution-20261011/checkpoints/active-assignments-20261012-v1/ny-history-clock-20261012/CANDIDATE-v5.json#/rows/invalid-ny_16059_earliest_conviction_date-2010-13-01</x:t>
        </x:is>
      </x:c>
      <x:c r="L155" t="inlineStr">
        <x:is>
          <x:t>R Codex; G and H-L review pending</x:t>
        </x:is>
      </x:c>
      <x:c r="M155" t="inlineStr">
        <x:is>
          <x:t>GA-19;GA-21</x:t>
        </x:is>
      </x:c>
      <x:c r="N155" t="inlineStr">
        <x:is>
          <x:t>Bounded engineering result only; all commercial holds; no control closure</x:t>
        </x:is>
      </x:c>
    </x:row>
    <x:row r="156">
      <x:c r="A156" t="inlineStr">
        <x:is>
          <x:t>NY268-leap-before</x:t>
        </x:is>
      </x:c>
      <x:c r="B156" t="inlineStr">
        <x:is>
          <x:t>P02-05</x:t>
        </x:is>
      </x:c>
      <x:c r="C156" t="inlineStr">
        <x:is>
          <x:t>NY</x:t>
        </x:is>
      </x:c>
      <x:c r="D156" t="inlineStr">
        <x:is>
          <x:t>NY:discretionary-conviction-sealing-by-petition-under-cpl-160-59</x:t>
        </x:is>
      </x:c>
      <x:c r="E156" t="inlineStr">
        <x:is>
          <x:t>leap-before</x:t>
        </x:is>
      </x:c>
      <x:c r="F156" t="inlineStr">
        <x:is>
          <x:t>Local evaluator</x:t>
        </x:is>
      </x:c>
      <x:c r="G156" t="inlineStr">
        <x:is>
          <x:t>EN</x:t>
        </x:is>
      </x:c>
      <x:c r="H156" t="inlineStr">
        <x:is>
          <x:t>933d1ab9a + NY source e3e08af63f6ed16f; pushed SHA in RECEIPT.json</x:t>
        </x:is>
      </x:c>
      <x:c r="I156" t="inlineStr">
        <x:is>
          <x:t>PASS</x:t>
        </x:is>
      </x:c>
      <x:c r="J156" t="inlineStr">
        <x:is>
          <x:t>not_yet</x:t>
        </x:is>
      </x:c>
      <x:c r="K156" t="inlineStr">
        <x:is>
          <x:t>/workspaces/training-modules-09-10/output/nationwide-correction-execution-20261011/checkpoints/active-assignments-20261012-v1/ny-history-clock-20261012/CANDIDATE-v5.json#/rows/leap-before</x:t>
        </x:is>
      </x:c>
      <x:c r="L156" t="inlineStr">
        <x:is>
          <x:t>R Codex; G and H-L review pending</x:t>
        </x:is>
      </x:c>
      <x:c r="M156" t="inlineStr">
        <x:is>
          <x:t>GA-19;GA-21</x:t>
        </x:is>
      </x:c>
      <x:c r="N156" t="inlineStr">
        <x:is>
          <x:t>Bounded engineering result only; all commercial holds; no control closure</x:t>
        </x:is>
      </x:c>
    </x:row>
    <x:row r="157">
      <x:c r="A157" t="inlineStr">
        <x:is>
          <x:t>NY268-leap-on</x:t>
        </x:is>
      </x:c>
      <x:c r="B157" t="inlineStr">
        <x:is>
          <x:t>P02-05</x:t>
        </x:is>
      </x:c>
      <x:c r="C157" t="inlineStr">
        <x:is>
          <x:t>NY</x:t>
        </x:is>
      </x:c>
      <x:c r="D157" t="inlineStr">
        <x:is>
          <x:t>NY:discretionary-conviction-sealing-by-petition-under-cpl-160-59</x:t>
        </x:is>
      </x:c>
      <x:c r="E157" t="inlineStr">
        <x:is>
          <x:t>leap-on</x:t>
        </x:is>
      </x:c>
      <x:c r="F157" t="inlineStr">
        <x:is>
          <x:t>Local evaluator</x:t>
        </x:is>
      </x:c>
      <x:c r="G157" t="inlineStr">
        <x:is>
          <x:t>EN</x:t>
        </x:is>
      </x:c>
      <x:c r="H157" t="inlineStr">
        <x:is>
          <x:t>933d1ab9a + NY source e3e08af63f6ed16f; pushed SHA in RECEIPT.json</x:t>
        </x:is>
      </x:c>
      <x:c r="I157" t="inlineStr">
        <x:is>
          <x:t>PASS</x:t>
        </x:is>
      </x:c>
      <x:c r="J157" t="inlineStr">
        <x:is>
          <x:t>packet_ready_with_caution</x:t>
        </x:is>
      </x:c>
      <x:c r="K157" t="inlineStr">
        <x:is>
          <x:t>/workspaces/training-modules-09-10/output/nationwide-correction-execution-20261011/checkpoints/active-assignments-20261012-v1/ny-history-clock-20261012/CANDIDATE-v5.json#/rows/leap-on</x:t>
        </x:is>
      </x:c>
      <x:c r="L157" t="inlineStr">
        <x:is>
          <x:t>R Codex; G and H-L review pending</x:t>
        </x:is>
      </x:c>
      <x:c r="M157" t="inlineStr">
        <x:is>
          <x:t>GA-19;GA-21</x:t>
        </x:is>
      </x:c>
      <x:c r="N157" t="inlineStr">
        <x:is>
          <x:t>Bounded engineering result only; all commercial holds; no control closure</x:t>
        </x:is>
      </x:c>
    </x:row>
    <x:row r="158">
      <x:c r="A158" t="inlineStr">
        <x:is>
          <x:t>NY268-detention-2027-10-11</x:t>
        </x:is>
      </x:c>
      <x:c r="B158" t="inlineStr">
        <x:is>
          <x:t>P02-05</x:t>
        </x:is>
      </x:c>
      <x:c r="C158" t="inlineStr">
        <x:is>
          <x:t>NY</x:t>
        </x:is>
      </x:c>
      <x:c r="D158" t="inlineStr">
        <x:is>
          <x:t>NY:discretionary-conviction-sealing-by-petition-under-cpl-160-59</x:t>
        </x:is>
      </x:c>
      <x:c r="E158" t="inlineStr">
        <x:is>
          <x:t>detention-2027-10-11</x:t>
        </x:is>
      </x:c>
      <x:c r="F158" t="inlineStr">
        <x:is>
          <x:t>Local evaluator</x:t>
        </x:is>
      </x:c>
      <x:c r="G158" t="inlineStr">
        <x:is>
          <x:t>EN</x:t>
        </x:is>
      </x:c>
      <x:c r="H158" t="inlineStr">
        <x:is>
          <x:t>933d1ab9a + NY source e3e08af63f6ed16f; pushed SHA in RECEIPT.json</x:t>
        </x:is>
      </x:c>
      <x:c r="I158" t="inlineStr">
        <x:is>
          <x:t>PASS</x:t>
        </x:is>
      </x:c>
      <x:c r="J158" t="inlineStr">
        <x:is>
          <x:t>not_yet</x:t>
        </x:is>
      </x:c>
      <x:c r="K158" t="inlineStr">
        <x:is>
          <x:t>/workspaces/training-modules-09-10/output/nationwide-correction-execution-20261011/checkpoints/active-assignments-20261012-v1/ny-history-clock-20261012/CANDIDATE-v5.json#/rows/detention-2027-10-11</x:t>
        </x:is>
      </x:c>
      <x:c r="L158" t="inlineStr">
        <x:is>
          <x:t>R Codex; G and H-L review pending</x:t>
        </x:is>
      </x:c>
      <x:c r="M158" t="inlineStr">
        <x:is>
          <x:t>GA-19;GA-21</x:t>
        </x:is>
      </x:c>
      <x:c r="N158" t="inlineStr">
        <x:is>
          <x:t>Bounded engineering result only; all commercial holds; no control closure</x:t>
        </x:is>
      </x:c>
    </x:row>
    <x:row r="159">
      <x:c r="A159" t="inlineStr">
        <x:is>
          <x:t>NY268-detention-2027-10-12</x:t>
        </x:is>
      </x:c>
      <x:c r="B159" t="inlineStr">
        <x:is>
          <x:t>P02-05</x:t>
        </x:is>
      </x:c>
      <x:c r="C159" t="inlineStr">
        <x:is>
          <x:t>NY</x:t>
        </x:is>
      </x:c>
      <x:c r="D159" t="inlineStr">
        <x:is>
          <x:t>NY:discretionary-conviction-sealing-by-petition-under-cpl-160-59</x:t>
        </x:is>
      </x:c>
      <x:c r="E159" t="inlineStr">
        <x:is>
          <x:t>detention-2027-10-12</x:t>
        </x:is>
      </x:c>
      <x:c r="F159" t="inlineStr">
        <x:is>
          <x:t>Local evaluator</x:t>
        </x:is>
      </x:c>
      <x:c r="G159" t="inlineStr">
        <x:is>
          <x:t>EN</x:t>
        </x:is>
      </x:c>
      <x:c r="H159" t="inlineStr">
        <x:is>
          <x:t>933d1ab9a + NY source e3e08af63f6ed16f; pushed SHA in RECEIPT.json</x:t>
        </x:is>
      </x:c>
      <x:c r="I159" t="inlineStr">
        <x:is>
          <x:t>PASS</x:t>
        </x:is>
      </x:c>
      <x:c r="J159" t="inlineStr">
        <x:is>
          <x:t>packet_ready_with_caution</x:t>
        </x:is>
      </x:c>
      <x:c r="K159" t="inlineStr">
        <x:is>
          <x:t>/workspaces/training-modules-09-10/output/nationwide-correction-execution-20261011/checkpoints/active-assignments-20261012-v1/ny-history-clock-20261012/CANDIDATE-v5.json#/rows/detention-2027-10-12</x:t>
        </x:is>
      </x:c>
      <x:c r="L159" t="inlineStr">
        <x:is>
          <x:t>R Codex; G and H-L review pending</x:t>
        </x:is>
      </x:c>
      <x:c r="M159" t="inlineStr">
        <x:is>
          <x:t>GA-19;GA-21</x:t>
        </x:is>
      </x:c>
      <x:c r="N159" t="inlineStr">
        <x:is>
          <x:t>Bounded engineering result only; all commercial holds; no control closure</x:t>
        </x:is>
      </x:c>
    </x:row>
    <x:row r="160">
      <x:c r="A160" t="inlineStr">
        <x:is>
          <x:t>NY268-detention-2027-10-13</x:t>
        </x:is>
      </x:c>
      <x:c r="B160" t="inlineStr">
        <x:is>
          <x:t>P02-05</x:t>
        </x:is>
      </x:c>
      <x:c r="C160" t="inlineStr">
        <x:is>
          <x:t>NY</x:t>
        </x:is>
      </x:c>
      <x:c r="D160" t="inlineStr">
        <x:is>
          <x:t>NY:discretionary-conviction-sealing-by-petition-under-cpl-160-59</x:t>
        </x:is>
      </x:c>
      <x:c r="E160" t="inlineStr">
        <x:is>
          <x:t>detention-2027-10-13</x:t>
        </x:is>
      </x:c>
      <x:c r="F160" t="inlineStr">
        <x:is>
          <x:t>Local evaluator</x:t>
        </x:is>
      </x:c>
      <x:c r="G160" t="inlineStr">
        <x:is>
          <x:t>EN</x:t>
        </x:is>
      </x:c>
      <x:c r="H160" t="inlineStr">
        <x:is>
          <x:t>933d1ab9a + NY source e3e08af63f6ed16f; pushed SHA in RECEIPT.json</x:t>
        </x:is>
      </x:c>
      <x:c r="I160" t="inlineStr">
        <x:is>
          <x:t>PASS</x:t>
        </x:is>
      </x:c>
      <x:c r="J160" t="inlineStr">
        <x:is>
          <x:t>packet_ready_with_caution</x:t>
        </x:is>
      </x:c>
      <x:c r="K160" t="inlineStr">
        <x:is>
          <x:t>/workspaces/training-modules-09-10/output/nationwide-correction-execution-20261011/checkpoints/active-assignments-20261012-v1/ny-history-clock-20261012/CANDIDATE-v5.json#/rows/detention-2027-10-13</x:t>
        </x:is>
      </x:c>
      <x:c r="L160" t="inlineStr">
        <x:is>
          <x:t>R Codex; G and H-L review pending</x:t>
        </x:is>
      </x:c>
      <x:c r="M160" t="inlineStr">
        <x:is>
          <x:t>GA-19;GA-21</x:t>
        </x:is>
      </x:c>
      <x:c r="N160" t="inlineStr">
        <x:is>
          <x:t>Bounded engineering result only; all commercial holds; no control closure</x:t>
        </x:is>
      </x:c>
    </x:row>
    <x:row r="161">
      <x:c r="A161" t="inlineStr">
        <x:is>
          <x:t>NY268-union-2018-06-01/2019-01-01
2018-01-01/2018-08-01</x:t>
        </x:is>
      </x:c>
      <x:c r="B161" t="inlineStr">
        <x:is>
          <x:t>P02-05</x:t>
        </x:is>
      </x:c>
      <x:c r="C161" t="inlineStr">
        <x:is>
          <x:t>NY</x:t>
        </x:is>
      </x:c>
      <x:c r="D161" t="inlineStr">
        <x:is>
          <x:t>NY:discretionary-conviction-sealing-by-petition-under-cpl-160-59</x:t>
        </x:is>
      </x:c>
      <x:c r="E161" t="inlineStr">
        <x:is>
          <x:t>union-2018-06-01/2019-01-01
2018-01-01/2018-08-01</x:t>
        </x:is>
      </x:c>
      <x:c r="F161" t="inlineStr">
        <x:is>
          <x:t>Local evaluator</x:t>
        </x:is>
      </x:c>
      <x:c r="G161" t="inlineStr">
        <x:is>
          <x:t>EN</x:t>
        </x:is>
      </x:c>
      <x:c r="H161" t="inlineStr">
        <x:is>
          <x:t>933d1ab9a + NY source e3e08af63f6ed16f; pushed SHA in RECEIPT.json</x:t>
        </x:is>
      </x:c>
      <x:c r="I161" t="inlineStr">
        <x:is>
          <x:t>PASS</x:t>
        </x:is>
      </x:c>
      <x:c r="J161" t="inlineStr">
        <x:is>
          <x:t>packet_ready_with_caution</x:t>
        </x:is>
      </x:c>
      <x:c r="K161" t="inlineStr">
        <x:is>
          <x:t>/workspaces/training-modules-09-10/output/nationwide-correction-execution-20261011/checkpoints/active-assignments-20261012-v1/ny-history-clock-20261012/CANDIDATE-v5.json#/rows/union-2018-06-01/2019-01-01
2018-01-01/2018-08-01</x:t>
        </x:is>
      </x:c>
      <x:c r="L161" t="inlineStr">
        <x:is>
          <x:t>R Codex; G and H-L review pending</x:t>
        </x:is>
      </x:c>
      <x:c r="M161" t="inlineStr">
        <x:is>
          <x:t>GA-19;GA-21</x:t>
        </x:is>
      </x:c>
      <x:c r="N161" t="inlineStr">
        <x:is>
          <x:t>Bounded engineering result only; all commercial holds; no control closure</x:t>
        </x:is>
      </x:c>
    </x:row>
    <x:row r="162">
      <x:c r="A162" t="inlineStr">
        <x:is>
          <x:t>NY268-union-2018-01-01/2019-01-01
2018-01-01/2019-01-01</x:t>
        </x:is>
      </x:c>
      <x:c r="B162" t="inlineStr">
        <x:is>
          <x:t>P02-05</x:t>
        </x:is>
      </x:c>
      <x:c r="C162" t="inlineStr">
        <x:is>
          <x:t>NY</x:t>
        </x:is>
      </x:c>
      <x:c r="D162" t="inlineStr">
        <x:is>
          <x:t>NY:discretionary-conviction-sealing-by-petition-under-cpl-160-59</x:t>
        </x:is>
      </x:c>
      <x:c r="E162" t="inlineStr">
        <x:is>
          <x:t>union-2018-01-01/2019-01-01
2018-01-01/2019-01-01</x:t>
        </x:is>
      </x:c>
      <x:c r="F162" t="inlineStr">
        <x:is>
          <x:t>Local evaluator</x:t>
        </x:is>
      </x:c>
      <x:c r="G162" t="inlineStr">
        <x:is>
          <x:t>EN</x:t>
        </x:is>
      </x:c>
      <x:c r="H162" t="inlineStr">
        <x:is>
          <x:t>933d1ab9a + NY source e3e08af63f6ed16f; pushed SHA in RECEIPT.json</x:t>
        </x:is>
      </x:c>
      <x:c r="I162" t="inlineStr">
        <x:is>
          <x:t>PASS</x:t>
        </x:is>
      </x:c>
      <x:c r="J162" t="inlineStr">
        <x:is>
          <x:t>packet_ready_with_caution</x:t>
        </x:is>
      </x:c>
      <x:c r="K162" t="inlineStr">
        <x:is>
          <x:t>/workspaces/training-modules-09-10/output/nationwide-correction-execution-20261011/checkpoints/active-assignments-20261012-v1/ny-history-clock-20261012/CANDIDATE-v5.json#/rows/union-2018-01-01/2019-01-01
2018-01-01/2019-01-01</x:t>
        </x:is>
      </x:c>
      <x:c r="L162" t="inlineStr">
        <x:is>
          <x:t>R Codex; G and H-L review pending</x:t>
        </x:is>
      </x:c>
      <x:c r="M162" t="inlineStr">
        <x:is>
          <x:t>GA-19;GA-21</x:t>
        </x:is>
      </x:c>
      <x:c r="N162" t="inlineStr">
        <x:is>
          <x:t>Bounded engineering result only; all commercial holds; no control closure</x:t>
        </x:is>
      </x:c>
    </x:row>
    <x:row r="163">
      <x:c r="A163" t="inlineStr">
        <x:is>
          <x:t>NY268-union-2018-01-01/2018-06-01
2018-06-01/2019-01-01</x:t>
        </x:is>
      </x:c>
      <x:c r="B163" t="inlineStr">
        <x:is>
          <x:t>P02-05</x:t>
        </x:is>
      </x:c>
      <x:c r="C163" t="inlineStr">
        <x:is>
          <x:t>NY</x:t>
        </x:is>
      </x:c>
      <x:c r="D163" t="inlineStr">
        <x:is>
          <x:t>NY:discretionary-conviction-sealing-by-petition-under-cpl-160-59</x:t>
        </x:is>
      </x:c>
      <x:c r="E163" t="inlineStr">
        <x:is>
          <x:t>union-2018-01-01/2018-06-01
2018-06-01/2019-01-01</x:t>
        </x:is>
      </x:c>
      <x:c r="F163" t="inlineStr">
        <x:is>
          <x:t>Local evaluator</x:t>
        </x:is>
      </x:c>
      <x:c r="G163" t="inlineStr">
        <x:is>
          <x:t>EN</x:t>
        </x:is>
      </x:c>
      <x:c r="H163" t="inlineStr">
        <x:is>
          <x:t>933d1ab9a + NY source e3e08af63f6ed16f; pushed SHA in RECEIPT.json</x:t>
        </x:is>
      </x:c>
      <x:c r="I163" t="inlineStr">
        <x:is>
          <x:t>PASS</x:t>
        </x:is>
      </x:c>
      <x:c r="J163" t="inlineStr">
        <x:is>
          <x:t>packet_ready_with_caution</x:t>
        </x:is>
      </x:c>
      <x:c r="K163" t="inlineStr">
        <x:is>
          <x:t>/workspaces/training-modules-09-10/output/nationwide-correction-execution-20261011/checkpoints/active-assignments-20261012-v1/ny-history-clock-20261012/CANDIDATE-v5.json#/rows/union-2018-01-01/2018-06-01
2018-06-01/2019-01-01</x:t>
        </x:is>
      </x:c>
      <x:c r="L163" t="inlineStr">
        <x:is>
          <x:t>R Codex; G and H-L review pending</x:t>
        </x:is>
      </x:c>
      <x:c r="M163" t="inlineStr">
        <x:is>
          <x:t>GA-19;GA-21</x:t>
        </x:is>
      </x:c>
      <x:c r="N163" t="inlineStr">
        <x:is>
          <x:t>Bounded engineering result only; all commercial holds; no control closure</x:t>
        </x:is>
      </x:c>
    </x:row>
    <x:row r="164">
      <x:c r="A164" t="inlineStr">
        <x:is>
          <x:t>NY268-release-before</x:t>
        </x:is>
      </x:c>
      <x:c r="B164" t="inlineStr">
        <x:is>
          <x:t>P02-05</x:t>
        </x:is>
      </x:c>
      <x:c r="C164" t="inlineStr">
        <x:is>
          <x:t>NY</x:t>
        </x:is>
      </x:c>
      <x:c r="D164" t="inlineStr">
        <x:is>
          <x:t>NY:discretionary-conviction-sealing-by-petition-under-cpl-160-59</x:t>
        </x:is>
      </x:c>
      <x:c r="E164" t="inlineStr">
        <x:is>
          <x:t>release-before</x:t>
        </x:is>
      </x:c>
      <x:c r="F164" t="inlineStr">
        <x:is>
          <x:t>Local evaluator</x:t>
        </x:is>
      </x:c>
      <x:c r="G164" t="inlineStr">
        <x:is>
          <x:t>EN</x:t>
        </x:is>
      </x:c>
      <x:c r="H164" t="inlineStr">
        <x:is>
          <x:t>933d1ab9a + NY source e3e08af63f6ed16f; pushed SHA in RECEIPT.json</x:t>
        </x:is>
      </x:c>
      <x:c r="I164" t="inlineStr">
        <x:is>
          <x:t>PASS</x:t>
        </x:is>
      </x:c>
      <x:c r="J164" t="inlineStr">
        <x:is>
          <x:t>not_yet</x:t>
        </x:is>
      </x:c>
      <x:c r="K164" t="inlineStr">
        <x:is>
          <x:t>/workspaces/training-modules-09-10/output/nationwide-correction-execution-20261011/checkpoints/active-assignments-20261012-v1/ny-history-clock-20261012/CANDIDATE-v5.json#/rows/release-before</x:t>
        </x:is>
      </x:c>
      <x:c r="L164" t="inlineStr">
        <x:is>
          <x:t>R Codex; G and H-L review pending</x:t>
        </x:is>
      </x:c>
      <x:c r="M164" t="inlineStr">
        <x:is>
          <x:t>GA-19;GA-21</x:t>
        </x:is>
      </x:c>
      <x:c r="N164" t="inlineStr">
        <x:is>
          <x:t>Bounded engineering result only; all commercial holds; no control closure</x:t>
        </x:is>
      </x:c>
    </x:row>
    <x:row r="165">
      <x:c r="A165" t="inlineStr">
        <x:is>
          <x:t>NY268-release-interpretation-boundary</x:t>
        </x:is>
      </x:c>
      <x:c r="B165" t="inlineStr">
        <x:is>
          <x:t>P02-05</x:t>
        </x:is>
      </x:c>
      <x:c r="C165" t="inlineStr">
        <x:is>
          <x:t>NY</x:t>
        </x:is>
      </x:c>
      <x:c r="D165" t="inlineStr">
        <x:is>
          <x:t>NY:discretionary-conviction-sealing-by-petition-under-cpl-160-59</x:t>
        </x:is>
      </x:c>
      <x:c r="E165" t="inlineStr">
        <x:is>
          <x:t>release-interpretation-boundary</x:t>
        </x:is>
      </x:c>
      <x:c r="F165" t="inlineStr">
        <x:is>
          <x:t>Local evaluator</x:t>
        </x:is>
      </x:c>
      <x:c r="G165" t="inlineStr">
        <x:is>
          <x:t>EN</x:t>
        </x:is>
      </x:c>
      <x:c r="H165" t="inlineStr">
        <x:is>
          <x:t>933d1ab9a + NY source e3e08af63f6ed16f; pushed SHA in RECEIPT.json</x:t>
        </x:is>
      </x:c>
      <x:c r="I165" t="inlineStr">
        <x:is>
          <x:t>PASS</x:t>
        </x:is>
      </x:c>
      <x:c r="J165" t="inlineStr">
        <x:is>
          <x:t>needs_review</x:t>
        </x:is>
      </x:c>
      <x:c r="K165" t="inlineStr">
        <x:is>
          <x:t>/workspaces/training-modules-09-10/output/nationwide-correction-execution-20261011/checkpoints/active-assignments-20261012-v1/ny-history-clock-20261012/CANDIDATE-v5.json#/rows/release-interpretation-boundary</x:t>
        </x:is>
      </x:c>
      <x:c r="L165" t="inlineStr">
        <x:is>
          <x:t>R Codex; G and H-L review pending</x:t>
        </x:is>
      </x:c>
      <x:c r="M165" t="inlineStr">
        <x:is>
          <x:t>GA-19;GA-21</x:t>
        </x:is>
      </x:c>
      <x:c r="N165" t="inlineStr">
        <x:is>
          <x:t>Bounded engineering result only; all commercial holds; no control closure</x:t>
        </x:is>
      </x:c>
    </x:row>
    <x:row r="166">
      <x:c r="A166" t="inlineStr">
        <x:is>
          <x:t>NY268-release-both-interpretations-met</x:t>
        </x:is>
      </x:c>
      <x:c r="B166" t="inlineStr">
        <x:is>
          <x:t>P02-05</x:t>
        </x:is>
      </x:c>
      <x:c r="C166" t="inlineStr">
        <x:is>
          <x:t>NY</x:t>
        </x:is>
      </x:c>
      <x:c r="D166" t="inlineStr">
        <x:is>
          <x:t>NY:discretionary-conviction-sealing-by-petition-under-cpl-160-59</x:t>
        </x:is>
      </x:c>
      <x:c r="E166" t="inlineStr">
        <x:is>
          <x:t>release-both-interpretations-met</x:t>
        </x:is>
      </x:c>
      <x:c r="F166" t="inlineStr">
        <x:is>
          <x:t>Local evaluator</x:t>
        </x:is>
      </x:c>
      <x:c r="G166" t="inlineStr">
        <x:is>
          <x:t>EN</x:t>
        </x:is>
      </x:c>
      <x:c r="H166" t="inlineStr">
        <x:is>
          <x:t>933d1ab9a + NY source e3e08af63f6ed16f; pushed SHA in RECEIPT.json</x:t>
        </x:is>
      </x:c>
      <x:c r="I166" t="inlineStr">
        <x:is>
          <x:t>PASS</x:t>
        </x:is>
      </x:c>
      <x:c r="J166" t="inlineStr">
        <x:is>
          <x:t>packet_ready_with_caution</x:t>
        </x:is>
      </x:c>
      <x:c r="K166" t="inlineStr">
        <x:is>
          <x:t>/workspaces/training-modules-09-10/output/nationwide-correction-execution-20261011/checkpoints/active-assignments-20261012-v1/ny-history-clock-20261012/CANDIDATE-v5.json#/rows/release-both-interpretations-met</x:t>
        </x:is>
      </x:c>
      <x:c r="L166" t="inlineStr">
        <x:is>
          <x:t>R Codex; G and H-L review pending</x:t>
        </x:is>
      </x:c>
      <x:c r="M166" t="inlineStr">
        <x:is>
          <x:t>GA-19;GA-21</x:t>
        </x:is>
      </x:c>
      <x:c r="N166" t="inlineStr">
        <x:is>
          <x:t>Bounded engineering result only; all commercial holds; no control closure</x:t>
        </x:is>
      </x:c>
    </x:row>
    <x:row r="167">
      <x:c r="A167" t="inlineStr">
        <x:is>
          <x:t>NY268-release-required</x:t>
        </x:is>
      </x:c>
      <x:c r="B167" t="inlineStr">
        <x:is>
          <x:t>P02-05</x:t>
        </x:is>
      </x:c>
      <x:c r="C167" t="inlineStr">
        <x:is>
          <x:t>NY</x:t>
        </x:is>
      </x:c>
      <x:c r="D167" t="inlineStr">
        <x:is>
          <x:t>NY:discretionary-conviction-sealing-by-petition-under-cpl-160-59</x:t>
        </x:is>
      </x:c>
      <x:c r="E167" t="inlineStr">
        <x:is>
          <x:t>release-required</x:t>
        </x:is>
      </x:c>
      <x:c r="F167" t="inlineStr">
        <x:is>
          <x:t>Local evaluator</x:t>
        </x:is>
      </x:c>
      <x:c r="G167" t="inlineStr">
        <x:is>
          <x:t>EN</x:t>
        </x:is>
      </x:c>
      <x:c r="H167" t="inlineStr">
        <x:is>
          <x:t>933d1ab9a + NY source e3e08af63f6ed16f; pushed SHA in RECEIPT.json</x:t>
        </x:is>
      </x:c>
      <x:c r="I167" t="inlineStr">
        <x:is>
          <x:t>PASS</x:t>
        </x:is>
      </x:c>
      <x:c r="J167" t="inlineStr">
        <x:is>
          <x:t>needs_more_info</x:t>
        </x:is>
      </x:c>
      <x:c r="K167" t="inlineStr">
        <x:is>
          <x:t>/workspaces/training-modules-09-10/output/nationwide-correction-execution-20261011/checkpoints/active-assignments-20261012-v1/ny-history-clock-20261012/CANDIDATE-v5.json#/rows/release-required</x:t>
        </x:is>
      </x:c>
      <x:c r="L167" t="inlineStr">
        <x:is>
          <x:t>R Codex; G and H-L review pending</x:t>
        </x:is>
      </x:c>
      <x:c r="M167" t="inlineStr">
        <x:is>
          <x:t>GA-19;GA-21</x:t>
        </x:is>
      </x:c>
      <x:c r="N167" t="inlineStr">
        <x:is>
          <x:t>Bounded engineering result only; all commercial holds; no control closure</x:t>
        </x:is>
      </x:c>
    </x:row>
    <x:row r="168">
      <x:c r="A168" t="inlineStr">
        <x:is>
          <x:t>NY268-periods-required</x:t>
        </x:is>
      </x:c>
      <x:c r="B168" t="inlineStr">
        <x:is>
          <x:t>P02-05</x:t>
        </x:is>
      </x:c>
      <x:c r="C168" t="inlineStr">
        <x:is>
          <x:t>NY</x:t>
        </x:is>
      </x:c>
      <x:c r="D168" t="inlineStr">
        <x:is>
          <x:t>NY:discretionary-conviction-sealing-by-petition-under-cpl-160-59</x:t>
        </x:is>
      </x:c>
      <x:c r="E168" t="inlineStr">
        <x:is>
          <x:t>periods-required</x:t>
        </x:is>
      </x:c>
      <x:c r="F168" t="inlineStr">
        <x:is>
          <x:t>Local evaluator</x:t>
        </x:is>
      </x:c>
      <x:c r="G168" t="inlineStr">
        <x:is>
          <x:t>EN</x:t>
        </x:is>
      </x:c>
      <x:c r="H168" t="inlineStr">
        <x:is>
          <x:t>933d1ab9a + NY source e3e08af63f6ed16f; pushed SHA in RECEIPT.json</x:t>
        </x:is>
      </x:c>
      <x:c r="I168" t="inlineStr">
        <x:is>
          <x:t>PASS</x:t>
        </x:is>
      </x:c>
      <x:c r="J168" t="inlineStr">
        <x:is>
          <x:t>needs_more_info</x:t>
        </x:is>
      </x:c>
      <x:c r="K168" t="inlineStr">
        <x:is>
          <x:t>/workspaces/training-modules-09-10/output/nationwide-correction-execution-20261011/checkpoints/active-assignments-20261012-v1/ny-history-clock-20261012/CANDIDATE-v5.json#/rows/periods-required</x:t>
        </x:is>
      </x:c>
      <x:c r="L168" t="inlineStr">
        <x:is>
          <x:t>R Codex; G and H-L review pending</x:t>
        </x:is>
      </x:c>
      <x:c r="M168" t="inlineStr">
        <x:is>
          <x:t>GA-19;GA-21</x:t>
        </x:is>
      </x:c>
      <x:c r="N168" t="inlineStr">
        <x:is>
          <x:t>Bounded engineering result only; all commercial holds; no control closure</x:t>
        </x:is>
      </x:c>
    </x:row>
    <x:row r="169">
      <x:c r="A169" t="inlineStr">
        <x:is>
          <x:t>NY268-still-incarcerated</x:t>
        </x:is>
      </x:c>
      <x:c r="B169" t="inlineStr">
        <x:is>
          <x:t>P02-05</x:t>
        </x:is>
      </x:c>
      <x:c r="C169" t="inlineStr">
        <x:is>
          <x:t>NY</x:t>
        </x:is>
      </x:c>
      <x:c r="D169" t="inlineStr">
        <x:is>
          <x:t>NY:discretionary-conviction-sealing-by-petition-under-cpl-160-59</x:t>
        </x:is>
      </x:c>
      <x:c r="E169" t="inlineStr">
        <x:is>
          <x:t>still-incarcerated</x:t>
        </x:is>
      </x:c>
      <x:c r="F169" t="inlineStr">
        <x:is>
          <x:t>Local evaluator</x:t>
        </x:is>
      </x:c>
      <x:c r="G169" t="inlineStr">
        <x:is>
          <x:t>EN</x:t>
        </x:is>
      </x:c>
      <x:c r="H169" t="inlineStr">
        <x:is>
          <x:t>933d1ab9a + NY source e3e08af63f6ed16f; pushed SHA in RECEIPT.json</x:t>
        </x:is>
      </x:c>
      <x:c r="I169" t="inlineStr">
        <x:is>
          <x:t>PASS</x:t>
        </x:is>
      </x:c>
      <x:c r="J169" t="inlineStr">
        <x:is>
          <x:t>not_yet</x:t>
        </x:is>
      </x:c>
      <x:c r="K169" t="inlineStr">
        <x:is>
          <x:t>/workspaces/training-modules-09-10/output/nationwide-correction-execution-20261011/checkpoints/active-assignments-20261012-v1/ny-history-clock-20261012/CANDIDATE-v5.json#/rows/still-incarcerated</x:t>
        </x:is>
      </x:c>
      <x:c r="L169" t="inlineStr">
        <x:is>
          <x:t>R Codex; G and H-L review pending</x:t>
        </x:is>
      </x:c>
      <x:c r="M169" t="inlineStr">
        <x:is>
          <x:t>GA-19;GA-21</x:t>
        </x:is>
      </x:c>
      <x:c r="N169" t="inlineStr">
        <x:is>
          <x:t>Bounded engineering result only; all commercial holds; no control closure</x:t>
        </x:is>
      </x:c>
    </x:row>
    <x:row r="170">
      <x:c r="A170" t="inlineStr">
        <x:is>
          <x:t>NY268-bad-period-2019-01-01/2018-01-01</x:t>
        </x:is>
      </x:c>
      <x:c r="B170" t="inlineStr">
        <x:is>
          <x:t>P02-05</x:t>
        </x:is>
      </x:c>
      <x:c r="C170" t="inlineStr">
        <x:is>
          <x:t>NY</x:t>
        </x:is>
      </x:c>
      <x:c r="D170" t="inlineStr">
        <x:is>
          <x:t>NY:discretionary-conviction-sealing-by-petition-under-cpl-160-59</x:t>
        </x:is>
      </x:c>
      <x:c r="E170" t="inlineStr">
        <x:is>
          <x:t>bad-period-2019-01-01/2018-01-01</x:t>
        </x:is>
      </x:c>
      <x:c r="F170" t="inlineStr">
        <x:is>
          <x:t>Local evaluator</x:t>
        </x:is>
      </x:c>
      <x:c r="G170" t="inlineStr">
        <x:is>
          <x:t>EN</x:t>
        </x:is>
      </x:c>
      <x:c r="H170" t="inlineStr">
        <x:is>
          <x:t>933d1ab9a + NY source e3e08af63f6ed16f; pushed SHA in RECEIPT.json</x:t>
        </x:is>
      </x:c>
      <x:c r="I170" t="inlineStr">
        <x:is>
          <x:t>PASS</x:t>
        </x:is>
      </x:c>
      <x:c r="J170" t="inlineStr">
        <x:is>
          <x:t>needs_more_info</x:t>
        </x:is>
      </x:c>
      <x:c r="K170" t="inlineStr">
        <x:is>
          <x:t>/workspaces/training-modules-09-10/output/nationwide-correction-execution-20261011/checkpoints/active-assignments-20261012-v1/ny-history-clock-20261012/CANDIDATE-v5.json#/rows/bad-period-2019-01-01/2018-01-01</x:t>
        </x:is>
      </x:c>
      <x:c r="L170" t="inlineStr">
        <x:is>
          <x:t>R Codex; G and H-L review pending</x:t>
        </x:is>
      </x:c>
      <x:c r="M170" t="inlineStr">
        <x:is>
          <x:t>GA-19;GA-21</x:t>
        </x:is>
      </x:c>
      <x:c r="N170" t="inlineStr">
        <x:is>
          <x:t>Bounded engineering result only; all commercial holds; no control closure</x:t>
        </x:is>
      </x:c>
    </x:row>
    <x:row r="171">
      <x:c r="A171" t="inlineStr">
        <x:is>
          <x:t>NY268-bad-period-2018-02-30/2019-01-01</x:t>
        </x:is>
      </x:c>
      <x:c r="B171" t="inlineStr">
        <x:is>
          <x:t>P02-05</x:t>
        </x:is>
      </x:c>
      <x:c r="C171" t="inlineStr">
        <x:is>
          <x:t>NY</x:t>
        </x:is>
      </x:c>
      <x:c r="D171" t="inlineStr">
        <x:is>
          <x:t>NY:discretionary-conviction-sealing-by-petition-under-cpl-160-59</x:t>
        </x:is>
      </x:c>
      <x:c r="E171" t="inlineStr">
        <x:is>
          <x:t>bad-period-2018-02-30/2019-01-01</x:t>
        </x:is>
      </x:c>
      <x:c r="F171" t="inlineStr">
        <x:is>
          <x:t>Local evaluator</x:t>
        </x:is>
      </x:c>
      <x:c r="G171" t="inlineStr">
        <x:is>
          <x:t>EN</x:t>
        </x:is>
      </x:c>
      <x:c r="H171" t="inlineStr">
        <x:is>
          <x:t>933d1ab9a + NY source e3e08af63f6ed16f; pushed SHA in RECEIPT.json</x:t>
        </x:is>
      </x:c>
      <x:c r="I171" t="inlineStr">
        <x:is>
          <x:t>PASS</x:t>
        </x:is>
      </x:c>
      <x:c r="J171" t="inlineStr">
        <x:is>
          <x:t>needs_more_info</x:t>
        </x:is>
      </x:c>
      <x:c r="K171" t="inlineStr">
        <x:is>
          <x:t>/workspaces/training-modules-09-10/output/nationwide-correction-execution-20261011/checkpoints/active-assignments-20261012-v1/ny-history-clock-20261012/CANDIDATE-v5.json#/rows/bad-period-2018-02-30/2019-01-01</x:t>
        </x:is>
      </x:c>
      <x:c r="L171" t="inlineStr">
        <x:is>
          <x:t>R Codex; G and H-L review pending</x:t>
        </x:is>
      </x:c>
      <x:c r="M171" t="inlineStr">
        <x:is>
          <x:t>GA-19;GA-21</x:t>
        </x:is>
      </x:c>
      <x:c r="N171" t="inlineStr">
        <x:is>
          <x:t>Bounded engineering result only; all commercial holds; no control closure</x:t>
        </x:is>
      </x:c>
    </x:row>
    <x:row r="172">
      <x:c r="A172" t="inlineStr">
        <x:is>
          <x:t>NY268-bad-period-2018-01-01/2099-01-01</x:t>
        </x:is>
      </x:c>
      <x:c r="B172" t="inlineStr">
        <x:is>
          <x:t>P02-05</x:t>
        </x:is>
      </x:c>
      <x:c r="C172" t="inlineStr">
        <x:is>
          <x:t>NY</x:t>
        </x:is>
      </x:c>
      <x:c r="D172" t="inlineStr">
        <x:is>
          <x:t>NY:discretionary-conviction-sealing-by-petition-under-cpl-160-59</x:t>
        </x:is>
      </x:c>
      <x:c r="E172" t="inlineStr">
        <x:is>
          <x:t>bad-period-2018-01-01/2099-01-01</x:t>
        </x:is>
      </x:c>
      <x:c r="F172" t="inlineStr">
        <x:is>
          <x:t>Local evaluator</x:t>
        </x:is>
      </x:c>
      <x:c r="G172" t="inlineStr">
        <x:is>
          <x:t>EN</x:t>
        </x:is>
      </x:c>
      <x:c r="H172" t="inlineStr">
        <x:is>
          <x:t>933d1ab9a + NY source e3e08af63f6ed16f; pushed SHA in RECEIPT.json</x:t>
        </x:is>
      </x:c>
      <x:c r="I172" t="inlineStr">
        <x:is>
          <x:t>PASS</x:t>
        </x:is>
      </x:c>
      <x:c r="J172" t="inlineStr">
        <x:is>
          <x:t>needs_more_info</x:t>
        </x:is>
      </x:c>
      <x:c r="K172" t="inlineStr">
        <x:is>
          <x:t>/workspaces/training-modules-09-10/output/nationwide-correction-execution-20261011/checkpoints/active-assignments-20261012-v1/ny-history-clock-20261012/CANDIDATE-v5.json#/rows/bad-period-2018-01-01/2099-01-01</x:t>
        </x:is>
      </x:c>
      <x:c r="L172" t="inlineStr">
        <x:is>
          <x:t>R Codex; G and H-L review pending</x:t>
        </x:is>
      </x:c>
      <x:c r="M172" t="inlineStr">
        <x:is>
          <x:t>GA-19;GA-21</x:t>
        </x:is>
      </x:c>
      <x:c r="N172" t="inlineStr">
        <x:is>
          <x:t>Bounded engineering result only; all commercial holds; no control closure</x:t>
        </x:is>
      </x:c>
    </x:row>
    <x:row r="173">
      <x:c r="A173" t="inlineStr">
        <x:is>
          <x:t>NY268-bad-period-2018-01-01/unknown</x:t>
        </x:is>
      </x:c>
      <x:c r="B173" t="inlineStr">
        <x:is>
          <x:t>P02-05</x:t>
        </x:is>
      </x:c>
      <x:c r="C173" t="inlineStr">
        <x:is>
          <x:t>NY</x:t>
        </x:is>
      </x:c>
      <x:c r="D173" t="inlineStr">
        <x:is>
          <x:t>NY:discretionary-conviction-sealing-by-petition-under-cpl-160-59</x:t>
        </x:is>
      </x:c>
      <x:c r="E173" t="inlineStr">
        <x:is>
          <x:t>bad-period-2018-01-01/unknown</x:t>
        </x:is>
      </x:c>
      <x:c r="F173" t="inlineStr">
        <x:is>
          <x:t>Local evaluator</x:t>
        </x:is>
      </x:c>
      <x:c r="G173" t="inlineStr">
        <x:is>
          <x:t>EN</x:t>
        </x:is>
      </x:c>
      <x:c r="H173" t="inlineStr">
        <x:is>
          <x:t>933d1ab9a + NY source e3e08af63f6ed16f; pushed SHA in RECEIPT.json</x:t>
        </x:is>
      </x:c>
      <x:c r="I173" t="inlineStr">
        <x:is>
          <x:t>PASS</x:t>
        </x:is>
      </x:c>
      <x:c r="J173" t="inlineStr">
        <x:is>
          <x:t>needs_more_info</x:t>
        </x:is>
      </x:c>
      <x:c r="K173" t="inlineStr">
        <x:is>
          <x:t>/workspaces/training-modules-09-10/output/nationwide-correction-execution-20261011/checkpoints/active-assignments-20261012-v1/ny-history-clock-20261012/CANDIDATE-v5.json#/rows/bad-period-2018-01-01/unknown</x:t>
        </x:is>
      </x:c>
      <x:c r="L173" t="inlineStr">
        <x:is>
          <x:t>R Codex; G and H-L review pending</x:t>
        </x:is>
      </x:c>
      <x:c r="M173" t="inlineStr">
        <x:is>
          <x:t>GA-19;GA-21</x:t>
        </x:is>
      </x:c>
      <x:c r="N173" t="inlineStr">
        <x:is>
          <x:t>Bounded engineering result only; all commercial holds; no control closure</x:t>
        </x:is>
      </x:c>
    </x:row>
    <x:row r="174">
      <x:c r="A174" t="inlineStr">
        <x:is>
          <x:t>NY268-bad-period-2018-01-01</x:t>
        </x:is>
      </x:c>
      <x:c r="B174" t="inlineStr">
        <x:is>
          <x:t>P02-05</x:t>
        </x:is>
      </x:c>
      <x:c r="C174" t="inlineStr">
        <x:is>
          <x:t>NY</x:t>
        </x:is>
      </x:c>
      <x:c r="D174" t="inlineStr">
        <x:is>
          <x:t>NY:discretionary-conviction-sealing-by-petition-under-cpl-160-59</x:t>
        </x:is>
      </x:c>
      <x:c r="E174" t="inlineStr">
        <x:is>
          <x:t>bad-period-2018-01-01</x:t>
        </x:is>
      </x:c>
      <x:c r="F174" t="inlineStr">
        <x:is>
          <x:t>Local evaluator</x:t>
        </x:is>
      </x:c>
      <x:c r="G174" t="inlineStr">
        <x:is>
          <x:t>EN</x:t>
        </x:is>
      </x:c>
      <x:c r="H174" t="inlineStr">
        <x:is>
          <x:t>933d1ab9a + NY source e3e08af63f6ed16f; pushed SHA in RECEIPT.json</x:t>
        </x:is>
      </x:c>
      <x:c r="I174" t="inlineStr">
        <x:is>
          <x:t>PASS</x:t>
        </x:is>
      </x:c>
      <x:c r="J174" t="inlineStr">
        <x:is>
          <x:t>needs_more_info</x:t>
        </x:is>
      </x:c>
      <x:c r="K174" t="inlineStr">
        <x:is>
          <x:t>/workspaces/training-modules-09-10/output/nationwide-correction-execution-20261011/checkpoints/active-assignments-20261012-v1/ny-history-clock-20261012/CANDIDATE-v5.json#/rows/bad-period-2018-01-01</x:t>
        </x:is>
      </x:c>
      <x:c r="L174" t="inlineStr">
        <x:is>
          <x:t>R Codex; G and H-L review pending</x:t>
        </x:is>
      </x:c>
      <x:c r="M174" t="inlineStr">
        <x:is>
          <x:t>GA-19;GA-21</x:t>
        </x:is>
      </x:c>
      <x:c r="N174" t="inlineStr">
        <x:is>
          <x:t>Bounded engineering result only; all commercial holds; no control closure</x:t>
        </x:is>
      </x:c>
    </x:row>
    <x:row r="175">
      <x:c r="A175" t="inlineStr">
        <x:is>
          <x:t>NY268-bad-period-unknown</x:t>
        </x:is>
      </x:c>
      <x:c r="B175" t="inlineStr">
        <x:is>
          <x:t>P02-05</x:t>
        </x:is>
      </x:c>
      <x:c r="C175" t="inlineStr">
        <x:is>
          <x:t>NY</x:t>
        </x:is>
      </x:c>
      <x:c r="D175" t="inlineStr">
        <x:is>
          <x:t>NY:discretionary-conviction-sealing-by-petition-under-cpl-160-59</x:t>
        </x:is>
      </x:c>
      <x:c r="E175" t="inlineStr">
        <x:is>
          <x:t>bad-period-unknown</x:t>
        </x:is>
      </x:c>
      <x:c r="F175" t="inlineStr">
        <x:is>
          <x:t>Local evaluator</x:t>
        </x:is>
      </x:c>
      <x:c r="G175" t="inlineStr">
        <x:is>
          <x:t>EN</x:t>
        </x:is>
      </x:c>
      <x:c r="H175" t="inlineStr">
        <x:is>
          <x:t>933d1ab9a + NY source e3e08af63f6ed16f; pushed SHA in RECEIPT.json</x:t>
        </x:is>
      </x:c>
      <x:c r="I175" t="inlineStr">
        <x:is>
          <x:t>PASS</x:t>
        </x:is>
      </x:c>
      <x:c r="J175" t="inlineStr">
        <x:is>
          <x:t>needs_more_info</x:t>
        </x:is>
      </x:c>
      <x:c r="K175" t="inlineStr">
        <x:is>
          <x:t>/workspaces/training-modules-09-10/output/nationwide-correction-execution-20261011/checkpoints/active-assignments-20261012-v1/ny-history-clock-20261012/CANDIDATE-v5.json#/rows/bad-period-unknown</x:t>
        </x:is>
      </x:c>
      <x:c r="L175" t="inlineStr">
        <x:is>
          <x:t>R Codex; G and H-L review pending</x:t>
        </x:is>
      </x:c>
      <x:c r="M175" t="inlineStr">
        <x:is>
          <x:t>GA-19;GA-21</x:t>
        </x:is>
      </x:c>
      <x:c r="N175" t="inlineStr">
        <x:is>
          <x:t>Bounded engineering result only; all commercial holds; no control closure</x:t>
        </x:is>
      </x:c>
    </x:row>
    <x:row r="176">
      <x:c r="A176" t="inlineStr">
        <x:is>
          <x:t>NY268-bad-period-</x:t>
        </x:is>
      </x:c>
      <x:c r="B176" t="inlineStr">
        <x:is>
          <x:t>P02-05</x:t>
        </x:is>
      </x:c>
      <x:c r="C176" t="inlineStr">
        <x:is>
          <x:t>NY</x:t>
        </x:is>
      </x:c>
      <x:c r="D176" t="inlineStr">
        <x:is>
          <x:t>NY:discretionary-conviction-sealing-by-petition-under-cpl-160-59</x:t>
        </x:is>
      </x:c>
      <x:c r="E176" t="inlineStr">
        <x:is>
          <x:t>bad-period-</x:t>
        </x:is>
      </x:c>
      <x:c r="F176" t="inlineStr">
        <x:is>
          <x:t>Local evaluator</x:t>
        </x:is>
      </x:c>
      <x:c r="G176" t="inlineStr">
        <x:is>
          <x:t>EN</x:t>
        </x:is>
      </x:c>
      <x:c r="H176" t="inlineStr">
        <x:is>
          <x:t>933d1ab9a + NY source e3e08af63f6ed16f; pushed SHA in RECEIPT.json</x:t>
        </x:is>
      </x:c>
      <x:c r="I176" t="inlineStr">
        <x:is>
          <x:t>PASS</x:t>
        </x:is>
      </x:c>
      <x:c r="J176" t="inlineStr">
        <x:is>
          <x:t>needs_more_info</x:t>
        </x:is>
      </x:c>
      <x:c r="K176" t="inlineStr">
        <x:is>
          <x:t>/workspaces/training-modules-09-10/output/nationwide-correction-execution-20261011/checkpoints/active-assignments-20261012-v1/ny-history-clock-20261012/CANDIDATE-v5.json#/rows/bad-period-</x:t>
        </x:is>
      </x:c>
      <x:c r="L176" t="inlineStr">
        <x:is>
          <x:t>R Codex; G and H-L review pending</x:t>
        </x:is>
      </x:c>
      <x:c r="M176" t="inlineStr">
        <x:is>
          <x:t>GA-19;GA-21</x:t>
        </x:is>
      </x:c>
      <x:c r="N176" t="inlineStr">
        <x:is>
          <x:t>Bounded engineering result only; all commercial holds; no control closure</x:t>
        </x:is>
      </x:c>
    </x:row>
    <x:row r="177">
      <x:c r="A177" t="inlineStr">
        <x:is>
          <x:t>NY268-sentence-before-conviction</x:t>
        </x:is>
      </x:c>
      <x:c r="B177" t="inlineStr">
        <x:is>
          <x:t>P02-05</x:t>
        </x:is>
      </x:c>
      <x:c r="C177" t="inlineStr">
        <x:is>
          <x:t>NY</x:t>
        </x:is>
      </x:c>
      <x:c r="D177" t="inlineStr">
        <x:is>
          <x:t>NY:discretionary-conviction-sealing-by-petition-under-cpl-160-59</x:t>
        </x:is>
      </x:c>
      <x:c r="E177" t="inlineStr">
        <x:is>
          <x:t>sentence-before-conviction</x:t>
        </x:is>
      </x:c>
      <x:c r="F177" t="inlineStr">
        <x:is>
          <x:t>Local evaluator</x:t>
        </x:is>
      </x:c>
      <x:c r="G177" t="inlineStr">
        <x:is>
          <x:t>EN</x:t>
        </x:is>
      </x:c>
      <x:c r="H177" t="inlineStr">
        <x:is>
          <x:t>933d1ab9a + NY source e3e08af63f6ed16f; pushed SHA in RECEIPT.json</x:t>
        </x:is>
      </x:c>
      <x:c r="I177" t="inlineStr">
        <x:is>
          <x:t>PASS</x:t>
        </x:is>
      </x:c>
      <x:c r="J177" t="inlineStr">
        <x:is>
          <x:t>needs_review</x:t>
        </x:is>
      </x:c>
      <x:c r="K177" t="inlineStr">
        <x:is>
          <x:t>/workspaces/training-modules-09-10/output/nationwide-correction-execution-20261011/checkpoints/active-assignments-20261012-v1/ny-history-clock-20261012/CANDIDATE-v5.json#/rows/sentence-before-conviction</x:t>
        </x:is>
      </x:c>
      <x:c r="L177" t="inlineStr">
        <x:is>
          <x:t>R Codex; G and H-L review pending</x:t>
        </x:is>
      </x:c>
      <x:c r="M177" t="inlineStr">
        <x:is>
          <x:t>GA-19;GA-21</x:t>
        </x:is>
      </x:c>
      <x:c r="N177" t="inlineStr">
        <x:is>
          <x:t>Bounded engineering result only; all commercial holds; no control closure</x:t>
        </x:is>
      </x:c>
    </x:row>
    <x:row r="178">
      <x:c r="A178" t="inlineStr">
        <x:is>
          <x:t>NY268-release-before-sentence</x:t>
        </x:is>
      </x:c>
      <x:c r="B178" t="inlineStr">
        <x:is>
          <x:t>P02-05</x:t>
        </x:is>
      </x:c>
      <x:c r="C178" t="inlineStr">
        <x:is>
          <x:t>NY</x:t>
        </x:is>
      </x:c>
      <x:c r="D178" t="inlineStr">
        <x:is>
          <x:t>NY:discretionary-conviction-sealing-by-petition-under-cpl-160-59</x:t>
        </x:is>
      </x:c>
      <x:c r="E178" t="inlineStr">
        <x:is>
          <x:t>release-before-sentence</x:t>
        </x:is>
      </x:c>
      <x:c r="F178" t="inlineStr">
        <x:is>
          <x:t>Local evaluator</x:t>
        </x:is>
      </x:c>
      <x:c r="G178" t="inlineStr">
        <x:is>
          <x:t>EN</x:t>
        </x:is>
      </x:c>
      <x:c r="H178" t="inlineStr">
        <x:is>
          <x:t>933d1ab9a + NY source e3e08af63f6ed16f; pushed SHA in RECEIPT.json</x:t>
        </x:is>
      </x:c>
      <x:c r="I178" t="inlineStr">
        <x:is>
          <x:t>PASS</x:t>
        </x:is>
      </x:c>
      <x:c r="J178" t="inlineStr">
        <x:is>
          <x:t>needs_review</x:t>
        </x:is>
      </x:c>
      <x:c r="K178" t="inlineStr">
        <x:is>
          <x:t>/workspaces/training-modules-09-10/output/nationwide-correction-execution-20261011/checkpoints/active-assignments-20261012-v1/ny-history-clock-20261012/CANDIDATE-v5.json#/rows/release-before-sentence</x:t>
        </x:is>
      </x:c>
      <x:c r="L178" t="inlineStr">
        <x:is>
          <x:t>R Codex; G and H-L review pending</x:t>
        </x:is>
      </x:c>
      <x:c r="M178" t="inlineStr">
        <x:is>
          <x:t>GA-19;GA-21</x:t>
        </x:is>
      </x:c>
      <x:c r="N178" t="inlineStr">
        <x:is>
          <x:t>Bounded engineering result only; all commercial holds; no control closure</x:t>
        </x:is>
      </x:c>
    </x:row>
    <x:row r="179">
      <x:c r="A179" t="inlineStr">
        <x:is>
          <x:t>NY268-release-period-conflict</x:t>
        </x:is>
      </x:c>
      <x:c r="B179" t="inlineStr">
        <x:is>
          <x:t>P02-05</x:t>
        </x:is>
      </x:c>
      <x:c r="C179" t="inlineStr">
        <x:is>
          <x:t>NY</x:t>
        </x:is>
      </x:c>
      <x:c r="D179" t="inlineStr">
        <x:is>
          <x:t>NY:discretionary-conviction-sealing-by-petition-under-cpl-160-59</x:t>
        </x:is>
      </x:c>
      <x:c r="E179" t="inlineStr">
        <x:is>
          <x:t>release-period-conflict</x:t>
        </x:is>
      </x:c>
      <x:c r="F179" t="inlineStr">
        <x:is>
          <x:t>Local evaluator</x:t>
        </x:is>
      </x:c>
      <x:c r="G179" t="inlineStr">
        <x:is>
          <x:t>EN</x:t>
        </x:is>
      </x:c>
      <x:c r="H179" t="inlineStr">
        <x:is>
          <x:t>933d1ab9a + NY source e3e08af63f6ed16f; pushed SHA in RECEIPT.json</x:t>
        </x:is>
      </x:c>
      <x:c r="I179" t="inlineStr">
        <x:is>
          <x:t>PASS</x:t>
        </x:is>
      </x:c>
      <x:c r="J179" t="inlineStr">
        <x:is>
          <x:t>needs_review</x:t>
        </x:is>
      </x:c>
      <x:c r="K179" t="inlineStr">
        <x:is>
          <x:t>/workspaces/training-modules-09-10/output/nationwide-correction-execution-20261011/checkpoints/active-assignments-20261012-v1/ny-history-clock-20261012/CANDIDATE-v5.json#/rows/release-period-conflict</x:t>
        </x:is>
      </x:c>
      <x:c r="L179" t="inlineStr">
        <x:is>
          <x:t>R Codex; G and H-L review pending</x:t>
        </x:is>
      </x:c>
      <x:c r="M179" t="inlineStr">
        <x:is>
          <x:t>GA-19;GA-21</x:t>
        </x:is>
      </x:c>
      <x:c r="N179" t="inlineStr">
        <x:is>
          <x:t>Bounded engineering result only; all commercial holds; no control closure</x:t>
        </x:is>
      </x:c>
    </x:row>
    <x:row r="180">
      <x:c r="A180" t="inlineStr">
        <x:is>
          <x:t>NY268-denied-incarceration-with-release</x:t>
        </x:is>
      </x:c>
      <x:c r="B180" t="inlineStr">
        <x:is>
          <x:t>P02-05</x:t>
        </x:is>
      </x:c>
      <x:c r="C180" t="inlineStr">
        <x:is>
          <x:t>NY</x:t>
        </x:is>
      </x:c>
      <x:c r="D180" t="inlineStr">
        <x:is>
          <x:t>NY:discretionary-conviction-sealing-by-petition-under-cpl-160-59</x:t>
        </x:is>
      </x:c>
      <x:c r="E180" t="inlineStr">
        <x:is>
          <x:t>denied-incarceration-with-release</x:t>
        </x:is>
      </x:c>
      <x:c r="F180" t="inlineStr">
        <x:is>
          <x:t>Local evaluator</x:t>
        </x:is>
      </x:c>
      <x:c r="G180" t="inlineStr">
        <x:is>
          <x:t>EN</x:t>
        </x:is>
      </x:c>
      <x:c r="H180" t="inlineStr">
        <x:is>
          <x:t>933d1ab9a + NY source e3e08af63f6ed16f; pushed SHA in RECEIPT.json</x:t>
        </x:is>
      </x:c>
      <x:c r="I180" t="inlineStr">
        <x:is>
          <x:t>PASS</x:t>
        </x:is>
      </x:c>
      <x:c r="J180" t="inlineStr">
        <x:is>
          <x:t>needs_review</x:t>
        </x:is>
      </x:c>
      <x:c r="K180" t="inlineStr">
        <x:is>
          <x:t>/workspaces/training-modules-09-10/output/nationwide-correction-execution-20261011/checkpoints/active-assignments-20261012-v1/ny-history-clock-20261012/CANDIDATE-v5.json#/rows/denied-incarceration-with-release</x:t>
        </x:is>
      </x:c>
      <x:c r="L180" t="inlineStr">
        <x:is>
          <x:t>R Codex; G and H-L review pending</x:t>
        </x:is>
      </x:c>
      <x:c r="M180" t="inlineStr">
        <x:is>
          <x:t>GA-19;GA-21</x:t>
        </x:is>
      </x:c>
      <x:c r="N180" t="inlineStr">
        <x:is>
          <x:t>Bounded engineering result only; all commercial holds; no control closure</x:t>
        </x:is>
      </x:c>
    </x:row>
    <x:row r="181">
      <x:c r="A181" t="inlineStr">
        <x:is>
          <x:t>NY268-later-conviction</x:t>
        </x:is>
      </x:c>
      <x:c r="B181" t="inlineStr">
        <x:is>
          <x:t>P02-05</x:t>
        </x:is>
      </x:c>
      <x:c r="C181" t="inlineStr">
        <x:is>
          <x:t>NY</x:t>
        </x:is>
      </x:c>
      <x:c r="D181" t="inlineStr">
        <x:is>
          <x:t>NY:discretionary-conviction-sealing-by-petition-under-cpl-160-59</x:t>
        </x:is>
      </x:c>
      <x:c r="E181" t="inlineStr">
        <x:is>
          <x:t>later-conviction</x:t>
        </x:is>
      </x:c>
      <x:c r="F181" t="inlineStr">
        <x:is>
          <x:t>Local evaluator</x:t>
        </x:is>
      </x:c>
      <x:c r="G181" t="inlineStr">
        <x:is>
          <x:t>EN</x:t>
        </x:is>
      </x:c>
      <x:c r="H181" t="inlineStr">
        <x:is>
          <x:t>933d1ab9a + NY source e3e08af63f6ed16f; pushed SHA in RECEIPT.json</x:t>
        </x:is>
      </x:c>
      <x:c r="I181" t="inlineStr">
        <x:is>
          <x:t>PASS</x:t>
        </x:is>
      </x:c>
      <x:c r="J181" t="inlineStr">
        <x:is>
          <x:t>likely_not_eligible</x:t>
        </x:is>
      </x:c>
      <x:c r="K181" t="inlineStr">
        <x:is>
          <x:t>/workspaces/training-modules-09-10/output/nationwide-correction-execution-20261011/checkpoints/active-assignments-20261012-v1/ny-history-clock-20261012/CANDIDATE-v5.json#/rows/later-conviction</x:t>
        </x:is>
      </x:c>
      <x:c r="L181" t="inlineStr">
        <x:is>
          <x:t>R Codex; G and H-L review pending</x:t>
        </x:is>
      </x:c>
      <x:c r="M181" t="inlineStr">
        <x:is>
          <x:t>GA-19;GA-21</x:t>
        </x:is>
      </x:c>
      <x:c r="N181" t="inlineStr">
        <x:is>
          <x:t>Bounded engineering result only; all commercial holds; no control closure</x:t>
        </x:is>
      </x:c>
    </x:row>
    <x:row r="182">
      <x:c r="A182" t="inlineStr">
        <x:is>
          <x:t>NY268-undisposed-arrest</x:t>
        </x:is>
      </x:c>
      <x:c r="B182" t="inlineStr">
        <x:is>
          <x:t>P02-05</x:t>
        </x:is>
      </x:c>
      <x:c r="C182" t="inlineStr">
        <x:is>
          <x:t>NY</x:t>
        </x:is>
      </x:c>
      <x:c r="D182" t="inlineStr">
        <x:is>
          <x:t>NY:discretionary-conviction-sealing-by-petition-under-cpl-160-59</x:t>
        </x:is>
      </x:c>
      <x:c r="E182" t="inlineStr">
        <x:is>
          <x:t>undisposed-arrest</x:t>
        </x:is>
      </x:c>
      <x:c r="F182" t="inlineStr">
        <x:is>
          <x:t>Local evaluator</x:t>
        </x:is>
      </x:c>
      <x:c r="G182" t="inlineStr">
        <x:is>
          <x:t>EN</x:t>
        </x:is>
      </x:c>
      <x:c r="H182" t="inlineStr">
        <x:is>
          <x:t>933d1ab9a + NY source e3e08af63f6ed16f; pushed SHA in RECEIPT.json</x:t>
        </x:is>
      </x:c>
      <x:c r="I182" t="inlineStr">
        <x:is>
          <x:t>PASS</x:t>
        </x:is>
      </x:c>
      <x:c r="J182" t="inlineStr">
        <x:is>
          <x:t>likely_not_eligible</x:t>
        </x:is>
      </x:c>
      <x:c r="K182" t="inlineStr">
        <x:is>
          <x:t>/workspaces/training-modules-09-10/output/nationwide-correction-execution-20261011/checkpoints/active-assignments-20261012-v1/ny-history-clock-20261012/CANDIDATE-v5.json#/rows/undisposed-arrest</x:t>
        </x:is>
      </x:c>
      <x:c r="L182" t="inlineStr">
        <x:is>
          <x:t>R Codex; G and H-L review pending</x:t>
        </x:is>
      </x:c>
      <x:c r="M182" t="inlineStr">
        <x:is>
          <x:t>GA-19;GA-21</x:t>
        </x:is>
      </x:c>
      <x:c r="N182" t="inlineStr">
        <x:is>
          <x:t>Bounded engineering result only; all commercial holds; no control closure</x:t>
        </x:is>
      </x:c>
    </x:row>
    <x:row r="183">
      <x:c r="A183" t="inlineStr">
        <x:is>
          <x:t>NY268-legacy-uncertain-ny_16059_total_eligible_convictions</x:t>
        </x:is>
      </x:c>
      <x:c r="B183" t="inlineStr">
        <x:is>
          <x:t>P02-05</x:t>
        </x:is>
      </x:c>
      <x:c r="C183" t="inlineStr">
        <x:is>
          <x:t>NY</x:t>
        </x:is>
      </x:c>
      <x:c r="D183" t="inlineStr">
        <x:is>
          <x:t>NY:discretionary-conviction-sealing-by-petition-under-cpl-160-59</x:t>
        </x:is>
      </x:c>
      <x:c r="E183" t="inlineStr">
        <x:is>
          <x:t>legacy-uncertain-ny_16059_total_eligible_convictions</x:t>
        </x:is>
      </x:c>
      <x:c r="F183" t="inlineStr">
        <x:is>
          <x:t>Local evaluator</x:t>
        </x:is>
      </x:c>
      <x:c r="G183" t="inlineStr">
        <x:is>
          <x:t>EN</x:t>
        </x:is>
      </x:c>
      <x:c r="H183" t="inlineStr">
        <x:is>
          <x:t>933d1ab9a + NY source e3e08af63f6ed16f; pushed SHA in RECEIPT.json</x:t>
        </x:is>
      </x:c>
      <x:c r="I183" t="inlineStr">
        <x:is>
          <x:t>PASS</x:t>
        </x:is>
      </x:c>
      <x:c r="J183" t="inlineStr">
        <x:is>
          <x:t>packet_ready_with_caution</x:t>
        </x:is>
      </x:c>
      <x:c r="K183" t="inlineStr">
        <x:is>
          <x:t>/workspaces/training-modules-09-10/output/nationwide-correction-execution-20261011/checkpoints/active-assignments-20261012-v1/ny-history-clock-20261012/CANDIDATE-v5.json#/rows/legacy-uncertain-ny_16059_total_eligible_convictions</x:t>
        </x:is>
      </x:c>
      <x:c r="L183" t="inlineStr">
        <x:is>
          <x:t>R Codex; G and H-L review pending</x:t>
        </x:is>
      </x:c>
      <x:c r="M183" t="inlineStr">
        <x:is>
          <x:t>GA-19;GA-21</x:t>
        </x:is>
      </x:c>
      <x:c r="N183" t="inlineStr">
        <x:is>
          <x:t>Bounded engineering result only; all commercial holds; no control closure</x:t>
        </x:is>
      </x:c>
    </x:row>
    <x:row r="184">
      <x:c r="A184" t="inlineStr">
        <x:is>
          <x:t>NY268-legacy-uncertain-ny_16059_felony_convictions</x:t>
        </x:is>
      </x:c>
      <x:c r="B184" t="inlineStr">
        <x:is>
          <x:t>P02-05</x:t>
        </x:is>
      </x:c>
      <x:c r="C184" t="inlineStr">
        <x:is>
          <x:t>NY</x:t>
        </x:is>
      </x:c>
      <x:c r="D184" t="inlineStr">
        <x:is>
          <x:t>NY:discretionary-conviction-sealing-by-petition-under-cpl-160-59</x:t>
        </x:is>
      </x:c>
      <x:c r="E184" t="inlineStr">
        <x:is>
          <x:t>legacy-uncertain-ny_16059_felony_convictions</x:t>
        </x:is>
      </x:c>
      <x:c r="F184" t="inlineStr">
        <x:is>
          <x:t>Local evaluator</x:t>
        </x:is>
      </x:c>
      <x:c r="G184" t="inlineStr">
        <x:is>
          <x:t>EN</x:t>
        </x:is>
      </x:c>
      <x:c r="H184" t="inlineStr">
        <x:is>
          <x:t>933d1ab9a + NY source e3e08af63f6ed16f; pushed SHA in RECEIPT.json</x:t>
        </x:is>
      </x:c>
      <x:c r="I184" t="inlineStr">
        <x:is>
          <x:t>PASS</x:t>
        </x:is>
      </x:c>
      <x:c r="J184" t="inlineStr">
        <x:is>
          <x:t>packet_ready_with_caution</x:t>
        </x:is>
      </x:c>
      <x:c r="K184" t="inlineStr">
        <x:is>
          <x:t>/workspaces/training-modules-09-10/output/nationwide-correction-execution-20261011/checkpoints/active-assignments-20261012-v1/ny-history-clock-20261012/CANDIDATE-v5.json#/rows/legacy-uncertain-ny_16059_felony_convictions</x:t>
        </x:is>
      </x:c>
      <x:c r="L184" t="inlineStr">
        <x:is>
          <x:t>R Codex; G and H-L review pending</x:t>
        </x:is>
      </x:c>
      <x:c r="M184" t="inlineStr">
        <x:is>
          <x:t>GA-19;GA-21</x:t>
        </x:is>
      </x:c>
      <x:c r="N184" t="inlineStr">
        <x:is>
          <x:t>Bounded engineering result only; all commercial holds; no control closure</x:t>
        </x:is>
      </x:c>
    </x:row>
    <x:row r="185">
      <x:c r="A185" t="inlineStr">
        <x:is>
          <x:t>NY268-legacy-uncertain-ny_16059_prior_sealing</x:t>
        </x:is>
      </x:c>
      <x:c r="B185" t="inlineStr">
        <x:is>
          <x:t>P02-05</x:t>
        </x:is>
      </x:c>
      <x:c r="C185" t="inlineStr">
        <x:is>
          <x:t>NY</x:t>
        </x:is>
      </x:c>
      <x:c r="D185" t="inlineStr">
        <x:is>
          <x:t>NY:discretionary-conviction-sealing-by-petition-under-cpl-160-59</x:t>
        </x:is>
      </x:c>
      <x:c r="E185" t="inlineStr">
        <x:is>
          <x:t>legacy-uncertain-ny_16059_prior_sealing</x:t>
        </x:is>
      </x:c>
      <x:c r="F185" t="inlineStr">
        <x:is>
          <x:t>Local evaluator</x:t>
        </x:is>
      </x:c>
      <x:c r="G185" t="inlineStr">
        <x:is>
          <x:t>EN</x:t>
        </x:is>
      </x:c>
      <x:c r="H185" t="inlineStr">
        <x:is>
          <x:t>933d1ab9a + NY source e3e08af63f6ed16f; pushed SHA in RECEIPT.json</x:t>
        </x:is>
      </x:c>
      <x:c r="I185" t="inlineStr">
        <x:is>
          <x:t>PASS</x:t>
        </x:is>
      </x:c>
      <x:c r="J185" t="inlineStr">
        <x:is>
          <x:t>packet_ready_with_caution</x:t>
        </x:is>
      </x:c>
      <x:c r="K185" t="inlineStr">
        <x:is>
          <x:t>/workspaces/training-modules-09-10/output/nationwide-correction-execution-20261011/checkpoints/active-assignments-20261012-v1/ny-history-clock-20261012/CANDIDATE-v5.json#/rows/legacy-uncertain-ny_16059_prior_sealing</x:t>
        </x:is>
      </x:c>
      <x:c r="L185" t="inlineStr">
        <x:is>
          <x:t>R Codex; G and H-L review pending</x:t>
        </x:is>
      </x:c>
      <x:c r="M185" t="inlineStr">
        <x:is>
          <x:t>GA-19;GA-21</x:t>
        </x:is>
      </x:c>
      <x:c r="N185" t="inlineStr">
        <x:is>
          <x:t>Bounded engineering result only; all commercial holds; no control closure</x:t>
        </x:is>
      </x:c>
    </x:row>
    <x:row r="186">
      <x:c r="A186" t="inlineStr">
        <x:is>
          <x:t>NY268-legacy-uncertain-ny_16059_post_last_conviction_crime</x:t>
        </x:is>
      </x:c>
      <x:c r="B186" t="inlineStr">
        <x:is>
          <x:t>P02-05</x:t>
        </x:is>
      </x:c>
      <x:c r="C186" t="inlineStr">
        <x:is>
          <x:t>NY</x:t>
        </x:is>
      </x:c>
      <x:c r="D186" t="inlineStr">
        <x:is>
          <x:t>NY:discretionary-conviction-sealing-by-petition-under-cpl-160-59</x:t>
        </x:is>
      </x:c>
      <x:c r="E186" t="inlineStr">
        <x:is>
          <x:t>legacy-uncertain-ny_16059_post_last_conviction_crime</x:t>
        </x:is>
      </x:c>
      <x:c r="F186" t="inlineStr">
        <x:is>
          <x:t>Local evaluator</x:t>
        </x:is>
      </x:c>
      <x:c r="G186" t="inlineStr">
        <x:is>
          <x:t>EN</x:t>
        </x:is>
      </x:c>
      <x:c r="H186" t="inlineStr">
        <x:is>
          <x:t>933d1ab9a + NY source e3e08af63f6ed16f; pushed SHA in RECEIPT.json</x:t>
        </x:is>
      </x:c>
      <x:c r="I186" t="inlineStr">
        <x:is>
          <x:t>PASS</x:t>
        </x:is>
      </x:c>
      <x:c r="J186" t="inlineStr">
        <x:is>
          <x:t>packet_ready_with_caution</x:t>
        </x:is>
      </x:c>
      <x:c r="K186" t="inlineStr">
        <x:is>
          <x:t>/workspaces/training-modules-09-10/output/nationwide-correction-execution-20261011/checkpoints/active-assignments-20261012-v1/ny-history-clock-20261012/CANDIDATE-v5.json#/rows/legacy-uncertain-ny_16059_post_last_conviction_crime</x:t>
        </x:is>
      </x:c>
      <x:c r="L186" t="inlineStr">
        <x:is>
          <x:t>R Codex; G and H-L review pending</x:t>
        </x:is>
      </x:c>
      <x:c r="M186" t="inlineStr">
        <x:is>
          <x:t>GA-19;GA-21</x:t>
        </x:is>
      </x:c>
      <x:c r="N186" t="inlineStr">
        <x:is>
          <x:t>Bounded engineering result only; all commercial holds; no control closure</x:t>
        </x:is>
      </x:c>
    </x:row>
    <x:row r="187">
      <x:c r="A187" t="inlineStr">
        <x:is>
          <x:t>NY268-legacy-uncertain-ny_16059_ineligible_offense</x:t>
        </x:is>
      </x:c>
      <x:c r="B187" t="inlineStr">
        <x:is>
          <x:t>P02-05</x:t>
        </x:is>
      </x:c>
      <x:c r="C187" t="inlineStr">
        <x:is>
          <x:t>NY</x:t>
        </x:is>
      </x:c>
      <x:c r="D187" t="inlineStr">
        <x:is>
          <x:t>NY:discretionary-conviction-sealing-by-petition-under-cpl-160-59</x:t>
        </x:is>
      </x:c>
      <x:c r="E187" t="inlineStr">
        <x:is>
          <x:t>legacy-uncertain-ny_16059_ineligible_offense</x:t>
        </x:is>
      </x:c>
      <x:c r="F187" t="inlineStr">
        <x:is>
          <x:t>Local evaluator</x:t>
        </x:is>
      </x:c>
      <x:c r="G187" t="inlineStr">
        <x:is>
          <x:t>EN</x:t>
        </x:is>
      </x:c>
      <x:c r="H187" t="inlineStr">
        <x:is>
          <x:t>933d1ab9a + NY source e3e08af63f6ed16f; pushed SHA in RECEIPT.json</x:t>
        </x:is>
      </x:c>
      <x:c r="I187" t="inlineStr">
        <x:is>
          <x:t>PASS</x:t>
        </x:is>
      </x:c>
      <x:c r="J187" t="inlineStr">
        <x:is>
          <x:t>packet_ready_with_caution</x:t>
        </x:is>
      </x:c>
      <x:c r="K187" t="inlineStr">
        <x:is>
          <x:t>/workspaces/training-modules-09-10/output/nationwide-correction-execution-20261011/checkpoints/active-assignments-20261012-v1/ny-history-clock-20261012/CANDIDATE-v5.json#/rows/legacy-uncertain-ny_16059_ineligible_offense</x:t>
        </x:is>
      </x:c>
      <x:c r="L187" t="inlineStr">
        <x:is>
          <x:t>R Codex; G and H-L review pending</x:t>
        </x:is>
      </x:c>
      <x:c r="M187" t="inlineStr">
        <x:is>
          <x:t>GA-19;GA-21</x:t>
        </x:is>
      </x:c>
      <x:c r="N187" t="inlineStr">
        <x:is>
          <x:t>Bounded engineering result only; all commercial holds; no control closure</x:t>
        </x:is>
      </x:c>
    </x:row>
    <x:row r="188">
      <x:c r="A188" t="inlineStr">
        <x:is>
          <x:t>NY268-exact-date-resolves-bucket</x:t>
        </x:is>
      </x:c>
      <x:c r="B188" t="inlineStr">
        <x:is>
          <x:t>P02-05</x:t>
        </x:is>
      </x:c>
      <x:c r="C188" t="inlineStr">
        <x:is>
          <x:t>NY</x:t>
        </x:is>
      </x:c>
      <x:c r="D188" t="inlineStr">
        <x:is>
          <x:t>NY:discretionary-conviction-sealing-by-petition-under-cpl-160-59</x:t>
        </x:is>
      </x:c>
      <x:c r="E188" t="inlineStr">
        <x:is>
          <x:t>exact-date-resolves-bucket</x:t>
        </x:is>
      </x:c>
      <x:c r="F188" t="inlineStr">
        <x:is>
          <x:t>Local evaluator</x:t>
        </x:is>
      </x:c>
      <x:c r="G188" t="inlineStr">
        <x:is>
          <x:t>EN</x:t>
        </x:is>
      </x:c>
      <x:c r="H188" t="inlineStr">
        <x:is>
          <x:t>933d1ab9a + NY source e3e08af63f6ed16f; pushed SHA in RECEIPT.json</x:t>
        </x:is>
      </x:c>
      <x:c r="I188" t="inlineStr">
        <x:is>
          <x:t>PASS</x:t>
        </x:is>
      </x:c>
      <x:c r="J188" t="inlineStr">
        <x:is>
          <x:t>packet_ready_with_caution</x:t>
        </x:is>
      </x:c>
      <x:c r="K188" t="inlineStr">
        <x:is>
          <x:t>/workspaces/training-modules-09-10/output/nationwide-correction-execution-20261011/checkpoints/active-assignments-20261012-v1/ny-history-clock-20261012/CANDIDATE-v5.json#/rows/exact-date-resolves-bucket</x:t>
        </x:is>
      </x:c>
      <x:c r="L188" t="inlineStr">
        <x:is>
          <x:t>R Codex; G and H-L review pending</x:t>
        </x:is>
      </x:c>
      <x:c r="M188" t="inlineStr">
        <x:is>
          <x:t>GA-19;GA-21</x:t>
        </x:is>
      </x:c>
      <x:c r="N188" t="inlineStr">
        <x:is>
          <x:t>Bounded engineering result only; all commercial holds; no control closure</x:t>
        </x:is>
      </x:c>
    </x:row>
    <x:row r="189">
      <x:c r="A189" t="inlineStr">
        <x:is>
          <x:t>NY268-old-crime-not-new-conviction</x:t>
        </x:is>
      </x:c>
      <x:c r="B189" t="inlineStr">
        <x:is>
          <x:t>P02-05</x:t>
        </x:is>
      </x:c>
      <x:c r="C189" t="inlineStr">
        <x:is>
          <x:t>NY</x:t>
        </x:is>
      </x:c>
      <x:c r="D189" t="inlineStr">
        <x:is>
          <x:t>NY:discretionary-conviction-sealing-by-petition-under-cpl-160-59</x:t>
        </x:is>
      </x:c>
      <x:c r="E189" t="inlineStr">
        <x:is>
          <x:t>old-crime-not-new-conviction</x:t>
        </x:is>
      </x:c>
      <x:c r="F189" t="inlineStr">
        <x:is>
          <x:t>Local evaluator</x:t>
        </x:is>
      </x:c>
      <x:c r="G189" t="inlineStr">
        <x:is>
          <x:t>EN</x:t>
        </x:is>
      </x:c>
      <x:c r="H189" t="inlineStr">
        <x:is>
          <x:t>933d1ab9a + NY source e3e08af63f6ed16f; pushed SHA in RECEIPT.json</x:t>
        </x:is>
      </x:c>
      <x:c r="I189" t="inlineStr">
        <x:is>
          <x:t>PASS</x:t>
        </x:is>
      </x:c>
      <x:c r="J189" t="inlineStr">
        <x:is>
          <x:t>packet_ready_with_caution</x:t>
        </x:is>
      </x:c>
      <x:c r="K189" t="inlineStr">
        <x:is>
          <x:t>/workspaces/training-modules-09-10/output/nationwide-correction-execution-20261011/checkpoints/active-assignments-20261012-v1/ny-history-clock-20261012/CANDIDATE-v5.json#/rows/old-crime-not-new-conviction</x:t>
        </x:is>
      </x:c>
      <x:c r="L189" t="inlineStr">
        <x:is>
          <x:t>R Codex; G and H-L review pending</x:t>
        </x:is>
      </x:c>
      <x:c r="M189" t="inlineStr">
        <x:is>
          <x:t>GA-19;GA-21</x:t>
        </x:is>
      </x:c>
      <x:c r="N189" t="inlineStr">
        <x:is>
          <x:t>Bounded engineering result only; all commercial holds; no control closure</x:t>
        </x:is>
      </x:c>
    </x:row>
    <x:row r="190">
      <x:c r="A190" t="inlineStr">
        <x:is>
          <x:t>NY268-http-one-misdemeanor</x:t>
        </x:is>
      </x:c>
      <x:c r="B190" t="inlineStr">
        <x:is>
          <x:t>P02-05</x:t>
        </x:is>
      </x:c>
      <x:c r="C190" t="inlineStr">
        <x:is>
          <x:t>NY</x:t>
        </x:is>
      </x:c>
      <x:c r="D190" t="inlineStr">
        <x:is>
          <x:t>NY:discretionary-conviction-sealing-by-petition-under-cpl-160-59</x:t>
        </x:is>
      </x:c>
      <x:c r="E190" t="inlineStr">
        <x:is>
          <x:t>http-one-misdemeanor</x:t>
        </x:is>
      </x:c>
      <x:c r="F190" t="inlineStr">
        <x:is>
          <x:t>Stateless handler</x:t>
        </x:is>
      </x:c>
      <x:c r="G190" t="inlineStr">
        <x:is>
          <x:t>EN</x:t>
        </x:is>
      </x:c>
      <x:c r="H190" t="inlineStr">
        <x:is>
          <x:t>933d1ab9a + NY source e3e08af63f6ed16f; pushed SHA in RECEIPT.json</x:t>
        </x:is>
      </x:c>
      <x:c r="I190" t="inlineStr">
        <x:is>
          <x:t>PASS</x:t>
        </x:is>
      </x:c>
      <x:c r="J190" t="inlineStr">
        <x:is>
          <x:t>packet_ready_with_caution</x:t>
        </x:is>
      </x:c>
      <x:c r="K190" t="inlineStr">
        <x:is>
          <x:t>/workspaces/training-modules-09-10/output/nationwide-correction-execution-20261011/checkpoints/active-assignments-20261012-v1/ny-history-clock-20261012/CANDIDATE-v5.json#/rows/http-one-misdemeanor</x:t>
        </x:is>
      </x:c>
      <x:c r="L190" t="inlineStr">
        <x:is>
          <x:t>R Codex; G and H-L review pending</x:t>
        </x:is>
      </x:c>
      <x:c r="M190" t="inlineStr">
        <x:is>
          <x:t>GA-19;GA-21</x:t>
        </x:is>
      </x:c>
      <x:c r="N190" t="inlineStr">
        <x:is>
          <x:t>Bounded engineering result only; all commercial holds; no control closure</x:t>
        </x:is>
      </x:c>
    </x:row>
    <x:row r="191">
      <x:c r="A191" t="inlineStr">
        <x:is>
          <x:t>NY268-http-history-3-0</x:t>
        </x:is>
      </x:c>
      <x:c r="B191" t="inlineStr">
        <x:is>
          <x:t>P02-05</x:t>
        </x:is>
      </x:c>
      <x:c r="C191" t="inlineStr">
        <x:is>
          <x:t>NY</x:t>
        </x:is>
      </x:c>
      <x:c r="D191" t="inlineStr">
        <x:is>
          <x:t>NY:discretionary-conviction-sealing-by-petition-under-cpl-160-59</x:t>
        </x:is>
      </x:c>
      <x:c r="E191" t="inlineStr">
        <x:is>
          <x:t>http-history-3-0</x:t>
        </x:is>
      </x:c>
      <x:c r="F191" t="inlineStr">
        <x:is>
          <x:t>Stateless handler</x:t>
        </x:is>
      </x:c>
      <x:c r="G191" t="inlineStr">
        <x:is>
          <x:t>EN</x:t>
        </x:is>
      </x:c>
      <x:c r="H191" t="inlineStr">
        <x:is>
          <x:t>933d1ab9a + NY source e3e08af63f6ed16f; pushed SHA in RECEIPT.json</x:t>
        </x:is>
      </x:c>
      <x:c r="I191" t="inlineStr">
        <x:is>
          <x:t>PASS</x:t>
        </x:is>
      </x:c>
      <x:c r="J191" t="inlineStr">
        <x:is>
          <x:t>likely_not_eligible</x:t>
        </x:is>
      </x:c>
      <x:c r="K191" t="inlineStr">
        <x:is>
          <x:t>/workspaces/training-modules-09-10/output/nationwide-correction-execution-20261011/checkpoints/active-assignments-20261012-v1/ny-history-clock-20261012/CANDIDATE-v5.json#/rows/http-history-3-0</x:t>
        </x:is>
      </x:c>
      <x:c r="L191" t="inlineStr">
        <x:is>
          <x:t>R Codex; G and H-L review pending</x:t>
        </x:is>
      </x:c>
      <x:c r="M191" t="inlineStr">
        <x:is>
          <x:t>GA-19;GA-21</x:t>
        </x:is>
      </x:c>
      <x:c r="N191" t="inlineStr">
        <x:is>
          <x:t>Bounded engineering result only; all commercial holds; no control closure</x:t>
        </x:is>
      </x:c>
    </x:row>
    <x:row r="192">
      <x:c r="A192" t="inlineStr">
        <x:is>
          <x:t>NY268-http-one-prior-order-remaining</x:t>
        </x:is>
      </x:c>
      <x:c r="B192" t="inlineStr">
        <x:is>
          <x:t>P02-05</x:t>
        </x:is>
      </x:c>
      <x:c r="C192" t="inlineStr">
        <x:is>
          <x:t>NY</x:t>
        </x:is>
      </x:c>
      <x:c r="D192" t="inlineStr">
        <x:is>
          <x:t>NY:discretionary-conviction-sealing-by-petition-under-cpl-160-59</x:t>
        </x:is>
      </x:c>
      <x:c r="E192" t="inlineStr">
        <x:is>
          <x:t>http-one-prior-order-remaining</x:t>
        </x:is>
      </x:c>
      <x:c r="F192" t="inlineStr">
        <x:is>
          <x:t>Stateless handler</x:t>
        </x:is>
      </x:c>
      <x:c r="G192" t="inlineStr">
        <x:is>
          <x:t>EN</x:t>
        </x:is>
      </x:c>
      <x:c r="H192" t="inlineStr">
        <x:is>
          <x:t>933d1ab9a + NY source e3e08af63f6ed16f; pushed SHA in RECEIPT.json</x:t>
        </x:is>
      </x:c>
      <x:c r="I192" t="inlineStr">
        <x:is>
          <x:t>PASS</x:t>
        </x:is>
      </x:c>
      <x:c r="J192" t="inlineStr">
        <x:is>
          <x:t>packet_ready_with_caution</x:t>
        </x:is>
      </x:c>
      <x:c r="K192" t="inlineStr">
        <x:is>
          <x:t>/workspaces/training-modules-09-10/output/nationwide-correction-execution-20261011/checkpoints/active-assignments-20261012-v1/ny-history-clock-20261012/CANDIDATE-v5.json#/rows/http-one-prior-order-remaining</x:t>
        </x:is>
      </x:c>
      <x:c r="L192" t="inlineStr">
        <x:is>
          <x:t>R Codex; G and H-L review pending</x:t>
        </x:is>
      </x:c>
      <x:c r="M192" t="inlineStr">
        <x:is>
          <x:t>GA-19;GA-21</x:t>
        </x:is>
      </x:c>
      <x:c r="N192" t="inlineStr">
        <x:is>
          <x:t>Bounded engineering result only; all commercial holds; no control closure</x:t>
        </x:is>
      </x:c>
    </x:row>
    <x:row r="193">
      <x:c r="A193" t="inlineStr">
        <x:is>
          <x:t>NY268-http-16058-grant-needs-order-review</x:t>
        </x:is>
      </x:c>
      <x:c r="B193" t="inlineStr">
        <x:is>
          <x:t>P02-05</x:t>
        </x:is>
      </x:c>
      <x:c r="C193" t="inlineStr">
        <x:is>
          <x:t>NY</x:t>
        </x:is>
      </x:c>
      <x:c r="D193" t="inlineStr">
        <x:is>
          <x:t>NY:discretionary-conviction-sealing-by-petition-under-cpl-160-59</x:t>
        </x:is>
      </x:c>
      <x:c r="E193" t="inlineStr">
        <x:is>
          <x:t>http-16058-grant-needs-order-review</x:t>
        </x:is>
      </x:c>
      <x:c r="F193" t="inlineStr">
        <x:is>
          <x:t>Stateless handler</x:t>
        </x:is>
      </x:c>
      <x:c r="G193" t="inlineStr">
        <x:is>
          <x:t>EN</x:t>
        </x:is>
      </x:c>
      <x:c r="H193" t="inlineStr">
        <x:is>
          <x:t>933d1ab9a + NY source e3e08af63f6ed16f; pushed SHA in RECEIPT.json</x:t>
        </x:is>
      </x:c>
      <x:c r="I193" t="inlineStr">
        <x:is>
          <x:t>PASS</x:t>
        </x:is>
      </x:c>
      <x:c r="J193" t="inlineStr">
        <x:is>
          <x:t>needs_review</x:t>
        </x:is>
      </x:c>
      <x:c r="K193" t="inlineStr">
        <x:is>
          <x:t>/workspaces/training-modules-09-10/output/nationwide-correction-execution-20261011/checkpoints/active-assignments-20261012-v1/ny-history-clock-20261012/CANDIDATE-v5.json#/rows/http-16058-grant-needs-order-review</x:t>
        </x:is>
      </x:c>
      <x:c r="L193" t="inlineStr">
        <x:is>
          <x:t>R Codex; G and H-L review pending</x:t>
        </x:is>
      </x:c>
      <x:c r="M193" t="inlineStr">
        <x:is>
          <x:t>GA-19;GA-21</x:t>
        </x:is>
      </x:c>
      <x:c r="N193" t="inlineStr">
        <x:is>
          <x:t>Bounded engineering result only; all commercial holds; no control closure</x:t>
        </x:is>
      </x:c>
    </x:row>
    <x:row r="194">
      <x:c r="A194" t="inlineStr">
        <x:is>
          <x:t>NY268-http-bucket-not-anchor</x:t>
        </x:is>
      </x:c>
      <x:c r="B194" t="inlineStr">
        <x:is>
          <x:t>P02-05</x:t>
        </x:is>
      </x:c>
      <x:c r="C194" t="inlineStr">
        <x:is>
          <x:t>NY</x:t>
        </x:is>
      </x:c>
      <x:c r="D194" t="inlineStr">
        <x:is>
          <x:t>NY:discretionary-conviction-sealing-by-petition-under-cpl-160-59</x:t>
        </x:is>
      </x:c>
      <x:c r="E194" t="inlineStr">
        <x:is>
          <x:t>http-bucket-not-anchor</x:t>
        </x:is>
      </x:c>
      <x:c r="F194" t="inlineStr">
        <x:is>
          <x:t>Stateless handler</x:t>
        </x:is>
      </x:c>
      <x:c r="G194" t="inlineStr">
        <x:is>
          <x:t>EN</x:t>
        </x:is>
      </x:c>
      <x:c r="H194" t="inlineStr">
        <x:is>
          <x:t>933d1ab9a + NY source e3e08af63f6ed16f; pushed SHA in RECEIPT.json</x:t>
        </x:is>
      </x:c>
      <x:c r="I194" t="inlineStr">
        <x:is>
          <x:t>PASS</x:t>
        </x:is>
      </x:c>
      <x:c r="J194" t="inlineStr">
        <x:is>
          <x:t>needs_more_info</x:t>
        </x:is>
      </x:c>
      <x:c r="K194" t="inlineStr">
        <x:is>
          <x:t>/workspaces/training-modules-09-10/output/nationwide-correction-execution-20261011/checkpoints/active-assignments-20261012-v1/ny-history-clock-20261012/CANDIDATE-v5.json#/rows/http-bucket-not-anchor</x:t>
        </x:is>
      </x:c>
      <x:c r="L194" t="inlineStr">
        <x:is>
          <x:t>R Codex; G and H-L review pending</x:t>
        </x:is>
      </x:c>
      <x:c r="M194" t="inlineStr">
        <x:is>
          <x:t>GA-19;GA-21</x:t>
        </x:is>
      </x:c>
      <x:c r="N194" t="inlineStr">
        <x:is>
          <x:t>Bounded engineering result only; all commercial holds; no control closure</x:t>
        </x:is>
      </x:c>
    </x:row>
    <x:row r="195">
      <x:c r="A195" t="inlineStr">
        <x:is>
          <x:t>NY268-http-invalid-release_date-2016-02-30</x:t>
        </x:is>
      </x:c>
      <x:c r="B195" t="inlineStr">
        <x:is>
          <x:t>P02-05</x:t>
        </x:is>
      </x:c>
      <x:c r="C195" t="inlineStr">
        <x:is>
          <x:t>NY</x:t>
        </x:is>
      </x:c>
      <x:c r="D195" t="inlineStr">
        <x:is>
          <x:t>NY:discretionary-conviction-sealing-by-petition-under-cpl-160-59</x:t>
        </x:is>
      </x:c>
      <x:c r="E195" t="inlineStr">
        <x:is>
          <x:t>http-invalid-release_date-2016-02-30</x:t>
        </x:is>
      </x:c>
      <x:c r="F195" t="inlineStr">
        <x:is>
          <x:t>Stateless handler</x:t>
        </x:is>
      </x:c>
      <x:c r="G195" t="inlineStr">
        <x:is>
          <x:t>EN</x:t>
        </x:is>
      </x:c>
      <x:c r="H195" t="inlineStr">
        <x:is>
          <x:t>933d1ab9a + NY source e3e08af63f6ed16f; pushed SHA in RECEIPT.json</x:t>
        </x:is>
      </x:c>
      <x:c r="I195" t="inlineStr">
        <x:is>
          <x:t>PASS</x:t>
        </x:is>
      </x:c>
      <x:c r="J195" t="inlineStr">
        <x:is>
          <x:t>needs_more_info</x:t>
        </x:is>
      </x:c>
      <x:c r="K195" t="inlineStr">
        <x:is>
          <x:t>/workspaces/training-modules-09-10/output/nationwide-correction-execution-20261011/checkpoints/active-assignments-20261012-v1/ny-history-clock-20261012/CANDIDATE-v5.json#/rows/http-invalid-release_date-2016-02-30</x:t>
        </x:is>
      </x:c>
      <x:c r="L195" t="inlineStr">
        <x:is>
          <x:t>R Codex; G and H-L review pending</x:t>
        </x:is>
      </x:c>
      <x:c r="M195" t="inlineStr">
        <x:is>
          <x:t>GA-19;GA-21</x:t>
        </x:is>
      </x:c>
      <x:c r="N195" t="inlineStr">
        <x:is>
          <x:t>Bounded engineering result only; all commercial holds; no control closure</x:t>
        </x:is>
      </x:c>
    </x:row>
    <x:row r="196">
      <x:c r="A196" t="inlineStr">
        <x:is>
          <x:t>NY268-http-later-conviction</x:t>
        </x:is>
      </x:c>
      <x:c r="B196" t="inlineStr">
        <x:is>
          <x:t>P02-05</x:t>
        </x:is>
      </x:c>
      <x:c r="C196" t="inlineStr">
        <x:is>
          <x:t>NY</x:t>
        </x:is>
      </x:c>
      <x:c r="D196" t="inlineStr">
        <x:is>
          <x:t>NY:discretionary-conviction-sealing-by-petition-under-cpl-160-59</x:t>
        </x:is>
      </x:c>
      <x:c r="E196" t="inlineStr">
        <x:is>
          <x:t>http-later-conviction</x:t>
        </x:is>
      </x:c>
      <x:c r="F196" t="inlineStr">
        <x:is>
          <x:t>Stateless handler</x:t>
        </x:is>
      </x:c>
      <x:c r="G196" t="inlineStr">
        <x:is>
          <x:t>EN</x:t>
        </x:is>
      </x:c>
      <x:c r="H196" t="inlineStr">
        <x:is>
          <x:t>933d1ab9a + NY source e3e08af63f6ed16f; pushed SHA in RECEIPT.json</x:t>
        </x:is>
      </x:c>
      <x:c r="I196" t="inlineStr">
        <x:is>
          <x:t>PASS</x:t>
        </x:is>
      </x:c>
      <x:c r="J196" t="inlineStr">
        <x:is>
          <x:t>likely_not_eligible</x:t>
        </x:is>
      </x:c>
      <x:c r="K196" t="inlineStr">
        <x:is>
          <x:t>/workspaces/training-modules-09-10/output/nationwide-correction-execution-20261011/checkpoints/active-assignments-20261012-v1/ny-history-clock-20261012/CANDIDATE-v5.json#/rows/http-later-conviction</x:t>
        </x:is>
      </x:c>
      <x:c r="L196" t="inlineStr">
        <x:is>
          <x:t>R Codex; G and H-L review pending</x:t>
        </x:is>
      </x:c>
      <x:c r="M196" t="inlineStr">
        <x:is>
          <x:t>GA-19;GA-21</x:t>
        </x:is>
      </x:c>
      <x:c r="N196" t="inlineStr">
        <x:is>
          <x:t>Bounded engineering result only; all commercial holds; no control closure</x:t>
        </x:is>
      </x:c>
    </x:row>
    <x:row r="197">
      <x:c r="A197" t="inlineStr">
        <x:is>
          <x:t>NY268-http-undisposed-arrest</x:t>
        </x:is>
      </x:c>
      <x:c r="B197" t="inlineStr">
        <x:is>
          <x:t>P02-05</x:t>
        </x:is>
      </x:c>
      <x:c r="C197" t="inlineStr">
        <x:is>
          <x:t>NY</x:t>
        </x:is>
      </x:c>
      <x:c r="D197" t="inlineStr">
        <x:is>
          <x:t>NY:discretionary-conviction-sealing-by-petition-under-cpl-160-59</x:t>
        </x:is>
      </x:c>
      <x:c r="E197" t="inlineStr">
        <x:is>
          <x:t>http-undisposed-arrest</x:t>
        </x:is>
      </x:c>
      <x:c r="F197" t="inlineStr">
        <x:is>
          <x:t>Stateless handler</x:t>
        </x:is>
      </x:c>
      <x:c r="G197" t="inlineStr">
        <x:is>
          <x:t>EN</x:t>
        </x:is>
      </x:c>
      <x:c r="H197" t="inlineStr">
        <x:is>
          <x:t>933d1ab9a + NY source e3e08af63f6ed16f; pushed SHA in RECEIPT.json</x:t>
        </x:is>
      </x:c>
      <x:c r="I197" t="inlineStr">
        <x:is>
          <x:t>PASS</x:t>
        </x:is>
      </x:c>
      <x:c r="J197" t="inlineStr">
        <x:is>
          <x:t>likely_not_eligible</x:t>
        </x:is>
      </x:c>
      <x:c r="K197" t="inlineStr">
        <x:is>
          <x:t>/workspaces/training-modules-09-10/output/nationwide-correction-execution-20261011/checkpoints/active-assignments-20261012-v1/ny-history-clock-20261012/CANDIDATE-v5.json#/rows/http-undisposed-arrest</x:t>
        </x:is>
      </x:c>
      <x:c r="L197" t="inlineStr">
        <x:is>
          <x:t>R Codex; G and H-L review pending</x:t>
        </x:is>
      </x:c>
      <x:c r="M197" t="inlineStr">
        <x:is>
          <x:t>GA-19;GA-21</x:t>
        </x:is>
      </x:c>
      <x:c r="N197" t="inlineStr">
        <x:is>
          <x:t>Bounded engineering result only; all commercial holds; no control closure</x:t>
        </x:is>
      </x:c>
    </x:row>
    <x:row r="198">
      <x:c r="A198" t="inlineStr">
        <x:is>
          <x:t>NY268-http-legacy-only</x:t>
        </x:is>
      </x:c>
      <x:c r="B198" t="inlineStr">
        <x:is>
          <x:t>P02-05</x:t>
        </x:is>
      </x:c>
      <x:c r="C198" t="inlineStr">
        <x:is>
          <x:t>NY</x:t>
        </x:is>
      </x:c>
      <x:c r="D198" t="inlineStr">
        <x:is>
          <x:t>NY:discretionary-conviction-sealing-by-petition-under-cpl-160-59</x:t>
        </x:is>
      </x:c>
      <x:c r="E198" t="inlineStr">
        <x:is>
          <x:t>http-legacy-only</x:t>
        </x:is>
      </x:c>
      <x:c r="F198" t="inlineStr">
        <x:is>
          <x:t>Stateless handler</x:t>
        </x:is>
      </x:c>
      <x:c r="G198" t="inlineStr">
        <x:is>
          <x:t>EN</x:t>
        </x:is>
      </x:c>
      <x:c r="H198" t="inlineStr">
        <x:is>
          <x:t>933d1ab9a + NY source e3e08af63f6ed16f; pushed SHA in RECEIPT.json</x:t>
        </x:is>
      </x:c>
      <x:c r="I198" t="inlineStr">
        <x:is>
          <x:t>PASS</x:t>
        </x:is>
      </x:c>
      <x:c r="J198" t="inlineStr">
        <x:is>
          <x:t>needs_more_info</x:t>
        </x:is>
      </x:c>
      <x:c r="K198" t="inlineStr">
        <x:is>
          <x:t>/workspaces/training-modules-09-10/output/nationwide-correction-execution-20261011/checkpoints/active-assignments-20261012-v1/ny-history-clock-20261012/CANDIDATE-v5.json#/rows/http-legacy-only</x:t>
        </x:is>
      </x:c>
      <x:c r="L198" t="inlineStr">
        <x:is>
          <x:t>R Codex; G and H-L review pending</x:t>
        </x:is>
      </x:c>
      <x:c r="M198" t="inlineStr">
        <x:is>
          <x:t>GA-19;GA-21</x:t>
        </x:is>
      </x:c>
      <x:c r="N198" t="inlineStr">
        <x:is>
          <x:t>Bounded engineering result only; all commercial holds; no control closure</x:t>
        </x:is>
      </x:c>
    </x:row>
    <x:row r="199">
      <x:c r="A199" t="inlineStr">
        <x:is>
          <x:t>NY268-http-same-act-ineligible-not-grouped</x:t>
        </x:is>
      </x:c>
      <x:c r="B199" t="inlineStr">
        <x:is>
          <x:t>P02-05</x:t>
        </x:is>
      </x:c>
      <x:c r="C199" t="inlineStr">
        <x:is>
          <x:t>NY</x:t>
        </x:is>
      </x:c>
      <x:c r="D199" t="inlineStr">
        <x:is>
          <x:t>NY:discretionary-conviction-sealing-by-petition-under-cpl-160-59</x:t>
        </x:is>
      </x:c>
      <x:c r="E199" t="inlineStr">
        <x:is>
          <x:t>http-same-act-ineligible-not-grouped</x:t>
        </x:is>
      </x:c>
      <x:c r="F199" t="inlineStr">
        <x:is>
          <x:t>Stateless handler</x:t>
        </x:is>
      </x:c>
      <x:c r="G199" t="inlineStr">
        <x:is>
          <x:t>EN</x:t>
        </x:is>
      </x:c>
      <x:c r="H199" t="inlineStr">
        <x:is>
          <x:t>933d1ab9a + NY source e3e08af63f6ed16f; pushed SHA in RECEIPT.json</x:t>
        </x:is>
      </x:c>
      <x:c r="I199" t="inlineStr">
        <x:is>
          <x:t>PASS</x:t>
        </x:is>
      </x:c>
      <x:c r="J199" t="inlineStr">
        <x:is>
          <x:t>needs_review</x:t>
        </x:is>
      </x:c>
      <x:c r="K199" t="inlineStr">
        <x:is>
          <x:t>/workspaces/training-modules-09-10/output/nationwide-correction-execution-20261011/checkpoints/active-assignments-20261012-v1/ny-history-clock-20261012/CANDIDATE-v5.json#/rows/http-same-act-ineligible-not-grouped</x:t>
        </x:is>
      </x:c>
      <x:c r="L199" t="inlineStr">
        <x:is>
          <x:t>R Codex; G and H-L review pending</x:t>
        </x:is>
      </x:c>
      <x:c r="M199" t="inlineStr">
        <x:is>
          <x:t>GA-19;GA-21</x:t>
        </x:is>
      </x:c>
      <x:c r="N199" t="inlineStr">
        <x:is>
          <x:t>Bounded engineering result only; all commercial holds; no control closure</x:t>
        </x:is>
      </x:c>
    </x:row>
    <x:row r="200">
      <x:c r="A200" t="inlineStr">
        <x:is>
          <x:t>NY268-http-release-interpretation-boundary</x:t>
        </x:is>
      </x:c>
      <x:c r="B200" t="inlineStr">
        <x:is>
          <x:t>P02-05</x:t>
        </x:is>
      </x:c>
      <x:c r="C200" t="inlineStr">
        <x:is>
          <x:t>NY</x:t>
        </x:is>
      </x:c>
      <x:c r="D200" t="inlineStr">
        <x:is>
          <x:t>NY:discretionary-conviction-sealing-by-petition-under-cpl-160-59</x:t>
        </x:is>
      </x:c>
      <x:c r="E200" t="inlineStr">
        <x:is>
          <x:t>http-release-interpretation-boundary</x:t>
        </x:is>
      </x:c>
      <x:c r="F200" t="inlineStr">
        <x:is>
          <x:t>Stateless handler</x:t>
        </x:is>
      </x:c>
      <x:c r="G200" t="inlineStr">
        <x:is>
          <x:t>EN</x:t>
        </x:is>
      </x:c>
      <x:c r="H200" t="inlineStr">
        <x:is>
          <x:t>933d1ab9a + NY source e3e08af63f6ed16f; pushed SHA in RECEIPT.json</x:t>
        </x:is>
      </x:c>
      <x:c r="I200" t="inlineStr">
        <x:is>
          <x:t>PASS</x:t>
        </x:is>
      </x:c>
      <x:c r="J200" t="inlineStr">
        <x:is>
          <x:t>needs_review</x:t>
        </x:is>
      </x:c>
      <x:c r="K200" t="inlineStr">
        <x:is>
          <x:t>/workspaces/training-modules-09-10/output/nationwide-correction-execution-20261011/checkpoints/active-assignments-20261012-v1/ny-history-clock-20261012/CANDIDATE-v5.json#/rows/http-release-interpretation-boundary</x:t>
        </x:is>
      </x:c>
      <x:c r="L200" t="inlineStr">
        <x:is>
          <x:t>R Codex; G and H-L review pending</x:t>
        </x:is>
      </x:c>
      <x:c r="M200" t="inlineStr">
        <x:is>
          <x:t>GA-19;GA-21</x:t>
        </x:is>
      </x:c>
      <x:c r="N200" t="inlineStr">
        <x:is>
          <x:t>Bounded engineering result only; all commercial holds; no control closure</x:t>
        </x:is>
      </x:c>
    </x:row>
    <x:row r="201">
      <x:c r="A201" t="inlineStr">
        <x:is>
          <x:t>NY268-http-invalid-choice</x:t>
        </x:is>
      </x:c>
      <x:c r="B201" t="inlineStr">
        <x:is>
          <x:t>P02-05</x:t>
        </x:is>
      </x:c>
      <x:c r="C201" t="inlineStr">
        <x:is>
          <x:t>NY</x:t>
        </x:is>
      </x:c>
      <x:c r="D201" t="inlineStr">
        <x:is>
          <x:t>NY:discretionary-conviction-sealing-by-petition-under-cpl-160-59</x:t>
        </x:is>
      </x:c>
      <x:c r="E201" t="inlineStr">
        <x:is>
          <x:t>http-invalid-choice</x:t>
        </x:is>
      </x:c>
      <x:c r="F201" t="inlineStr">
        <x:is>
          <x:t>Stateless handler</x:t>
        </x:is>
      </x:c>
      <x:c r="G201" t="inlineStr">
        <x:is>
          <x:t>EN</x:t>
        </x:is>
      </x:c>
      <x:c r="H201" t="inlineStr">
        <x:is>
          <x:t>933d1ab9a + NY source e3e08af63f6ed16f; pushed SHA in RECEIPT.json</x:t>
        </x:is>
      </x:c>
      <x:c r="I201" t="inlineStr">
        <x:is>
          <x:t>PASS</x:t>
        </x:is>
      </x:c>
      <x:c r="J201" t="inlineStr">
        <x:is>
          <x:t>400</x:t>
        </x:is>
      </x:c>
      <x:c r="K201" t="inlineStr">
        <x:is>
          <x:t>/workspaces/training-modules-09-10/output/nationwide-correction-execution-20261011/checkpoints/active-assignments-20261012-v1/ny-history-clock-20261012/CANDIDATE-v5.json#/rows/http-invalid-choice</x:t>
        </x:is>
      </x:c>
      <x:c r="L201" t="inlineStr">
        <x:is>
          <x:t>R Codex; G and H-L review pending</x:t>
        </x:is>
      </x:c>
      <x:c r="M201" t="inlineStr">
        <x:is>
          <x:t>GA-19;GA-21</x:t>
        </x:is>
      </x:c>
      <x:c r="N201" t="inlineStr">
        <x:is>
          <x:t>Bounded engineering result only; all commercial holds; no control closure</x:t>
        </x:is>
      </x:c>
    </x:row>
    <x:row r="202">
      <x:c r="A202" t="inlineStr">
        <x:is>
          <x:t>NY268-SSR-one-misdemeanor-en</x:t>
        </x:is>
      </x:c>
      <x:c r="B202" t="inlineStr">
        <x:is>
          <x:t>P05-13</x:t>
        </x:is>
      </x:c>
      <x:c r="C202" t="inlineStr">
        <x:is>
          <x:t>NY</x:t>
        </x:is>
      </x:c>
      <x:c r="D202" t="inlineStr">
        <x:is>
          <x:t>NY:discretionary-conviction-sealing-by-petition-under-cpl-160-59</x:t>
        </x:is>
      </x:c>
      <x:c r="E202" t="inlineStr">
        <x:is>
          <x:t>one-misdemeanor</x:t>
        </x:is>
      </x:c>
      <x:c r="F202" t="inlineStr">
        <x:is>
          <x:t>Server-side render</x:t>
        </x:is>
      </x:c>
      <x:c r="G202" t="inlineStr">
        <x:is>
          <x:t>EN</x:t>
        </x:is>
      </x:c>
      <x:c r="H202" t="inlineStr">
        <x:is>
          <x:t>933d1ab9a + NY source e3e08af63f6ed16f; pushed SHA in RECEIPT.json</x:t>
        </x:is>
      </x:c>
      <x:c r="I202" t="inlineStr">
        <x:is>
          <x:t>PASS</x:t>
        </x:is>
      </x:c>
      <x:c r="J202" t="inlineStr">
        <x:is>
          <x:t>Expected localized reason/missing prompt rendered</x:t>
        </x:is>
      </x:c>
      <x:c r="K202" t="inlineStr">
        <x:is>
          <x:t>/workspaces/training-modules-09-10/output/nationwide-correction-execution-20261011/checkpoints/active-assignments-20261012-v1/ny-history-clock-20261012/CANDIDATE-v5.json#/renders</x:t>
        </x:is>
      </x:c>
      <x:c r="L202" t="inlineStr">
        <x:is>
          <x:t>R Codex; G and qualified bilingual reviewer pending</x:t>
        </x:is>
      </x:c>
      <x:c r="M202" t="inlineStr">
        <x:is>
          <x:t>GA-19;GA-21</x:t>
        </x:is>
      </x:c>
      <x:c r="N202" t="inlineStr">
        <x:is>
          <x:t>SSR does not establish device/accessibility or substantive language approval</x:t>
        </x:is>
      </x:c>
    </x:row>
    <x:row r="203">
      <x:c r="A203" t="inlineStr">
        <x:is>
          <x:t>NY268-SSR-one-misdemeanor-es</x:t>
        </x:is>
      </x:c>
      <x:c r="B203" t="inlineStr">
        <x:is>
          <x:t>P05-13</x:t>
        </x:is>
      </x:c>
      <x:c r="C203" t="inlineStr">
        <x:is>
          <x:t>NY</x:t>
        </x:is>
      </x:c>
      <x:c r="D203" t="inlineStr">
        <x:is>
          <x:t>NY:discretionary-conviction-sealing-by-petition-under-cpl-160-59</x:t>
        </x:is>
      </x:c>
      <x:c r="E203" t="inlineStr">
        <x:is>
          <x:t>one-misdemeanor</x:t>
        </x:is>
      </x:c>
      <x:c r="F203" t="inlineStr">
        <x:is>
          <x:t>Server-side render</x:t>
        </x:is>
      </x:c>
      <x:c r="G203" t="inlineStr">
        <x:is>
          <x:t>ES</x:t>
        </x:is>
      </x:c>
      <x:c r="H203" t="inlineStr">
        <x:is>
          <x:t>933d1ab9a + NY source e3e08af63f6ed16f; pushed SHA in RECEIPT.json</x:t>
        </x:is>
      </x:c>
      <x:c r="I203" t="inlineStr">
        <x:is>
          <x:t>PASS</x:t>
        </x:is>
      </x:c>
      <x:c r="J203" t="inlineStr">
        <x:is>
          <x:t>Expected localized reason/missing prompt rendered</x:t>
        </x:is>
      </x:c>
      <x:c r="K203" t="inlineStr">
        <x:is>
          <x:t>/workspaces/training-modules-09-10/output/nationwide-correction-execution-20261011/checkpoints/active-assignments-20261012-v1/ny-history-clock-20261012/CANDIDATE-v5.json#/renders</x:t>
        </x:is>
      </x:c>
      <x:c r="L203" t="inlineStr">
        <x:is>
          <x:t>R Codex; G and qualified bilingual reviewer pending</x:t>
        </x:is>
      </x:c>
      <x:c r="M203" t="inlineStr">
        <x:is>
          <x:t>GA-19;GA-21</x:t>
        </x:is>
      </x:c>
      <x:c r="N203" t="inlineStr">
        <x:is>
          <x:t>SSR does not establish device/accessibility or substantive language approval</x:t>
        </x:is>
      </x:c>
    </x:row>
    <x:row r="204">
      <x:c r="A204" t="inlineStr">
        <x:is>
          <x:t>NY268-SSR-history-3-0-en</x:t>
        </x:is>
      </x:c>
      <x:c r="B204" t="inlineStr">
        <x:is>
          <x:t>P05-13</x:t>
        </x:is>
      </x:c>
      <x:c r="C204" t="inlineStr">
        <x:is>
          <x:t>NY</x:t>
        </x:is>
      </x:c>
      <x:c r="D204" t="inlineStr">
        <x:is>
          <x:t>NY:discretionary-conviction-sealing-by-petition-under-cpl-160-59</x:t>
        </x:is>
      </x:c>
      <x:c r="E204" t="inlineStr">
        <x:is>
          <x:t>history-3-0</x:t>
        </x:is>
      </x:c>
      <x:c r="F204" t="inlineStr">
        <x:is>
          <x:t>Server-side render</x:t>
        </x:is>
      </x:c>
      <x:c r="G204" t="inlineStr">
        <x:is>
          <x:t>EN</x:t>
        </x:is>
      </x:c>
      <x:c r="H204" t="inlineStr">
        <x:is>
          <x:t>933d1ab9a + NY source e3e08af63f6ed16f; pushed SHA in RECEIPT.json</x:t>
        </x:is>
      </x:c>
      <x:c r="I204" t="inlineStr">
        <x:is>
          <x:t>PASS</x:t>
        </x:is>
      </x:c>
      <x:c r="J204" t="inlineStr">
        <x:is>
          <x:t>Expected localized reason/missing prompt rendered</x:t>
        </x:is>
      </x:c>
      <x:c r="K204" t="inlineStr">
        <x:is>
          <x:t>/workspaces/training-modules-09-10/output/nationwide-correction-execution-20261011/checkpoints/active-assignments-20261012-v1/ny-history-clock-20261012/CANDIDATE-v5.json#/renders</x:t>
        </x:is>
      </x:c>
      <x:c r="L204" t="inlineStr">
        <x:is>
          <x:t>R Codex; G and qualified bilingual reviewer pending</x:t>
        </x:is>
      </x:c>
      <x:c r="M204" t="inlineStr">
        <x:is>
          <x:t>GA-19;GA-21</x:t>
        </x:is>
      </x:c>
      <x:c r="N204" t="inlineStr">
        <x:is>
          <x:t>SSR does not establish device/accessibility or substantive language approval</x:t>
        </x:is>
      </x:c>
    </x:row>
    <x:row r="205">
      <x:c r="A205" t="inlineStr">
        <x:is>
          <x:t>NY268-SSR-history-3-0-es</x:t>
        </x:is>
      </x:c>
      <x:c r="B205" t="inlineStr">
        <x:is>
          <x:t>P05-13</x:t>
        </x:is>
      </x:c>
      <x:c r="C205" t="inlineStr">
        <x:is>
          <x:t>NY</x:t>
        </x:is>
      </x:c>
      <x:c r="D205" t="inlineStr">
        <x:is>
          <x:t>NY:discretionary-conviction-sealing-by-petition-under-cpl-160-59</x:t>
        </x:is>
      </x:c>
      <x:c r="E205" t="inlineStr">
        <x:is>
          <x:t>history-3-0</x:t>
        </x:is>
      </x:c>
      <x:c r="F205" t="inlineStr">
        <x:is>
          <x:t>Server-side render</x:t>
        </x:is>
      </x:c>
      <x:c r="G205" t="inlineStr">
        <x:is>
          <x:t>ES</x:t>
        </x:is>
      </x:c>
      <x:c r="H205" t="inlineStr">
        <x:is>
          <x:t>933d1ab9a + NY source e3e08af63f6ed16f; pushed SHA in RECEIPT.json</x:t>
        </x:is>
      </x:c>
      <x:c r="I205" t="inlineStr">
        <x:is>
          <x:t>PASS</x:t>
        </x:is>
      </x:c>
      <x:c r="J205" t="inlineStr">
        <x:is>
          <x:t>Expected localized reason/missing prompt rendered</x:t>
        </x:is>
      </x:c>
      <x:c r="K205" t="inlineStr">
        <x:is>
          <x:t>/workspaces/training-modules-09-10/output/nationwide-correction-execution-20261011/checkpoints/active-assignments-20261012-v1/ny-history-clock-20261012/CANDIDATE-v5.json#/renders</x:t>
        </x:is>
      </x:c>
      <x:c r="L205" t="inlineStr">
        <x:is>
          <x:t>R Codex; G and qualified bilingual reviewer pending</x:t>
        </x:is>
      </x:c>
      <x:c r="M205" t="inlineStr">
        <x:is>
          <x:t>GA-19;GA-21</x:t>
        </x:is>
      </x:c>
      <x:c r="N205" t="inlineStr">
        <x:is>
          <x:t>SSR does not establish device/accessibility or substantive language approval</x:t>
        </x:is>
      </x:c>
    </x:row>
    <x:row r="206">
      <x:c r="A206" t="inlineStr">
        <x:is>
          <x:t>NY268-SSR-one-prior-order-remaining-en</x:t>
        </x:is>
      </x:c>
      <x:c r="B206" t="inlineStr">
        <x:is>
          <x:t>P05-13</x:t>
        </x:is>
      </x:c>
      <x:c r="C206" t="inlineStr">
        <x:is>
          <x:t>NY</x:t>
        </x:is>
      </x:c>
      <x:c r="D206" t="inlineStr">
        <x:is>
          <x:t>NY:discretionary-conviction-sealing-by-petition-under-cpl-160-59</x:t>
        </x:is>
      </x:c>
      <x:c r="E206" t="inlineStr">
        <x:is>
          <x:t>one-prior-order-remaining</x:t>
        </x:is>
      </x:c>
      <x:c r="F206" t="inlineStr">
        <x:is>
          <x:t>Server-side render</x:t>
        </x:is>
      </x:c>
      <x:c r="G206" t="inlineStr">
        <x:is>
          <x:t>EN</x:t>
        </x:is>
      </x:c>
      <x:c r="H206" t="inlineStr">
        <x:is>
          <x:t>933d1ab9a + NY source e3e08af63f6ed16f; pushed SHA in RECEIPT.json</x:t>
        </x:is>
      </x:c>
      <x:c r="I206" t="inlineStr">
        <x:is>
          <x:t>PASS</x:t>
        </x:is>
      </x:c>
      <x:c r="J206" t="inlineStr">
        <x:is>
          <x:t>Expected localized reason/missing prompt rendered</x:t>
        </x:is>
      </x:c>
      <x:c r="K206" t="inlineStr">
        <x:is>
          <x:t>/workspaces/training-modules-09-10/output/nationwide-correction-execution-20261011/checkpoints/active-assignments-20261012-v1/ny-history-clock-20261012/CANDIDATE-v5.json#/renders</x:t>
        </x:is>
      </x:c>
      <x:c r="L206" t="inlineStr">
        <x:is>
          <x:t>R Codex; G and qualified bilingual reviewer pending</x:t>
        </x:is>
      </x:c>
      <x:c r="M206" t="inlineStr">
        <x:is>
          <x:t>GA-19;GA-21</x:t>
        </x:is>
      </x:c>
      <x:c r="N206" t="inlineStr">
        <x:is>
          <x:t>SSR does not establish device/accessibility or substantive language approval</x:t>
        </x:is>
      </x:c>
    </x:row>
    <x:row r="207">
      <x:c r="A207" t="inlineStr">
        <x:is>
          <x:t>NY268-SSR-one-prior-order-remaining-es</x:t>
        </x:is>
      </x:c>
      <x:c r="B207" t="inlineStr">
        <x:is>
          <x:t>P05-13</x:t>
        </x:is>
      </x:c>
      <x:c r="C207" t="inlineStr">
        <x:is>
          <x:t>NY</x:t>
        </x:is>
      </x:c>
      <x:c r="D207" t="inlineStr">
        <x:is>
          <x:t>NY:discretionary-conviction-sealing-by-petition-under-cpl-160-59</x:t>
        </x:is>
      </x:c>
      <x:c r="E207" t="inlineStr">
        <x:is>
          <x:t>one-prior-order-remaining</x:t>
        </x:is>
      </x:c>
      <x:c r="F207" t="inlineStr">
        <x:is>
          <x:t>Server-side render</x:t>
        </x:is>
      </x:c>
      <x:c r="G207" t="inlineStr">
        <x:is>
          <x:t>ES</x:t>
        </x:is>
      </x:c>
      <x:c r="H207" t="inlineStr">
        <x:is>
          <x:t>933d1ab9a + NY source e3e08af63f6ed16f; pushed SHA in RECEIPT.json</x:t>
        </x:is>
      </x:c>
      <x:c r="I207" t="inlineStr">
        <x:is>
          <x:t>PASS</x:t>
        </x:is>
      </x:c>
      <x:c r="J207" t="inlineStr">
        <x:is>
          <x:t>Expected localized reason/missing prompt rendered</x:t>
        </x:is>
      </x:c>
      <x:c r="K207" t="inlineStr">
        <x:is>
          <x:t>/workspaces/training-modules-09-10/output/nationwide-correction-execution-20261011/checkpoints/active-assignments-20261012-v1/ny-history-clock-20261012/CANDIDATE-v5.json#/renders</x:t>
        </x:is>
      </x:c>
      <x:c r="L207" t="inlineStr">
        <x:is>
          <x:t>R Codex; G and qualified bilingual reviewer pending</x:t>
        </x:is>
      </x:c>
      <x:c r="M207" t="inlineStr">
        <x:is>
          <x:t>GA-19;GA-21</x:t>
        </x:is>
      </x:c>
      <x:c r="N207" t="inlineStr">
        <x:is>
          <x:t>SSR does not establish device/accessibility or substantive language approval</x:t>
        </x:is>
      </x:c>
    </x:row>
    <x:row r="208">
      <x:c r="A208" t="inlineStr">
        <x:is>
          <x:t>NY268-SSR-16058-grant-needs-order-review-en</x:t>
        </x:is>
      </x:c>
      <x:c r="B208" t="inlineStr">
        <x:is>
          <x:t>P05-13</x:t>
        </x:is>
      </x:c>
      <x:c r="C208" t="inlineStr">
        <x:is>
          <x:t>NY</x:t>
        </x:is>
      </x:c>
      <x:c r="D208" t="inlineStr">
        <x:is>
          <x:t>NY:discretionary-conviction-sealing-by-petition-under-cpl-160-59</x:t>
        </x:is>
      </x:c>
      <x:c r="E208" t="inlineStr">
        <x:is>
          <x:t>16058-grant-needs-order-review</x:t>
        </x:is>
      </x:c>
      <x:c r="F208" t="inlineStr">
        <x:is>
          <x:t>Server-side render</x:t>
        </x:is>
      </x:c>
      <x:c r="G208" t="inlineStr">
        <x:is>
          <x:t>EN</x:t>
        </x:is>
      </x:c>
      <x:c r="H208" t="inlineStr">
        <x:is>
          <x:t>933d1ab9a + NY source e3e08af63f6ed16f; pushed SHA in RECEIPT.json</x:t>
        </x:is>
      </x:c>
      <x:c r="I208" t="inlineStr">
        <x:is>
          <x:t>PASS</x:t>
        </x:is>
      </x:c>
      <x:c r="J208" t="inlineStr">
        <x:is>
          <x:t>Expected localized reason/missing prompt rendered</x:t>
        </x:is>
      </x:c>
      <x:c r="K208" t="inlineStr">
        <x:is>
          <x:t>/workspaces/training-modules-09-10/output/nationwide-correction-execution-20261011/checkpoints/active-assignments-20261012-v1/ny-history-clock-20261012/CANDIDATE-v5.json#/renders</x:t>
        </x:is>
      </x:c>
      <x:c r="L208" t="inlineStr">
        <x:is>
          <x:t>R Codex; G and qualified bilingual reviewer pending</x:t>
        </x:is>
      </x:c>
      <x:c r="M208" t="inlineStr">
        <x:is>
          <x:t>GA-19;GA-21</x:t>
        </x:is>
      </x:c>
      <x:c r="N208" t="inlineStr">
        <x:is>
          <x:t>SSR does not establish device/accessibility or substantive language approval</x:t>
        </x:is>
      </x:c>
    </x:row>
    <x:row r="209">
      <x:c r="A209" t="inlineStr">
        <x:is>
          <x:t>NY268-SSR-16058-grant-needs-order-review-es</x:t>
        </x:is>
      </x:c>
      <x:c r="B209" t="inlineStr">
        <x:is>
          <x:t>P05-13</x:t>
        </x:is>
      </x:c>
      <x:c r="C209" t="inlineStr">
        <x:is>
          <x:t>NY</x:t>
        </x:is>
      </x:c>
      <x:c r="D209" t="inlineStr">
        <x:is>
          <x:t>NY:discretionary-conviction-sealing-by-petition-under-cpl-160-59</x:t>
        </x:is>
      </x:c>
      <x:c r="E209" t="inlineStr">
        <x:is>
          <x:t>16058-grant-needs-order-review</x:t>
        </x:is>
      </x:c>
      <x:c r="F209" t="inlineStr">
        <x:is>
          <x:t>Server-side render</x:t>
        </x:is>
      </x:c>
      <x:c r="G209" t="inlineStr">
        <x:is>
          <x:t>ES</x:t>
        </x:is>
      </x:c>
      <x:c r="H209" t="inlineStr">
        <x:is>
          <x:t>933d1ab9a + NY source e3e08af63f6ed16f; pushed SHA in RECEIPT.json</x:t>
        </x:is>
      </x:c>
      <x:c r="I209" t="inlineStr">
        <x:is>
          <x:t>PASS</x:t>
        </x:is>
      </x:c>
      <x:c r="J209" t="inlineStr">
        <x:is>
          <x:t>Expected localized reason/missing prompt rendered</x:t>
        </x:is>
      </x:c>
      <x:c r="K209" t="inlineStr">
        <x:is>
          <x:t>/workspaces/training-modules-09-10/output/nationwide-correction-execution-20261011/checkpoints/active-assignments-20261012-v1/ny-history-clock-20261012/CANDIDATE-v5.json#/renders</x:t>
        </x:is>
      </x:c>
      <x:c r="L209" t="inlineStr">
        <x:is>
          <x:t>R Codex; G and qualified bilingual reviewer pending</x:t>
        </x:is>
      </x:c>
      <x:c r="M209" t="inlineStr">
        <x:is>
          <x:t>GA-19;GA-21</x:t>
        </x:is>
      </x:c>
      <x:c r="N209" t="inlineStr">
        <x:is>
          <x:t>SSR does not establish device/accessibility or substantive language approval</x:t>
        </x:is>
      </x:c>
    </x:row>
    <x:row r="210">
      <x:c r="A210" t="inlineStr">
        <x:is>
          <x:t>NY268-SSR-bucket-not-anchor-en</x:t>
        </x:is>
      </x:c>
      <x:c r="B210" t="inlineStr">
        <x:is>
          <x:t>P05-13</x:t>
        </x:is>
      </x:c>
      <x:c r="C210" t="inlineStr">
        <x:is>
          <x:t>NY</x:t>
        </x:is>
      </x:c>
      <x:c r="D210" t="inlineStr">
        <x:is>
          <x:t>NY:discretionary-conviction-sealing-by-petition-under-cpl-160-59</x:t>
        </x:is>
      </x:c>
      <x:c r="E210" t="inlineStr">
        <x:is>
          <x:t>bucket-not-anchor</x:t>
        </x:is>
      </x:c>
      <x:c r="F210" t="inlineStr">
        <x:is>
          <x:t>Server-side render</x:t>
        </x:is>
      </x:c>
      <x:c r="G210" t="inlineStr">
        <x:is>
          <x:t>EN</x:t>
        </x:is>
      </x:c>
      <x:c r="H210" t="inlineStr">
        <x:is>
          <x:t>933d1ab9a + NY source e3e08af63f6ed16f; pushed SHA in RECEIPT.json</x:t>
        </x:is>
      </x:c>
      <x:c r="I210" t="inlineStr">
        <x:is>
          <x:t>PASS</x:t>
        </x:is>
      </x:c>
      <x:c r="J210" t="inlineStr">
        <x:is>
          <x:t>Expected localized reason/missing prompt rendered</x:t>
        </x:is>
      </x:c>
      <x:c r="K210" t="inlineStr">
        <x:is>
          <x:t>/workspaces/training-modules-09-10/output/nationwide-correction-execution-20261011/checkpoints/active-assignments-20261012-v1/ny-history-clock-20261012/CANDIDATE-v5.json#/renders</x:t>
        </x:is>
      </x:c>
      <x:c r="L210" t="inlineStr">
        <x:is>
          <x:t>R Codex; G and qualified bilingual reviewer pending</x:t>
        </x:is>
      </x:c>
      <x:c r="M210" t="inlineStr">
        <x:is>
          <x:t>GA-19;GA-21</x:t>
        </x:is>
      </x:c>
      <x:c r="N210" t="inlineStr">
        <x:is>
          <x:t>SSR does not establish device/accessibility or substantive language approval</x:t>
        </x:is>
      </x:c>
    </x:row>
    <x:row r="211">
      <x:c r="A211" t="inlineStr">
        <x:is>
          <x:t>NY268-SSR-bucket-not-anchor-es</x:t>
        </x:is>
      </x:c>
      <x:c r="B211" t="inlineStr">
        <x:is>
          <x:t>P05-13</x:t>
        </x:is>
      </x:c>
      <x:c r="C211" t="inlineStr">
        <x:is>
          <x:t>NY</x:t>
        </x:is>
      </x:c>
      <x:c r="D211" t="inlineStr">
        <x:is>
          <x:t>NY:discretionary-conviction-sealing-by-petition-under-cpl-160-59</x:t>
        </x:is>
      </x:c>
      <x:c r="E211" t="inlineStr">
        <x:is>
          <x:t>bucket-not-anchor</x:t>
        </x:is>
      </x:c>
      <x:c r="F211" t="inlineStr">
        <x:is>
          <x:t>Server-side render</x:t>
        </x:is>
      </x:c>
      <x:c r="G211" t="inlineStr">
        <x:is>
          <x:t>ES</x:t>
        </x:is>
      </x:c>
      <x:c r="H211" t="inlineStr">
        <x:is>
          <x:t>933d1ab9a + NY source e3e08af63f6ed16f; pushed SHA in RECEIPT.json</x:t>
        </x:is>
      </x:c>
      <x:c r="I211" t="inlineStr">
        <x:is>
          <x:t>PASS</x:t>
        </x:is>
      </x:c>
      <x:c r="J211" t="inlineStr">
        <x:is>
          <x:t>Expected localized reason/missing prompt rendered</x:t>
        </x:is>
      </x:c>
      <x:c r="K211" t="inlineStr">
        <x:is>
          <x:t>/workspaces/training-modules-09-10/output/nationwide-correction-execution-20261011/checkpoints/active-assignments-20261012-v1/ny-history-clock-20261012/CANDIDATE-v5.json#/renders</x:t>
        </x:is>
      </x:c>
      <x:c r="L211" t="inlineStr">
        <x:is>
          <x:t>R Codex; G and qualified bilingual reviewer pending</x:t>
        </x:is>
      </x:c>
      <x:c r="M211" t="inlineStr">
        <x:is>
          <x:t>GA-19;GA-21</x:t>
        </x:is>
      </x:c>
      <x:c r="N211" t="inlineStr">
        <x:is>
          <x:t>SSR does not establish device/accessibility or substantive language approval</x:t>
        </x:is>
      </x:c>
    </x:row>
    <x:row r="212">
      <x:c r="A212" t="inlineStr">
        <x:is>
          <x:t>NY268-SSR-invalid-release_date-2016-02-30-en</x:t>
        </x:is>
      </x:c>
      <x:c r="B212" t="inlineStr">
        <x:is>
          <x:t>P05-13</x:t>
        </x:is>
      </x:c>
      <x:c r="C212" t="inlineStr">
        <x:is>
          <x:t>NY</x:t>
        </x:is>
      </x:c>
      <x:c r="D212" t="inlineStr">
        <x:is>
          <x:t>NY:discretionary-conviction-sealing-by-petition-under-cpl-160-59</x:t>
        </x:is>
      </x:c>
      <x:c r="E212" t="inlineStr">
        <x:is>
          <x:t>invalid-release_date-2016-02-30</x:t>
        </x:is>
      </x:c>
      <x:c r="F212" t="inlineStr">
        <x:is>
          <x:t>Server-side render</x:t>
        </x:is>
      </x:c>
      <x:c r="G212" t="inlineStr">
        <x:is>
          <x:t>EN</x:t>
        </x:is>
      </x:c>
      <x:c r="H212" t="inlineStr">
        <x:is>
          <x:t>933d1ab9a + NY source e3e08af63f6ed16f; pushed SHA in RECEIPT.json</x:t>
        </x:is>
      </x:c>
      <x:c r="I212" t="inlineStr">
        <x:is>
          <x:t>PASS</x:t>
        </x:is>
      </x:c>
      <x:c r="J212" t="inlineStr">
        <x:is>
          <x:t>Expected localized reason/missing prompt rendered</x:t>
        </x:is>
      </x:c>
      <x:c r="K212" t="inlineStr">
        <x:is>
          <x:t>/workspaces/training-modules-09-10/output/nationwide-correction-execution-20261011/checkpoints/active-assignments-20261012-v1/ny-history-clock-20261012/CANDIDATE-v5.json#/renders</x:t>
        </x:is>
      </x:c>
      <x:c r="L212" t="inlineStr">
        <x:is>
          <x:t>R Codex; G and qualified bilingual reviewer pending</x:t>
        </x:is>
      </x:c>
      <x:c r="M212" t="inlineStr">
        <x:is>
          <x:t>GA-19;GA-21</x:t>
        </x:is>
      </x:c>
      <x:c r="N212" t="inlineStr">
        <x:is>
          <x:t>SSR does not establish device/accessibility or substantive language approval</x:t>
        </x:is>
      </x:c>
    </x:row>
    <x:row r="213">
      <x:c r="A213" t="inlineStr">
        <x:is>
          <x:t>NY268-SSR-invalid-release_date-2016-02-30-es</x:t>
        </x:is>
      </x:c>
      <x:c r="B213" t="inlineStr">
        <x:is>
          <x:t>P05-13</x:t>
        </x:is>
      </x:c>
      <x:c r="C213" t="inlineStr">
        <x:is>
          <x:t>NY</x:t>
        </x:is>
      </x:c>
      <x:c r="D213" t="inlineStr">
        <x:is>
          <x:t>NY:discretionary-conviction-sealing-by-petition-under-cpl-160-59</x:t>
        </x:is>
      </x:c>
      <x:c r="E213" t="inlineStr">
        <x:is>
          <x:t>invalid-release_date-2016-02-30</x:t>
        </x:is>
      </x:c>
      <x:c r="F213" t="inlineStr">
        <x:is>
          <x:t>Server-side render</x:t>
        </x:is>
      </x:c>
      <x:c r="G213" t="inlineStr">
        <x:is>
          <x:t>ES</x:t>
        </x:is>
      </x:c>
      <x:c r="H213" t="inlineStr">
        <x:is>
          <x:t>933d1ab9a + NY source e3e08af63f6ed16f; pushed SHA in RECEIPT.json</x:t>
        </x:is>
      </x:c>
      <x:c r="I213" t="inlineStr">
        <x:is>
          <x:t>PASS</x:t>
        </x:is>
      </x:c>
      <x:c r="J213" t="inlineStr">
        <x:is>
          <x:t>Expected localized reason/missing prompt rendered</x:t>
        </x:is>
      </x:c>
      <x:c r="K213" t="inlineStr">
        <x:is>
          <x:t>/workspaces/training-modules-09-10/output/nationwide-correction-execution-20261011/checkpoints/active-assignments-20261012-v1/ny-history-clock-20261012/CANDIDATE-v5.json#/renders</x:t>
        </x:is>
      </x:c>
      <x:c r="L213" t="inlineStr">
        <x:is>
          <x:t>R Codex; G and qualified bilingual reviewer pending</x:t>
        </x:is>
      </x:c>
      <x:c r="M213" t="inlineStr">
        <x:is>
          <x:t>GA-19;GA-21</x:t>
        </x:is>
      </x:c>
      <x:c r="N213" t="inlineStr">
        <x:is>
          <x:t>SSR does not establish device/accessibility or substantive language approval</x:t>
        </x:is>
      </x:c>
    </x:row>
    <x:row r="214">
      <x:c r="A214" t="inlineStr">
        <x:is>
          <x:t>NY268-SSR-later-conviction-en</x:t>
        </x:is>
      </x:c>
      <x:c r="B214" t="inlineStr">
        <x:is>
          <x:t>P05-13</x:t>
        </x:is>
      </x:c>
      <x:c r="C214" t="inlineStr">
        <x:is>
          <x:t>NY</x:t>
        </x:is>
      </x:c>
      <x:c r="D214" t="inlineStr">
        <x:is>
          <x:t>NY:discretionary-conviction-sealing-by-petition-under-cpl-160-59</x:t>
        </x:is>
      </x:c>
      <x:c r="E214" t="inlineStr">
        <x:is>
          <x:t>later-conviction</x:t>
        </x:is>
      </x:c>
      <x:c r="F214" t="inlineStr">
        <x:is>
          <x:t>Server-side render</x:t>
        </x:is>
      </x:c>
      <x:c r="G214" t="inlineStr">
        <x:is>
          <x:t>EN</x:t>
        </x:is>
      </x:c>
      <x:c r="H214" t="inlineStr">
        <x:is>
          <x:t>933d1ab9a + NY source e3e08af63f6ed16f; pushed SHA in RECEIPT.json</x:t>
        </x:is>
      </x:c>
      <x:c r="I214" t="inlineStr">
        <x:is>
          <x:t>PASS</x:t>
        </x:is>
      </x:c>
      <x:c r="J214" t="inlineStr">
        <x:is>
          <x:t>Expected localized reason/missing prompt rendered</x:t>
        </x:is>
      </x:c>
      <x:c r="K214" t="inlineStr">
        <x:is>
          <x:t>/workspaces/training-modules-09-10/output/nationwide-correction-execution-20261011/checkpoints/active-assignments-20261012-v1/ny-history-clock-20261012/CANDIDATE-v5.json#/renders</x:t>
        </x:is>
      </x:c>
      <x:c r="L214" t="inlineStr">
        <x:is>
          <x:t>R Codex; G and qualified bilingual reviewer pending</x:t>
        </x:is>
      </x:c>
      <x:c r="M214" t="inlineStr">
        <x:is>
          <x:t>GA-19;GA-21</x:t>
        </x:is>
      </x:c>
      <x:c r="N214" t="inlineStr">
        <x:is>
          <x:t>SSR does not establish device/accessibility or substantive language approval</x:t>
        </x:is>
      </x:c>
    </x:row>
    <x:row r="215">
      <x:c r="A215" t="inlineStr">
        <x:is>
          <x:t>NY268-SSR-later-conviction-es</x:t>
        </x:is>
      </x:c>
      <x:c r="B215" t="inlineStr">
        <x:is>
          <x:t>P05-13</x:t>
        </x:is>
      </x:c>
      <x:c r="C215" t="inlineStr">
        <x:is>
          <x:t>NY</x:t>
        </x:is>
      </x:c>
      <x:c r="D215" t="inlineStr">
        <x:is>
          <x:t>NY:discretionary-conviction-sealing-by-petition-under-cpl-160-59</x:t>
        </x:is>
      </x:c>
      <x:c r="E215" t="inlineStr">
        <x:is>
          <x:t>later-conviction</x:t>
        </x:is>
      </x:c>
      <x:c r="F215" t="inlineStr">
        <x:is>
          <x:t>Server-side render</x:t>
        </x:is>
      </x:c>
      <x:c r="G215" t="inlineStr">
        <x:is>
          <x:t>ES</x:t>
        </x:is>
      </x:c>
      <x:c r="H215" t="inlineStr">
        <x:is>
          <x:t>933d1ab9a + NY source e3e08af63f6ed16f; pushed SHA in RECEIPT.json</x:t>
        </x:is>
      </x:c>
      <x:c r="I215" t="inlineStr">
        <x:is>
          <x:t>PASS</x:t>
        </x:is>
      </x:c>
      <x:c r="J215" t="inlineStr">
        <x:is>
          <x:t>Expected localized reason/missing prompt rendered</x:t>
        </x:is>
      </x:c>
      <x:c r="K215" t="inlineStr">
        <x:is>
          <x:t>/workspaces/training-modules-09-10/output/nationwide-correction-execution-20261011/checkpoints/active-assignments-20261012-v1/ny-history-clock-20261012/CANDIDATE-v5.json#/renders</x:t>
        </x:is>
      </x:c>
      <x:c r="L215" t="inlineStr">
        <x:is>
          <x:t>R Codex; G and qualified bilingual reviewer pending</x:t>
        </x:is>
      </x:c>
      <x:c r="M215" t="inlineStr">
        <x:is>
          <x:t>GA-19;GA-21</x:t>
        </x:is>
      </x:c>
      <x:c r="N215" t="inlineStr">
        <x:is>
          <x:t>SSR does not establish device/accessibility or substantive language approval</x:t>
        </x:is>
      </x:c>
    </x:row>
    <x:row r="216">
      <x:c r="A216" t="inlineStr">
        <x:is>
          <x:t>NY268-SSR-undisposed-arrest-en</x:t>
        </x:is>
      </x:c>
      <x:c r="B216" t="inlineStr">
        <x:is>
          <x:t>P05-13</x:t>
        </x:is>
      </x:c>
      <x:c r="C216" t="inlineStr">
        <x:is>
          <x:t>NY</x:t>
        </x:is>
      </x:c>
      <x:c r="D216" t="inlineStr">
        <x:is>
          <x:t>NY:discretionary-conviction-sealing-by-petition-under-cpl-160-59</x:t>
        </x:is>
      </x:c>
      <x:c r="E216" t="inlineStr">
        <x:is>
          <x:t>undisposed-arrest</x:t>
        </x:is>
      </x:c>
      <x:c r="F216" t="inlineStr">
        <x:is>
          <x:t>Server-side render</x:t>
        </x:is>
      </x:c>
      <x:c r="G216" t="inlineStr">
        <x:is>
          <x:t>EN</x:t>
        </x:is>
      </x:c>
      <x:c r="H216" t="inlineStr">
        <x:is>
          <x:t>933d1ab9a + NY source e3e08af63f6ed16f; pushed SHA in RECEIPT.json</x:t>
        </x:is>
      </x:c>
      <x:c r="I216" t="inlineStr">
        <x:is>
          <x:t>PASS</x:t>
        </x:is>
      </x:c>
      <x:c r="J216" t="inlineStr">
        <x:is>
          <x:t>Expected localized reason/missing prompt rendered</x:t>
        </x:is>
      </x:c>
      <x:c r="K216" t="inlineStr">
        <x:is>
          <x:t>/workspaces/training-modules-09-10/output/nationwide-correction-execution-20261011/checkpoints/active-assignments-20261012-v1/ny-history-clock-20261012/CANDIDATE-v5.json#/renders</x:t>
        </x:is>
      </x:c>
      <x:c r="L216" t="inlineStr">
        <x:is>
          <x:t>R Codex; G and qualified bilingual reviewer pending</x:t>
        </x:is>
      </x:c>
      <x:c r="M216" t="inlineStr">
        <x:is>
          <x:t>GA-19;GA-21</x:t>
        </x:is>
      </x:c>
      <x:c r="N216" t="inlineStr">
        <x:is>
          <x:t>SSR does not establish device/accessibility or substantive language approval</x:t>
        </x:is>
      </x:c>
    </x:row>
    <x:row r="217">
      <x:c r="A217" t="inlineStr">
        <x:is>
          <x:t>NY268-SSR-undisposed-arrest-es</x:t>
        </x:is>
      </x:c>
      <x:c r="B217" t="inlineStr">
        <x:is>
          <x:t>P05-13</x:t>
        </x:is>
      </x:c>
      <x:c r="C217" t="inlineStr">
        <x:is>
          <x:t>NY</x:t>
        </x:is>
      </x:c>
      <x:c r="D217" t="inlineStr">
        <x:is>
          <x:t>NY:discretionary-conviction-sealing-by-petition-under-cpl-160-59</x:t>
        </x:is>
      </x:c>
      <x:c r="E217" t="inlineStr">
        <x:is>
          <x:t>undisposed-arrest</x:t>
        </x:is>
      </x:c>
      <x:c r="F217" t="inlineStr">
        <x:is>
          <x:t>Server-side render</x:t>
        </x:is>
      </x:c>
      <x:c r="G217" t="inlineStr">
        <x:is>
          <x:t>ES</x:t>
        </x:is>
      </x:c>
      <x:c r="H217" t="inlineStr">
        <x:is>
          <x:t>933d1ab9a + NY source e3e08af63f6ed16f; pushed SHA in RECEIPT.json</x:t>
        </x:is>
      </x:c>
      <x:c r="I217" t="inlineStr">
        <x:is>
          <x:t>PASS</x:t>
        </x:is>
      </x:c>
      <x:c r="J217" t="inlineStr">
        <x:is>
          <x:t>Expected localized reason/missing prompt rendered</x:t>
        </x:is>
      </x:c>
      <x:c r="K217" t="inlineStr">
        <x:is>
          <x:t>/workspaces/training-modules-09-10/output/nationwide-correction-execution-20261011/checkpoints/active-assignments-20261012-v1/ny-history-clock-20261012/CANDIDATE-v5.json#/renders</x:t>
        </x:is>
      </x:c>
      <x:c r="L217" t="inlineStr">
        <x:is>
          <x:t>R Codex; G and qualified bilingual reviewer pending</x:t>
        </x:is>
      </x:c>
      <x:c r="M217" t="inlineStr">
        <x:is>
          <x:t>GA-19;GA-21</x:t>
        </x:is>
      </x:c>
      <x:c r="N217" t="inlineStr">
        <x:is>
          <x:t>SSR does not establish device/accessibility or substantive language approval</x:t>
        </x:is>
      </x:c>
    </x:row>
    <x:row r="218">
      <x:c r="A218" t="inlineStr">
        <x:is>
          <x:t>NY268-SSR-legacy-only-en</x:t>
        </x:is>
      </x:c>
      <x:c r="B218" t="inlineStr">
        <x:is>
          <x:t>P05-13</x:t>
        </x:is>
      </x:c>
      <x:c r="C218" t="inlineStr">
        <x:is>
          <x:t>NY</x:t>
        </x:is>
      </x:c>
      <x:c r="D218" t="inlineStr">
        <x:is>
          <x:t>NY:discretionary-conviction-sealing-by-petition-under-cpl-160-59</x:t>
        </x:is>
      </x:c>
      <x:c r="E218" t="inlineStr">
        <x:is>
          <x:t>legacy-only</x:t>
        </x:is>
      </x:c>
      <x:c r="F218" t="inlineStr">
        <x:is>
          <x:t>Server-side render</x:t>
        </x:is>
      </x:c>
      <x:c r="G218" t="inlineStr">
        <x:is>
          <x:t>EN</x:t>
        </x:is>
      </x:c>
      <x:c r="H218" t="inlineStr">
        <x:is>
          <x:t>933d1ab9a + NY source e3e08af63f6ed16f; pushed SHA in RECEIPT.json</x:t>
        </x:is>
      </x:c>
      <x:c r="I218" t="inlineStr">
        <x:is>
          <x:t>PASS</x:t>
        </x:is>
      </x:c>
      <x:c r="J218" t="inlineStr">
        <x:is>
          <x:t>Expected localized reason/missing prompt rendered</x:t>
        </x:is>
      </x:c>
      <x:c r="K218" t="inlineStr">
        <x:is>
          <x:t>/workspaces/training-modules-09-10/output/nationwide-correction-execution-20261011/checkpoints/active-assignments-20261012-v1/ny-history-clock-20261012/CANDIDATE-v5.json#/renders</x:t>
        </x:is>
      </x:c>
      <x:c r="L218" t="inlineStr">
        <x:is>
          <x:t>R Codex; G and qualified bilingual reviewer pending</x:t>
        </x:is>
      </x:c>
      <x:c r="M218" t="inlineStr">
        <x:is>
          <x:t>GA-19;GA-21</x:t>
        </x:is>
      </x:c>
      <x:c r="N218" t="inlineStr">
        <x:is>
          <x:t>SSR does not establish device/accessibility or substantive language approval</x:t>
        </x:is>
      </x:c>
    </x:row>
    <x:row r="219">
      <x:c r="A219" t="inlineStr">
        <x:is>
          <x:t>NY268-SSR-legacy-only-es</x:t>
        </x:is>
      </x:c>
      <x:c r="B219" t="inlineStr">
        <x:is>
          <x:t>P05-13</x:t>
        </x:is>
      </x:c>
      <x:c r="C219" t="inlineStr">
        <x:is>
          <x:t>NY</x:t>
        </x:is>
      </x:c>
      <x:c r="D219" t="inlineStr">
        <x:is>
          <x:t>NY:discretionary-conviction-sealing-by-petition-under-cpl-160-59</x:t>
        </x:is>
      </x:c>
      <x:c r="E219" t="inlineStr">
        <x:is>
          <x:t>legacy-only</x:t>
        </x:is>
      </x:c>
      <x:c r="F219" t="inlineStr">
        <x:is>
          <x:t>Server-side render</x:t>
        </x:is>
      </x:c>
      <x:c r="G219" t="inlineStr">
        <x:is>
          <x:t>ES</x:t>
        </x:is>
      </x:c>
      <x:c r="H219" t="inlineStr">
        <x:is>
          <x:t>933d1ab9a + NY source e3e08af63f6ed16f; pushed SHA in RECEIPT.json</x:t>
        </x:is>
      </x:c>
      <x:c r="I219" t="inlineStr">
        <x:is>
          <x:t>PASS</x:t>
        </x:is>
      </x:c>
      <x:c r="J219" t="inlineStr">
        <x:is>
          <x:t>Expected localized reason/missing prompt rendered</x:t>
        </x:is>
      </x:c>
      <x:c r="K219" t="inlineStr">
        <x:is>
          <x:t>/workspaces/training-modules-09-10/output/nationwide-correction-execution-20261011/checkpoints/active-assignments-20261012-v1/ny-history-clock-20261012/CANDIDATE-v5.json#/renders</x:t>
        </x:is>
      </x:c>
      <x:c r="L219" t="inlineStr">
        <x:is>
          <x:t>R Codex; G and qualified bilingual reviewer pending</x:t>
        </x:is>
      </x:c>
      <x:c r="M219" t="inlineStr">
        <x:is>
          <x:t>GA-19;GA-21</x:t>
        </x:is>
      </x:c>
      <x:c r="N219" t="inlineStr">
        <x:is>
          <x:t>SSR does not establish device/accessibility or substantive language approval</x:t>
        </x:is>
      </x:c>
    </x:row>
    <x:row r="220">
      <x:c r="A220" t="inlineStr">
        <x:is>
          <x:t>NY268-SSR-same-act-ineligible-not-grouped-en</x:t>
        </x:is>
      </x:c>
      <x:c r="B220" t="inlineStr">
        <x:is>
          <x:t>P05-13</x:t>
        </x:is>
      </x:c>
      <x:c r="C220" t="inlineStr">
        <x:is>
          <x:t>NY</x:t>
        </x:is>
      </x:c>
      <x:c r="D220" t="inlineStr">
        <x:is>
          <x:t>NY:discretionary-conviction-sealing-by-petition-under-cpl-160-59</x:t>
        </x:is>
      </x:c>
      <x:c r="E220" t="inlineStr">
        <x:is>
          <x:t>same-act-ineligible-not-grouped</x:t>
        </x:is>
      </x:c>
      <x:c r="F220" t="inlineStr">
        <x:is>
          <x:t>Server-side render</x:t>
        </x:is>
      </x:c>
      <x:c r="G220" t="inlineStr">
        <x:is>
          <x:t>EN</x:t>
        </x:is>
      </x:c>
      <x:c r="H220" t="inlineStr">
        <x:is>
          <x:t>933d1ab9a + NY source e3e08af63f6ed16f; pushed SHA in RECEIPT.json</x:t>
        </x:is>
      </x:c>
      <x:c r="I220" t="inlineStr">
        <x:is>
          <x:t>PASS</x:t>
        </x:is>
      </x:c>
      <x:c r="J220" t="inlineStr">
        <x:is>
          <x:t>Expected localized reason/missing prompt rendered</x:t>
        </x:is>
      </x:c>
      <x:c r="K220" t="inlineStr">
        <x:is>
          <x:t>/workspaces/training-modules-09-10/output/nationwide-correction-execution-20261011/checkpoints/active-assignments-20261012-v1/ny-history-clock-20261012/CANDIDATE-v5.json#/renders</x:t>
        </x:is>
      </x:c>
      <x:c r="L220" t="inlineStr">
        <x:is>
          <x:t>R Codex; G and qualified bilingual reviewer pending</x:t>
        </x:is>
      </x:c>
      <x:c r="M220" t="inlineStr">
        <x:is>
          <x:t>GA-19;GA-21</x:t>
        </x:is>
      </x:c>
      <x:c r="N220" t="inlineStr">
        <x:is>
          <x:t>SSR does not establish device/accessibility or substantive language approval</x:t>
        </x:is>
      </x:c>
    </x:row>
    <x:row r="221">
      <x:c r="A221" t="inlineStr">
        <x:is>
          <x:t>NY268-SSR-same-act-ineligible-not-grouped-es</x:t>
        </x:is>
      </x:c>
      <x:c r="B221" t="inlineStr">
        <x:is>
          <x:t>P05-13</x:t>
        </x:is>
      </x:c>
      <x:c r="C221" t="inlineStr">
        <x:is>
          <x:t>NY</x:t>
        </x:is>
      </x:c>
      <x:c r="D221" t="inlineStr">
        <x:is>
          <x:t>NY:discretionary-conviction-sealing-by-petition-under-cpl-160-59</x:t>
        </x:is>
      </x:c>
      <x:c r="E221" t="inlineStr">
        <x:is>
          <x:t>same-act-ineligible-not-grouped</x:t>
        </x:is>
      </x:c>
      <x:c r="F221" t="inlineStr">
        <x:is>
          <x:t>Server-side render</x:t>
        </x:is>
      </x:c>
      <x:c r="G221" t="inlineStr">
        <x:is>
          <x:t>ES</x:t>
        </x:is>
      </x:c>
      <x:c r="H221" t="inlineStr">
        <x:is>
          <x:t>933d1ab9a + NY source e3e08af63f6ed16f; pushed SHA in RECEIPT.json</x:t>
        </x:is>
      </x:c>
      <x:c r="I221" t="inlineStr">
        <x:is>
          <x:t>PASS</x:t>
        </x:is>
      </x:c>
      <x:c r="J221" t="inlineStr">
        <x:is>
          <x:t>Expected localized reason/missing prompt rendered</x:t>
        </x:is>
      </x:c>
      <x:c r="K221" t="inlineStr">
        <x:is>
          <x:t>/workspaces/training-modules-09-10/output/nationwide-correction-execution-20261011/checkpoints/active-assignments-20261012-v1/ny-history-clock-20261012/CANDIDATE-v5.json#/renders</x:t>
        </x:is>
      </x:c>
      <x:c r="L221" t="inlineStr">
        <x:is>
          <x:t>R Codex; G and qualified bilingual reviewer pending</x:t>
        </x:is>
      </x:c>
      <x:c r="M221" t="inlineStr">
        <x:is>
          <x:t>GA-19;GA-21</x:t>
        </x:is>
      </x:c>
      <x:c r="N221" t="inlineStr">
        <x:is>
          <x:t>SSR does not establish device/accessibility or substantive language approval</x:t>
        </x:is>
      </x:c>
    </x:row>
    <x:row r="222">
      <x:c r="A222" t="inlineStr">
        <x:is>
          <x:t>NY268-SSR-release-interpretation-boundary-en</x:t>
        </x:is>
      </x:c>
      <x:c r="B222" t="inlineStr">
        <x:is>
          <x:t>P05-13</x:t>
        </x:is>
      </x:c>
      <x:c r="C222" t="inlineStr">
        <x:is>
          <x:t>NY</x:t>
        </x:is>
      </x:c>
      <x:c r="D222" t="inlineStr">
        <x:is>
          <x:t>NY:discretionary-conviction-sealing-by-petition-under-cpl-160-59</x:t>
        </x:is>
      </x:c>
      <x:c r="E222" t="inlineStr">
        <x:is>
          <x:t>release-interpretation-boundary</x:t>
        </x:is>
      </x:c>
      <x:c r="F222" t="inlineStr">
        <x:is>
          <x:t>Server-side render</x:t>
        </x:is>
      </x:c>
      <x:c r="G222" t="inlineStr">
        <x:is>
          <x:t>EN</x:t>
        </x:is>
      </x:c>
      <x:c r="H222" t="inlineStr">
        <x:is>
          <x:t>933d1ab9a + NY source e3e08af63f6ed16f; pushed SHA in RECEIPT.json</x:t>
        </x:is>
      </x:c>
      <x:c r="I222" t="inlineStr">
        <x:is>
          <x:t>PASS</x:t>
        </x:is>
      </x:c>
      <x:c r="J222" t="inlineStr">
        <x:is>
          <x:t>Expected localized reason/missing prompt rendered</x:t>
        </x:is>
      </x:c>
      <x:c r="K222" t="inlineStr">
        <x:is>
          <x:t>/workspaces/training-modules-09-10/output/nationwide-correction-execution-20261011/checkpoints/active-assignments-20261012-v1/ny-history-clock-20261012/CANDIDATE-v5.json#/renders</x:t>
        </x:is>
      </x:c>
      <x:c r="L222" t="inlineStr">
        <x:is>
          <x:t>R Codex; G and qualified bilingual reviewer pending</x:t>
        </x:is>
      </x:c>
      <x:c r="M222" t="inlineStr">
        <x:is>
          <x:t>GA-19;GA-21</x:t>
        </x:is>
      </x:c>
      <x:c r="N222" t="inlineStr">
        <x:is>
          <x:t>SSR does not establish device/accessibility or substantive language approval</x:t>
        </x:is>
      </x:c>
    </x:row>
    <x:row r="223">
      <x:c r="A223" t="inlineStr">
        <x:is>
          <x:t>NY268-SSR-release-interpretation-boundary-es</x:t>
        </x:is>
      </x:c>
      <x:c r="B223" t="inlineStr">
        <x:is>
          <x:t>P05-13</x:t>
        </x:is>
      </x:c>
      <x:c r="C223" t="inlineStr">
        <x:is>
          <x:t>NY</x:t>
        </x:is>
      </x:c>
      <x:c r="D223" t="inlineStr">
        <x:is>
          <x:t>NY:discretionary-conviction-sealing-by-petition-under-cpl-160-59</x:t>
        </x:is>
      </x:c>
      <x:c r="E223" t="inlineStr">
        <x:is>
          <x:t>release-interpretation-boundary</x:t>
        </x:is>
      </x:c>
      <x:c r="F223" t="inlineStr">
        <x:is>
          <x:t>Server-side render</x:t>
        </x:is>
      </x:c>
      <x:c r="G223" t="inlineStr">
        <x:is>
          <x:t>ES</x:t>
        </x:is>
      </x:c>
      <x:c r="H223" t="inlineStr">
        <x:is>
          <x:t>933d1ab9a + NY source e3e08af63f6ed16f; pushed SHA in RECEIPT.json</x:t>
        </x:is>
      </x:c>
      <x:c r="I223" t="inlineStr">
        <x:is>
          <x:t>PASS</x:t>
        </x:is>
      </x:c>
      <x:c r="J223" t="inlineStr">
        <x:is>
          <x:t>Expected localized reason/missing prompt rendered</x:t>
        </x:is>
      </x:c>
      <x:c r="K223" t="inlineStr">
        <x:is>
          <x:t>/workspaces/training-modules-09-10/output/nationwide-correction-execution-20261011/checkpoints/active-assignments-20261012-v1/ny-history-clock-20261012/CANDIDATE-v5.json#/renders</x:t>
        </x:is>
      </x:c>
      <x:c r="L223" t="inlineStr">
        <x:is>
          <x:t>R Codex; G and qualified bilingual reviewer pending</x:t>
        </x:is>
      </x:c>
      <x:c r="M223" t="inlineStr">
        <x:is>
          <x:t>GA-19;GA-21</x:t>
        </x:is>
      </x:c>
      <x:c r="N223" t="inlineStr">
        <x:is>
          <x:t>SSR does not establish device/accessibility or substantive language approval</x:t>
        </x:is>
      </x:c>
    </x:row>
    <x:row r="224">
      <x:c r="A224" t="inlineStr">
        <x:is>
          <x:t>NY268-REMAINING-clock-interpretation</x:t>
        </x:is>
      </x:c>
      <x:c r="B224" t="inlineStr">
        <x:is>
          <x:t>P02-05</x:t>
        </x:is>
      </x:c>
      <x:c r="C224" t="inlineStr">
        <x:is>
          <x:t>NY</x:t>
        </x:is>
      </x:c>
      <x:c r="D224" t="inlineStr">
        <x:is>
          <x:t>NY:discretionary-conviction-sealing-by-petition-under-cpl-160-59</x:t>
        </x:is>
      </x:c>
      <x:c r="E224" t="inlineStr">
        <x:is>
          <x:t>clock-interpretation</x:t>
        </x:is>
      </x:c>
      <x:c r="F224" t="inlineStr">
        <x:is>
          <x:t>Qualified review</x:t>
        </x:is>
      </x:c>
      <x:c r="G224" t="inlineStr">
        <x:is>
          <x:t>EN/ES</x:t>
        </x:is>
      </x:c>
      <x:c r="H224" t="inlineStr">
        <x:is>
          <x:t>933d1ab9a + NY source e3e08af63f6ed16f; pushed SHA in RECEIPT.json</x:t>
        </x:is>
      </x:c>
      <x:c r="I224" t="inlineStr">
        <x:is>
          <x:t>NOT RUN</x:t>
        </x:is>
      </x:c>
      <x:c r="J224" t="inlineStr">
        <x:is>
          <x:t>Resolve CPL160.59(5) pre-anchor incarceration treatment, endpoint/leap convention</x:t>
        </x:is>
      </x:c>
      <x:c r="K224" t="inlineStr">
        <x:is>
          <x:t>/workspaces/training-modules-09-10/output/nationwide-correction-execution-20261011/checkpoints/active-assignments-20261012-v1/ny-history-clock-20261012/RECEIPT.json</x:t>
        </x:is>
      </x:c>
      <x:c r="L224" t="inlineStr">
        <x:is>
          <x:t>G independent QA and H-L qualified NY reviewer</x:t>
        </x:is>
      </x:c>
      <x:c r="M224" t="inlineStr">
        <x:is>
          <x:t>GA-19;GA-21</x:t>
        </x:is>
      </x:c>
      <x:c r="N224" t="inlineStr">
        <x:is>
          <x:t>Specific remaining acceptance requirement; no new gate campaign</x:t>
        </x:is>
      </x:c>
    </x:row>
    <x:row r="225">
      <x:c r="A225" t="inlineStr">
        <x:is>
          <x:t>NY268-REMAINING-16058-maximum</x:t>
        </x:is>
      </x:c>
      <x:c r="B225" t="inlineStr">
        <x:is>
          <x:t>P02-05</x:t>
        </x:is>
      </x:c>
      <x:c r="C225" t="inlineStr">
        <x:is>
          <x:t>NY</x:t>
        </x:is>
      </x:c>
      <x:c r="D225" t="inlineStr">
        <x:is>
          <x:t>NY:discretionary-conviction-sealing-by-petition-under-cpl-160-59</x:t>
        </x:is>
      </x:c>
      <x:c r="E225" t="inlineStr">
        <x:is>
          <x:t>16058-maximum</x:t>
        </x:is>
      </x:c>
      <x:c r="F225" t="inlineStr">
        <x:is>
          <x:t>Qualified review</x:t>
        </x:is>
      </x:c>
      <x:c r="G225" t="inlineStr">
        <x:is>
          <x:t>EN/ES</x:t>
        </x:is>
      </x:c>
      <x:c r="H225" t="inlineStr">
        <x:is>
          <x:t>933d1ab9a + NY source e3e08af63f6ed16f; pushed SHA in RECEIPT.json</x:t>
        </x:is>
      </x:c>
      <x:c r="I225" t="inlineStr">
        <x:is>
          <x:t>NOT RUN</x:t>
        </x:is>
      </x:c>
      <x:c r="J225" t="inlineStr">
        <x:is>
          <x:t>Classify actual160.58 treatment and additional-misdemeanor order; decide maximum under160.59(3)(b)</x:t>
        </x:is>
      </x:c>
      <x:c r="K225" t="inlineStr">
        <x:is>
          <x:t>/workspaces/training-modules-09-10/output/nationwide-correction-execution-20261011/checkpoints/active-assignments-20261012-v1/ny-history-clock-20261012/RECEIPT.json</x:t>
        </x:is>
      </x:c>
      <x:c r="L225" t="inlineStr">
        <x:is>
          <x:t>G independent QA and H-L qualified NY reviewer</x:t>
        </x:is>
      </x:c>
      <x:c r="M225" t="inlineStr">
        <x:is>
          <x:t>GA-19;GA-21</x:t>
        </x:is>
      </x:c>
      <x:c r="N225" t="inlineStr">
        <x:is>
          <x:t>Specific remaining acceptance requirement; no new gate campaign</x:t>
        </x:is>
      </x:c>
    </x:row>
    <x:row r="226">
      <x:c r="A226" t="inlineStr">
        <x:is>
          <x:t>NY268-REMAINING-transaction-classification</x:t>
        </x:is>
      </x:c>
      <x:c r="B226" t="inlineStr">
        <x:is>
          <x:t>P02-05</x:t>
        </x:is>
      </x:c>
      <x:c r="C226" t="inlineStr">
        <x:is>
          <x:t>NY</x:t>
        </x:is>
      </x:c>
      <x:c r="D226" t="inlineStr">
        <x:is>
          <x:t>NY:discretionary-conviction-sealing-by-petition-under-cpl-160-59</x:t>
        </x:is>
      </x:c>
      <x:c r="E226" t="inlineStr">
        <x:is>
          <x:t>transaction-classification</x:t>
        </x:is>
      </x:c>
      <x:c r="F226" t="inlineStr">
        <x:is>
          <x:t>Qualified review</x:t>
        </x:is>
      </x:c>
      <x:c r="G226" t="inlineStr">
        <x:is>
          <x:t>EN/ES</x:t>
        </x:is>
      </x:c>
      <x:c r="H226" t="inlineStr">
        <x:is>
          <x:t>933d1ab9a + NY source e3e08af63f6ed16f; pushed SHA in RECEIPT.json</x:t>
        </x:is>
      </x:c>
      <x:c r="I226" t="inlineStr">
        <x:is>
          <x:t>NOT RUN</x:t>
        </x:is>
      </x:c>
      <x:c r="J226" t="inlineStr">
        <x:is>
          <x:t>Classify connected acts/ventures and mixed/other history groupings under40.10(2)</x:t>
        </x:is>
      </x:c>
      <x:c r="K226" t="inlineStr">
        <x:is>
          <x:t>/workspaces/training-modules-09-10/output/nationwide-correction-execution-20261011/checkpoints/active-assignments-20261012-v1/ny-history-clock-20261012/RECEIPT.json</x:t>
        </x:is>
      </x:c>
      <x:c r="L226" t="inlineStr">
        <x:is>
          <x:t>G independent QA and H-L qualified NY reviewer</x:t>
        </x:is>
      </x:c>
      <x:c r="M226" t="inlineStr">
        <x:is>
          <x:t>GA-19;GA-21</x:t>
        </x:is>
      </x:c>
      <x:c r="N226" t="inlineStr">
        <x:is>
          <x:t>Specific remaining acceptance requirement; no new gate campaign</x:t>
        </x:is>
      </x:c>
    </x:row>
    <x:row r="227">
      <x:c r="A227" t="inlineStr">
        <x:is>
          <x:t>NY268-REMAINING-protected-persistence</x:t>
        </x:is>
      </x:c>
      <x:c r="B227" t="inlineStr">
        <x:is>
          <x:t>P03-15</x:t>
        </x:is>
      </x:c>
      <x:c r="C227" t="inlineStr">
        <x:is>
          <x:t>NY</x:t>
        </x:is>
      </x:c>
      <x:c r="D227" t="inlineStr">
        <x:is>
          <x:t>NY:discretionary-conviction-sealing-by-petition-under-cpl-160-59</x:t>
        </x:is>
      </x:c>
      <x:c r="E227" t="inlineStr">
        <x:is>
          <x:t>protected-persistence</x:t>
        </x:is>
      </x:c>
      <x:c r="F227" t="inlineStr">
        <x:is>
          <x:t>Protected flow</x:t>
        </x:is>
      </x:c>
      <x:c r="G227" t="inlineStr">
        <x:is>
          <x:t>EN/ES</x:t>
        </x:is>
      </x:c>
      <x:c r="H227" t="inlineStr">
        <x:is>
          <x:t>933d1ab9a + NY source e3e08af63f6ed16f; pushed SHA in RECEIPT.json</x:t>
        </x:is>
      </x:c>
      <x:c r="I227" t="inlineStr">
        <x:is>
          <x:t>NOT RUN</x:t>
        </x:is>
      </x:c>
      <x:c r="J227" t="inlineStr">
        <x:is>
          <x:t>Authenticated DB saved-matter reload and terminal journey on exact candidate</x:t>
        </x:is>
      </x:c>
      <x:c r="K227" t="inlineStr">
        <x:is>
          <x:t>/workspaces/training-modules-09-10/output/nationwide-correction-execution-20261011/checkpoints/active-assignments-20261012-v1/ny-history-clock-20261012/RECEIPT.json</x:t>
        </x:is>
      </x:c>
      <x:c r="L227" t="inlineStr">
        <x:is>
          <x:t>G independent QA and H-L qualified NY reviewer</x:t>
        </x:is>
      </x:c>
      <x:c r="M227" t="inlineStr">
        <x:is>
          <x:t>GA-19;GA-21</x:t>
        </x:is>
      </x:c>
      <x:c r="N227" t="inlineStr">
        <x:is>
          <x:t>Specific remaining acceptance requirement; no new gate campaign</x:t>
        </x:is>
      </x:c>
    </x:row>
    <x:row r="228">
      <x:c r="A228" t="inlineStr">
        <x:is>
          <x:t>NY-RESIDUAL-PERSISTENCE-20261012</x:t>
        </x:is>
      </x:c>
      <x:c r="B228" t="inlineStr">
        <x:is>
          <x:t>P03-18</x:t>
        </x:is>
      </x:c>
      <x:c r="C228" t="inlineStr">
        <x:is>
          <x:t>NY</x:t>
        </x:is>
      </x:c>
      <x:c r="D228" t="inlineStr">
        <x:is>
          <x:t>NY:discretionary-conviction-sealing-by-petition-under-cpl-160-59</x:t>
        </x:is>
      </x:c>
      <x:c r="E228" t="inlineStr">
        <x:is>
          <x:t>Local claim/reload, held edits, custody archive, verified-to-invalidated transition, cross-owner denial</x:t>
        </x:is>
      </x:c>
      <x:c r="F228" t="inlineStr">
        <x:is>
          <x:t>Briefcase / isolated DB</x:t>
        </x:is>
      </x:c>
      <x:c r="G228" t="inlineStr">
        <x:is>
          <x:t>EN; saved ES locale</x:t>
        </x:is>
      </x:c>
      <x:c r="H228" t="inlineStr">
        <x:is>
          <x:t>Commit containing this checkpoint</x:t>
        </x:is>
      </x:c>
      <x:c r="I228" t="inlineStr">
        <x:is>
          <x:t>PASS</x:t>
        </x:is>
      </x:c>
      <x:c r="J228" t="inlineStr">
        <x:is>
          <x:t>38 scoped local checks; business-table fingerprints restored. Not hosted or whole-route acceptance.</x:t>
        </x:is>
      </x:c>
      <x:c r="K228" t="inlineStr">
        <x:is>
          <x:t>/workspaces/training-modules-09-10/output/nationwide-correction-execution-20261011/checkpoints/active-assignments-20261012-v1/ny-residual-20261012/PROTECTED-v13.json</x:t>
        </x:is>
      </x:c>
      <x:c r="L228" t="inlineStr">
        <x:is>
          <x:t>Codex executed; independent engineering receipt review; qualified QA pending</x:t>
        </x:is>
      </x:c>
      <x:c r="M228" t="inlineStr">
        <x:is>
          <x:t>GA-19 / GA-21 / GA-43 / GA-44</x:t>
        </x:is>
      </x:c>
      <x:c r="N228" t="inlineStr">
        <x:is>
          <x:t>No payment, sponsorship, download, legal or language approval.</x:t>
        </x:is>
      </x:c>
    </x:row>
    <x:row r="229">
      <x:c r="A229" t="inlineStr">
        <x:is>
          <x:t>CA-PROP64-PERSISTENCE-currently-serving-petition-20261013</x:t>
        </x:is>
      </x:c>
      <x:c r="B229" t="inlineStr">
        <x:is>
          <x:t>P03-18</x:t>
        </x:is>
      </x:c>
      <x:c r="C229" t="inlineStr">
        <x:is>
          <x:t>CA</x:t>
        </x:is>
      </x:c>
      <x:c r="D229" t="inlineStr">
        <x:is>
          <x:t>CA:prop-64-currently-serving-petition-11361-8</x:t>
        </x:is>
      </x:c>
      <x:c r="E229" t="inlineStr">
        <x:is>
          <x:t>Local ordinary-owner claim/reload; held correction; actual decimal save; CAS; verify/invalidate/recover; wrong-owner denial</x:t>
        </x:is>
      </x:c>
      <x:c r="F229" t="inlineStr">
        <x:is>
          <x:t>DTC</x:t>
        </x:is>
      </x:c>
      <x:c r="G229" t="inlineStr">
        <x:is>
          <x:t>BOTH</x:t>
        </x:is>
      </x:c>
      <x:c r="H229" t="inlineStr">
        <x:is>
          <x:t>Commit containing this checkpoint; PROTECTED-v6 runtime manifest</x:t>
        </x:is>
      </x:c>
      <x:c r="I229" t="inlineStr">
        <x:is>
          <x:t>PASS</x:t>
        </x:is>
      </x:c>
      <x:c r="J229" t="inlineStr">
        <x:is>
          <x:t>53 checks across both routes; exact3-table restoration. No hosted or full-route acceptance.</x:t>
        </x:is>
      </x:c>
      <x:c r="K229" t="inlineStr">
        <x:is>
          <x:t>/workspaces/training-modules-09-10/output/nationwide-correction-execution-20261011/checkpoints/active-assignments-20261012-v1/ca-prop64-facts-20261012/PROTECTED-v7.json</x:t>
        </x:is>
      </x:c>
      <x:c r="L229" t="inlineStr">
        <x:is>
          <x:t>Codex executed; independent engineering receipt review; qualified QA pending</x:t>
        </x:is>
      </x:c>
      <x:c r="M229" t="inlineStr">
        <x:is>
          <x:t>GA-19 / GA-21 / GA-43 / GA-44</x:t>
        </x:is>
      </x:c>
      <x:c r="N229" t="inlineStr">
        <x:is>
          <x:t>No payment/sponsorship/download/legal/language approval.</x:t>
        </x:is>
      </x:c>
    </x:row>
    <x:row r="230">
      <x:c r="A230" t="inlineStr">
        <x:is>
          <x:t>CA-PROP64-PERSISTENCE-completed-sentence-application-20261013</x:t>
        </x:is>
      </x:c>
      <x:c r="B230" t="inlineStr">
        <x:is>
          <x:t>P03-18</x:t>
        </x:is>
      </x:c>
      <x:c r="C230" t="inlineStr">
        <x:is>
          <x:t>CA</x:t>
        </x:is>
      </x:c>
      <x:c r="D230" t="inlineStr">
        <x:is>
          <x:t>CA:prop-64-completed-sentence-application-11361-8</x:t>
        </x:is>
      </x:c>
      <x:c r="E230" t="inlineStr">
        <x:is>
          <x:t>Local ordinary-owner claim/reload; held correction; actual decimal save; CAS; verify/invalidate/recover; wrong-owner denial</x:t>
        </x:is>
      </x:c>
      <x:c r="F230" t="inlineStr">
        <x:is>
          <x:t>DTC</x:t>
        </x:is>
      </x:c>
      <x:c r="G230" t="inlineStr">
        <x:is>
          <x:t>BOTH</x:t>
        </x:is>
      </x:c>
      <x:c r="H230" t="inlineStr">
        <x:is>
          <x:t>Commit containing this checkpoint; PROTECTED-v6 runtime manifest</x:t>
        </x:is>
      </x:c>
      <x:c r="I230" t="inlineStr">
        <x:is>
          <x:t>PASS</x:t>
        </x:is>
      </x:c>
      <x:c r="J230" t="inlineStr">
        <x:is>
          <x:t>53 checks across both routes; exact3-table restoration. No hosted or full-route acceptance.</x:t>
        </x:is>
      </x:c>
      <x:c r="K230" t="inlineStr">
        <x:is>
          <x:t>/workspaces/training-modules-09-10/output/nationwide-correction-execution-20261011/checkpoints/active-assignments-20261012-v1/ca-prop64-facts-20261012/PROTECTED-v7.json</x:t>
        </x:is>
      </x:c>
      <x:c r="L230" t="inlineStr">
        <x:is>
          <x:t>Codex executed; independent engineering receipt review; qualified QA pending</x:t>
        </x:is>
      </x:c>
      <x:c r="M230" t="inlineStr">
        <x:is>
          <x:t>GA-19 / GA-21 / GA-43 / GA-44</x:t>
        </x:is>
      </x:c>
      <x:c r="N230" t="inlineStr">
        <x:is>
          <x:t>No payment/sponsorship/download/legal/language approval.</x:t>
        </x:is>
      </x:c>
    </x:row>
    <x:row r="231">
      <x:c r="A231" t="inlineStr">
        <x:is>
          <x:t>CA-PROP64-CA-L01-20261013</x:t>
        </x:is>
      </x:c>
      <x:c r="B231" t="inlineStr">
        <x:is>
          <x:t>P02-05</x:t>
        </x:is>
      </x:c>
      <x:c r="C231" t="inlineStr">
        <x:is>
          <x:t>CA</x:t>
        </x:is>
      </x:c>
      <x:c r="D231" t="inlineStr">
        <x:is>
          <x:t>Both existing Prop64 routes</x:t>
        </x:is>
      </x:c>
      <x:c r="E231" t="inlineStr">
        <x:is>
          <x:t>Historical concentrate/subsection interpretation</x:t>
        </x:is>
      </x:c>
      <x:c r="F231" t="inlineStr">
        <x:is>
          <x:t>Shared</x:t>
        </x:is>
      </x:c>
      <x:c r="G231" t="inlineStr">
        <x:is>
          <x:t>BOTH</x:t>
        </x:is>
      </x:c>
      <x:c r="H231" t="inlineStr">
        <x:is>
          <x:t>Current candidate and existing review report</x:t>
        </x:is>
      </x:c>
      <x:c r="I231" t="inlineStr">
        <x:is>
          <x:t>NOT RUN</x:t>
        </x:is>
      </x:c>
      <x:c r="J231" t="inlineStr">
        <x:is>
          <x:t>Qualified decision plus dependent engineering/output/journey acceptance remains active</x:t>
        </x:is>
      </x:c>
      <x:c r="K231" t="inlineStr">
        <x:is>
          <x:t>docs/rcap/grade-a/handoffs/NATIONWIDE_BLOCKER_RESOLUTION_INPUTS_2026-10-12.md</x:t>
        </x:is>
      </x:c>
      <x:c r="L231" t="inlineStr">
        <x:is>
          <x:t>Codex engineering; qualified CA reviewer and independent QA</x:t>
        </x:is>
      </x:c>
      <x:c r="M231" t="inlineStr">
        <x:is>
          <x:t>GA-19 / GA-21 / GA-49</x:t>
        </x:is>
      </x:c>
      <x:c r="N231" t="inlineStr">
        <x:is>
          <x:t>Precise review matrix; no final disposition or fabricated approval.</x:t>
        </x:is>
      </x:c>
    </x:row>
    <x:row r="232">
      <x:c r="A232" t="inlineStr">
        <x:is>
          <x:t>CA-PROP64-CA-L02-20261013</x:t>
        </x:is>
      </x:c>
      <x:c r="B232" t="inlineStr">
        <x:is>
          <x:t>P02-05</x:t>
        </x:is>
      </x:c>
      <x:c r="C232" t="inlineStr">
        <x:is>
          <x:t>CA</x:t>
        </x:is>
      </x:c>
      <x:c r="D232" t="inlineStr">
        <x:is>
          <x:t>Both existing Prop64 routes</x:t>
        </x:is>
      </x:c>
      <x:c r="E232" t="inlineStr">
        <x:is>
          <x:t>11360 conduct and exception interaction</x:t>
        </x:is>
      </x:c>
      <x:c r="F232" t="inlineStr">
        <x:is>
          <x:t>Shared</x:t>
        </x:is>
      </x:c>
      <x:c r="G232" t="inlineStr">
        <x:is>
          <x:t>BOTH</x:t>
        </x:is>
      </x:c>
      <x:c r="H232" t="inlineStr">
        <x:is>
          <x:t>Current candidate and existing review report</x:t>
        </x:is>
      </x:c>
      <x:c r="I232" t="inlineStr">
        <x:is>
          <x:t>NOT RUN</x:t>
        </x:is>
      </x:c>
      <x:c r="J232" t="inlineStr">
        <x:is>
          <x:t>Qualified decision plus dependent engineering/output/journey acceptance remains active</x:t>
        </x:is>
      </x:c>
      <x:c r="K232" t="inlineStr">
        <x:is>
          <x:t>docs/rcap/grade-a/handoffs/NATIONWIDE_BLOCKER_RESOLUTION_INPUTS_2026-10-12.md</x:t>
        </x:is>
      </x:c>
      <x:c r="L232" t="inlineStr">
        <x:is>
          <x:t>Codex engineering; qualified CA reviewer and independent QA</x:t>
        </x:is>
      </x:c>
      <x:c r="M232" t="inlineStr">
        <x:is>
          <x:t>GA-19 / GA-21 / GA-49</x:t>
        </x:is>
      </x:c>
      <x:c r="N232" t="inlineStr">
        <x:is>
          <x:t>Precise review matrix; no final disposition or fabricated approval.</x:t>
        </x:is>
      </x:c>
    </x:row>
    <x:row r="233">
      <x:c r="A233" t="inlineStr">
        <x:is>
          <x:t>CA-PROP64-CA-L03-20261013</x:t>
        </x:is>
      </x:c>
      <x:c r="B233" t="inlineStr">
        <x:is>
          <x:t>P02-05</x:t>
        </x:is>
      </x:c>
      <x:c r="C233" t="inlineStr">
        <x:is>
          <x:t>CA</x:t>
        </x:is>
      </x:c>
      <x:c r="D233" t="inlineStr">
        <x:is>
          <x:t>Both existing Prop64 routes</x:t>
        </x:is>
      </x:c>
      <x:c r="E233" t="inlineStr">
        <x:is>
          <x:t>Additional benefit after existing relief</x:t>
        </x:is>
      </x:c>
      <x:c r="F233" t="inlineStr">
        <x:is>
          <x:t>Shared</x:t>
        </x:is>
      </x:c>
      <x:c r="G233" t="inlineStr">
        <x:is>
          <x:t>BOTH</x:t>
        </x:is>
      </x:c>
      <x:c r="H233" t="inlineStr">
        <x:is>
          <x:t>Current candidate and existing review report</x:t>
        </x:is>
      </x:c>
      <x:c r="I233" t="inlineStr">
        <x:is>
          <x:t>NOT RUN</x:t>
        </x:is>
      </x:c>
      <x:c r="J233" t="inlineStr">
        <x:is>
          <x:t>Qualified decision plus dependent engineering/output/journey acceptance remains active</x:t>
        </x:is>
      </x:c>
      <x:c r="K233" t="inlineStr">
        <x:is>
          <x:t>docs/rcap/grade-a/handoffs/NATIONWIDE_BLOCKER_RESOLUTION_INPUTS_2026-10-12.md</x:t>
        </x:is>
      </x:c>
      <x:c r="L233" t="inlineStr">
        <x:is>
          <x:t>Codex engineering; qualified CA reviewer and independent QA</x:t>
        </x:is>
      </x:c>
      <x:c r="M233" t="inlineStr">
        <x:is>
          <x:t>GA-19 / GA-21 / GA-49</x:t>
        </x:is>
      </x:c>
      <x:c r="N233" t="inlineStr">
        <x:is>
          <x:t>Precise review matrix; no final disposition or fabricated approval.</x:t>
        </x:is>
      </x:c>
    </x:row>
    <x:row r="234">
      <x:c r="A234" t="inlineStr">
        <x:is>
          <x:t>CA-PROP64-CA-L04-20261013</x:t>
        </x:is>
      </x:c>
      <x:c r="B234" t="inlineStr">
        <x:is>
          <x:t>P02-05</x:t>
        </x:is>
      </x:c>
      <x:c r="C234" t="inlineStr">
        <x:is>
          <x:t>CA</x:t>
        </x:is>
      </x:c>
      <x:c r="D234" t="inlineStr">
        <x:is>
          <x:t>Both existing Prop64 routes</x:t>
        </x:is>
      </x:c>
      <x:c r="E234" t="inlineStr">
        <x:is>
          <x:t>Juvenile procedure/forms</x:t>
        </x:is>
      </x:c>
      <x:c r="F234" t="inlineStr">
        <x:is>
          <x:t>Shared</x:t>
        </x:is>
      </x:c>
      <x:c r="G234" t="inlineStr">
        <x:is>
          <x:t>BOTH</x:t>
        </x:is>
      </x:c>
      <x:c r="H234" t="inlineStr">
        <x:is>
          <x:t>Current candidate and existing review report</x:t>
        </x:is>
      </x:c>
      <x:c r="I234" t="inlineStr">
        <x:is>
          <x:t>NOT RUN</x:t>
        </x:is>
      </x:c>
      <x:c r="J234" t="inlineStr">
        <x:is>
          <x:t>Qualified decision plus dependent engineering/output/journey acceptance remains active</x:t>
        </x:is>
      </x:c>
      <x:c r="K234" t="inlineStr">
        <x:is>
          <x:t>docs/rcap/grade-a/handoffs/NATIONWIDE_BLOCKER_RESOLUTION_INPUTS_2026-10-12.md</x:t>
        </x:is>
      </x:c>
      <x:c r="L234" t="inlineStr">
        <x:is>
          <x:t>Codex engineering; qualified CA reviewer and independent QA</x:t>
        </x:is>
      </x:c>
      <x:c r="M234" t="inlineStr">
        <x:is>
          <x:t>GA-19 / GA-21 / GA-49</x:t>
        </x:is>
      </x:c>
      <x:c r="N234" t="inlineStr">
        <x:is>
          <x:t>Precise review matrix; no final disposition or fabricated approval.</x:t>
        </x:is>
      </x:c>
    </x:row>
    <x:row r="235">
      <x:c r="A235" t="inlineStr">
        <x:is>
          <x:t>CA-PROP64-CA-L05-20261013</x:t>
        </x:is>
      </x:c>
      <x:c r="B235" t="inlineStr">
        <x:is>
          <x:t>P02-05</x:t>
        </x:is>
      </x:c>
      <x:c r="C235" t="inlineStr">
        <x:is>
          <x:t>CA</x:t>
        </x:is>
      </x:c>
      <x:c r="D235" t="inlineStr">
        <x:is>
          <x:t>Both existing Prop64 routes</x:t>
        </x:is>
      </x:c>
      <x:c r="E235" t="inlineStr">
        <x:is>
          <x:t>Distinct restricted conduct and medical predicates</x:t>
        </x:is>
      </x:c>
      <x:c r="F235" t="inlineStr">
        <x:is>
          <x:t>Shared</x:t>
        </x:is>
      </x:c>
      <x:c r="G235" t="inlineStr">
        <x:is>
          <x:t>BOTH</x:t>
        </x:is>
      </x:c>
      <x:c r="H235" t="inlineStr">
        <x:is>
          <x:t>Current candidate and existing review report</x:t>
        </x:is>
      </x:c>
      <x:c r="I235" t="inlineStr">
        <x:is>
          <x:t>NOT RUN</x:t>
        </x:is>
      </x:c>
      <x:c r="J235" t="inlineStr">
        <x:is>
          <x:t>Qualified decision plus dependent engineering/output/journey acceptance remains active</x:t>
        </x:is>
      </x:c>
      <x:c r="K235" t="inlineStr">
        <x:is>
          <x:t>docs/rcap/grade-a/handoffs/NATIONWIDE_BLOCKER_RESOLUTION_INPUTS_2026-10-12.md</x:t>
        </x:is>
      </x:c>
      <x:c r="L235" t="inlineStr">
        <x:is>
          <x:t>Codex engineering; qualified CA reviewer and independent QA</x:t>
        </x:is>
      </x:c>
      <x:c r="M235" t="inlineStr">
        <x:is>
          <x:t>GA-19 / GA-21 / GA-49</x:t>
        </x:is>
      </x:c>
      <x:c r="N235" t="inlineStr">
        <x:is>
          <x:t>Precise review matrix; no final disposition or fabricated approval.</x:t>
        </x:is>
      </x:c>
    </x:row>
    <x:row r="236">
      <x:c r="A236" t="inlineStr">
        <x:is>
          <x:t>CA-PROP64-CA-L06-20261013</x:t>
        </x:is>
      </x:c>
      <x:c r="B236" t="inlineStr">
        <x:is>
          <x:t>P02-05</x:t>
        </x:is>
      </x:c>
      <x:c r="C236" t="inlineStr">
        <x:is>
          <x:t>CA</x:t>
        </x:is>
      </x:c>
      <x:c r="D236" t="inlineStr">
        <x:is>
          <x:t>Both existing Prop64 routes</x:t>
        </x:is>
      </x:c>
      <x:c r="E236" t="inlineStr">
        <x:is>
          <x:t>Sentence/appeal and actor-owned procedure</x:t>
        </x:is>
      </x:c>
      <x:c r="F236" t="inlineStr">
        <x:is>
          <x:t>Shared</x:t>
        </x:is>
      </x:c>
      <x:c r="G236" t="inlineStr">
        <x:is>
          <x:t>BOTH</x:t>
        </x:is>
      </x:c>
      <x:c r="H236" t="inlineStr">
        <x:is>
          <x:t>Current candidate and existing review report</x:t>
        </x:is>
      </x:c>
      <x:c r="I236" t="inlineStr">
        <x:is>
          <x:t>NOT RUN</x:t>
        </x:is>
      </x:c>
      <x:c r="J236" t="inlineStr">
        <x:is>
          <x:t>Qualified decision plus dependent engineering/output/journey acceptance remains active</x:t>
        </x:is>
      </x:c>
      <x:c r="K236" t="inlineStr">
        <x:is>
          <x:t>docs/rcap/grade-a/handoffs/NATIONWIDE_BLOCKER_RESOLUTION_INPUTS_2026-10-12.md</x:t>
        </x:is>
      </x:c>
      <x:c r="L236" t="inlineStr">
        <x:is>
          <x:t>Codex engineering; qualified CA reviewer and independent QA</x:t>
        </x:is>
      </x:c>
      <x:c r="M236" t="inlineStr">
        <x:is>
          <x:t>GA-19 / GA-21 / GA-49</x:t>
        </x:is>
      </x:c>
      <x:c r="N236" t="inlineStr">
        <x:is>
          <x:t>Precise review matrix; no final disposition or fabricated approval.</x:t>
        </x:is>
      </x:c>
    </x:row>
    <x:row r="237">
      <x:c r="A237" t="str">
        <x:v>CA-PROP64-SERVICE-ACTOR-20261013</x:v>
      </x:c>
      <x:c r="B237" t="str">
        <x:v>P04-10</x:v>
      </x:c>
      <x:c r="C237" t="str">
        <x:v>CA</x:v>
      </x:c>
      <x:c r="D237" t="str">
        <x:v>Both existing Prop64 adult routes</x:v>
      </x:c>
      <x:c r="E237" t="str">
        <x:v>CR401 actual nonparty server versus preparer/court</x:v>
      </x:c>
      <x:c r="F237" t="str">
        <x:v>Internal</x:v>
      </x:c>
      <x:c r="G237" t="str">
        <x:v>EN</x:v>
      </x:c>
      <x:c r="H237" t="str">
        <x:v>Current PR268 form-ownership candidate</x:v>
      </x:c>
      <x:c r="I237" t="str">
        <x:v>IN PROGRESS</x:v>
      </x:c>
      <x:c r="J237" t="str">
        <x:v>Source-bound consumer and independent mutations pass. Actual service/signature, legal/language and delivered-journey approval remain pending.</x:v>
      </x:c>
      <x:c r="K237" t="str">
        <x:v>ca-prop64-facts-20261012 / ca-prop64-consumer-independent-20261013</x:v>
      </x:c>
      <x:c r="L237" t="str">
        <x:v>Codex execution; independent agent engineering review</x:v>
      </x:c>
      <x:c r="M237" t="str">
        <x:v>GA-14 / GA-19 / GA-49</x:v>
      </x:c>
      <x:c r="N237" t="str">
        <x:v>Existing official PDF bytes and raster approvals unchanged; no commercial authority.</x:v>
      </x:c>
    </x:row>
    <x:row r="238">
      <x:c r="A238" t="str">
        <x:v>CA-PROP64-GUIDE-ACTORS-20261013</x:v>
      </x:c>
      <x:c r="B238" t="str">
        <x:v>P05-05</x:v>
      </x:c>
      <x:c r="C238" t="str">
        <x:v>CA</x:v>
      </x:c>
      <x:c r="D238" t="str">
        <x:v>ca-prop64-set CR400/401/403</x:v>
      </x:c>
      <x:c r="E238" t="str">
        <x:v>Caption, optional waivers, actual signing and later service</x:v>
      </x:c>
      <x:c r="F238" t="str">
        <x:v>Internal</x:v>
      </x:c>
      <x:c r="G238" t="str">
        <x:v>EN</x:v>
      </x:c>
      <x:c r="H238" t="str">
        <x:v>Current PR268 form-ownership candidate</x:v>
      </x:c>
      <x:c r="I238" t="str">
        <x:v>IN PROGRESS</x:v>
      </x:c>
      <x:c r="J238" t="str">
        <x:v>Guide now names actual actors and conditional tasks; optional waivers not required; manual signatures retained. Qualified and participant-language review pending.</x:v>
      </x:c>
      <x:c r="K238" t="str">
        <x:v>ca-prop64-facts-20261012 / ca-prop64-consumer-independent-20261013</x:v>
      </x:c>
      <x:c r="L238" t="str">
        <x:v>Codex execution; qualified CA and language reviewers pending</x:v>
      </x:c>
      <x:c r="M238" t="str">
        <x:v>GA-15 / GA-21 / GA-49</x:v>
      </x:c>
      <x:c r="N238" t="str">
        <x:v>Review metadata only; existing approvals do not approve revised text.</x:v>
      </x:c>
    </x:row>
    <x:row r="239">
      <x:c r="A239" t="str">
        <x:v>CA-PROP64-REMAINING-BINDINGS-20261013</x:v>
      </x:c>
      <x:c r="B239" t="str">
        <x:v>P04-05</x:v>
      </x:c>
      <x:c r="C239" t="str">
        <x:v>CA</x:v>
      </x:c>
      <x:c r="D239" t="str">
        <x:v>ca-prop64-set plus supported juvenile procedure</x:v>
      </x:c>
      <x:c r="E239" t="str">
        <x:v>Known caption/contact/record-section reuse and juvenile binding</x:v>
      </x:c>
      <x:c r="F239" t="str">
        <x:v>Internal</x:v>
      </x:c>
      <x:c r="G239" t="str">
        <x:v>BOTH</x:v>
      </x:c>
      <x:c r="H239" t="str">
        <x:v>Current PR268 form-ownership candidate</x:v>
      </x:c>
      <x:c r="I239" t="str">
        <x:v>FAIL</x:v>
      </x:c>
      <x:c r="J239" t="str">
        <x:v>Actual prepared-input completeness still fails missing required facts and unclassified fields. Bind remaining known facts and source-supported juvenile components, independently verify outputs and journeys.</x:v>
      </x:c>
      <x:c r="K239" t="str">
        <x:v>ca-prop64-facts-20261012 / ca-prop64-consumer-independent-20261013</x:v>
      </x:c>
      <x:c r="L239" t="str">
        <x:v>Codex engineering; independent QA; qualified CA reviewer</x:v>
      </x:c>
      <x:c r="M239" t="str">
        <x:v>GA-14 / GA-15 / GA-19 / GA-21 / GA-43 / GA-49</x:v>
      </x:c>
      <x:c r="N239" t="str">
        <x:v>This checkpoint is not California completion; remaining work stays actively owned.</x:v>
      </x:c>
    </x:row>
    <x:row r="240">
      <x:c r="A240" t="inlineStr">
        <x:is>
          <x:t>CA-PROP64-CAPTION-CANDIDATE-20261013</x:t>
        </x:is>
      </x:c>
      <x:c r="B240" t="inlineStr">
        <x:is>
          <x:t>P04-05</x:t>
        </x:is>
      </x:c>
      <x:c r="C240" t="inlineStr">
        <x:is>
          <x:t>CA</x:t>
        </x:is>
      </x:c>
      <x:c r="D240" t="inlineStr">
        <x:is>
          <x:t>Both existing Prop64 adult routes</x:t>
        </x:is>
      </x:c>
      <x:c r="E240" t="inlineStr">
        <x:is>
          <x:t>Self-represented / attorney / long values / conflicting section</x:t>
        </x:is>
      </x:c>
      <x:c r="F240" t="inlineStr">
        <x:is>
          <x:t>Internal</x:t>
        </x:is>
      </x:c>
      <x:c r="G240" t="inlineStr">
        <x:is>
          <x:t>EN</x:t>
        </x:is>
      </x:c>
      <x:c r="H240" t="inlineStr">
        <x:is>
          <x:t>PR268 caption review candidate after401bcf529</x:t>
        </x:is>
      </x:c>
      <x:c r="I240" t="inlineStr">
        <x:is>
          <x:t>IN PROGRESS</x:t>
        </x:is>
      </x:c>
      <x:c r="J240" t="inlineStr">
        <x:is>
          <x:t>9PDF/12pages:32/32/44 caption writes; no known mapped fact omitted;157root+785independent checks. Actual protected collection, missing facts and qualified approvals remain open.</x:t>
        </x:is>
      </x:c>
      <x:c r="K240" t="inlineStr">
        <x:is>
          <x:t>ca-prop64-facts-20261012/CAPTION-REVIEW-CHECKPOINT-v1.json</x:t>
        </x:is>
      </x:c>
      <x:c r="L240" t="inlineStr">
        <x:is>
          <x:t>Codex execution; independent engineering/visual review; professional QA pending</x:t>
        </x:is>
      </x:c>
      <x:c r="M240" t="inlineStr">
        <x:is>
          <x:t>GA-14 / GA-15 / GA-16 / GA-19 / GA-43 / GA-49</x:t>
        </x:is>
      </x:c>
      <x:c r="N240" t="inlineStr">
        <x:is>
          <x:t>All44 existing artifacts unchanged. Review candidate does not close original production completeness or California.</x:t>
        </x:is>
      </x:c>
    </x:row>
    <x:row r="241">
      <x:c r="A241" t="inlineStr">
        <x:is>
          <x:t>NY-16059-SOURCE-GUIDANCE-20261013</x:t>
        </x:is>
      </x:c>
      <x:c r="B241" t="inlineStr">
        <x:is>
          <x:t>P04-05</x:t>
        </x:is>
      </x:c>
      <x:c r="C241" t="inlineStr">
        <x:is>
          <x:t>NY</x:t>
        </x:is>
      </x:c>
      <x:c r="D241" t="inlineStr">
        <x:is>
          <x:t>NY:discretionary-conviction-sealing-by-petition-under-cpl-160-59</x:t>
        </x:is>
      </x:c>
      <x:c r="E241" t="inlineStr">
        <x:is>
          <x:t>Current/held execution; 66 conditional flags; actual requester/server</x:t>
        </x:is>
      </x:c>
      <x:c r="F241" t="inlineStr">
        <x:is>
          <x:t>Internal</x:t>
        </x:is>
      </x:c>
      <x:c r="G241" t="inlineStr">
        <x:is>
          <x:t>EN</x:t>
        </x:is>
      </x:c>
      <x:c r="H241" t="inlineStr">
        <x:is>
          <x:t>PR268 guidance candidate after27a0b200a</x:t>
        </x:is>
      </x:c>
      <x:c r="I241" t="inlineStr">
        <x:is>
          <x:t>IN PROGRESS</x:t>
        </x:is>
      </x:c>
      <x:c r="J241" t="inlineStr">
        <x:is>
          <x:t>194 root + 183 independent checks. 60 non-guide artifacts and 11 neighboring producer outputs unchanged. Typed consumer/current binary/protected delivery/qualified acceptance remain open.</x:t>
        </x:is>
      </x:c>
      <x:c r="K241" t="inlineStr">
        <x:is>
          <x:t>ny-residual-20261012/GUIDANCE-CHECKPOINT-v1.json</x:t>
        </x:is>
      </x:c>
      <x:c r="L241" t="inlineStr">
        <x:is>
          <x:t>Codex engineering; independent source review; qualified NY/QA pending</x:t>
        </x:is>
      </x:c>
      <x:c r="M241" t="inlineStr">
        <x:is>
          <x:t>GA-14 / GA-15 / GA-16 / GA-17 / GA-19 / GA-43 / GA-49</x:t>
        </x:is>
      </x:c>
      <x:c r="N241" t="inlineStr">
        <x:is>
          <x:t>No PDF/approval replacement; no state/finding closure. All 28 expectations retain unexecuted runtime portions.</x:t>
        </x:is>
      </x:c>
    </x:row>
    <x:row r="242">
      <x:c r="A242" t="inlineStr">
        <x:is>
          <x:t>KS-DISTRICT-FACTS-20261013</x:t>
        </x:is>
      </x:c>
      <x:c r="B242" t="inlineStr">
        <x:is>
          <x:t>P03-09</x:t>
        </x:is>
      </x:c>
      <x:c r="C242" t="inlineStr">
        <x:is>
          <x:t>KS</x:t>
        </x:is>
      </x:c>
      <x:c r="D242" t="inlineStr">
        <x:is>
          <x:t>Existing six candidate paths; district/municipal scope</x:t>
        </x:is>
      </x:c>
      <x:c r="E242" t="inlineStr">
        <x:is>
          <x:t>Actual election, diversion/specialty/coercion/registration facts</x:t>
        </x:is>
      </x:c>
      <x:c r="F242" t="inlineStr">
        <x:is>
          <x:t>Public</x:t>
        </x:is>
      </x:c>
      <x:c r="G242" t="inlineStr">
        <x:is>
          <x:t>BOTH</x:t>
        </x:is>
      </x:c>
      <x:c r="H242" t="inlineStr">
        <x:is>
          <x:t>PR268 after bcb1e69f0</x:t>
        </x:is>
      </x:c>
      <x:c r="I242" t="inlineStr">
        <x:is>
          <x:t>IN PROGRESS</x:t>
        </x:is>
      </x:c>
      <x:c r="J242" t="inlineStr">
        <x:is>
          <x:t>1671 root and3386 independent checks; two actual anonymous browser flows. Statutory predicates, protected delivery and qualified acceptance remain open.</x:t>
        </x:is>
      </x:c>
      <x:c r="K242" t="inlineStr">
        <x:is>
          <x:t>ks-district-facts-20261013/CHECKPOINT-v1.json</x:t>
        </x:is>
      </x:c>
      <x:c r="L242" t="inlineStr">
        <x:is>
          <x:t>Codex engineering; independent source/QA; qualified KS reviewer</x:t>
        </x:is>
      </x:c>
      <x:c r="M242" t="inlineStr">
        <x:is>
          <x:t>GA-10 / GA-12 / GA-17 / GA-21 / GA-43</x:t>
        </x:is>
      </x:c>
      <x:c r="N242" t="inlineStr">
        <x:is>
          <x:t>All28 source obligations retained; held results are not final supported-route dispositions.</x:t>
        </x:is>
      </x:c>
    </x:row>
    <x:row r="243">
      <x:c r="A243" t="inlineStr">
        <x:is>
          <x:t>FINANCIAL-UNKNOWN-RECOVERY-20261013</x:t>
        </x:is>
      </x:c>
      <x:c r="B243" t="inlineStr">
        <x:is>
          <x:t>P04-05</x:t>
        </x:is>
      </x:c>
      <x:c r="C243" t="inlineStr">
        <x:is>
          <x:t>MS / shared exact contracts</x:t>
        </x:is>
      </x:c>
      <x:c r="D243" t="inlineStr">
        <x:is>
          <x:t>Existing financial carry and independent-paid contracts</x:t>
        </x:is>
      </x:c>
      <x:c r="E243" t="inlineStr">
        <x:is>
          <x:t>Raw incompatible value, old positive result, explicit correction</x:t>
        </x:is>
      </x:c>
      <x:c r="F243" t="inlineStr">
        <x:is>
          <x:t>Internal</x:t>
        </x:is>
      </x:c>
      <x:c r="G243" t="inlineStr">
        <x:is>
          <x:t>BOTH</x:t>
        </x:is>
      </x:c>
      <x:c r="H243" t="inlineStr">
        <x:is>
          <x:t>PR268 after bcb1e69f0</x:t>
        </x:is>
      </x:c>
      <x:c r="I243" t="inlineStr">
        <x:is>
          <x:t>IN PROGRESS</x:t>
        </x:is>
      </x:c>
      <x:c r="J243" t="inlineStr">
        <x:is>
          <x:t>139 exact paid facts visible; genuine old malformed-payment defect corrected. Actual local EN21/ES22 owner browser/API/DB checks; raw history and cleanup proved.</x:t>
        </x:is>
      </x:c>
      <x:c r="K243" t="inlineStr">
        <x:is>
          <x:t>ks-district-facts-20261013/CHECKPOINT-v1.json</x:t>
        </x:is>
      </x:c>
      <x:c r="L243" t="inlineStr">
        <x:is>
          <x:t>Codex engineering; independent review; professional QA pending</x:t>
        </x:is>
      </x:c>
      <x:c r="M243" t="inlineStr">
        <x:is>
          <x:t>GA-10 / GA-43</x:t>
        </x:is>
      </x:c>
      <x:c r="N243" t="inlineStr">
        <x:is>
          <x:t>Non-plan correction residual outside carry contracts stays actively owned; no payment or release acceptance.</x:t>
        </x:is>
      </x:c>
    </x:row>
    <x:row r="244">
      <x:c r="A244" t="inlineStr">
        <x:is>
          <x:t>FINANCIAL-NOPLAN-CORRECTION-20261013</x:t>
        </x:is>
      </x:c>
      <x:c r="B244" t="inlineStr">
        <x:is>
          <x:t>P04-05</x:t>
        </x:is>
      </x:c>
      <x:c r="C244" t="inlineStr">
        <x:is>
          <x:t>LA/MO/NC/NE/VT/WV + shared status controls</x:t>
        </x:is>
      </x:c>
      <x:c r="D244" t="inlineStr">
        <x:is>
          <x:t>13 existing positive witnesses; exact139 paid contracts</x:t>
        </x:is>
      </x:c>
      <x:c r="E244" t="inlineStr">
        <x:is>
          <x:t>Held no-plan correction, raw preservation, visible questions, autosave</x:t>
        </x:is>
      </x:c>
      <x:c r="F244" t="inlineStr">
        <x:is>
          <x:t>Internal</x:t>
        </x:is>
      </x:c>
      <x:c r="G244" t="inlineStr">
        <x:is>
          <x:t>BOTH</x:t>
        </x:is>
      </x:c>
      <x:c r="H244" t="inlineStr">
        <x:is>
          <x:t>PR268 after01d6888a9</x:t>
        </x:is>
      </x:c>
      <x:c r="I244" t="inlineStr">
        <x:is>
          <x:t>IN PROGRESS</x:t>
        </x:is>
      </x:c>
      <x:c r="J244" t="inlineStr">
        <x:is>
          <x:t>1359 focused checks; local EN34/ES35 protected owner checks; four EN/ES screening flows; actual RCAP admission/autosave16 checks. No authority invented.</x:t>
        </x:is>
      </x:c>
      <x:c r="K244" t="inlineStr">
        <x:is>
          <x:t>ks-district-facts-20261013/NONPLAN-CHECKPOINT-v1.json</x:t>
        </x:is>
      </x:c>
      <x:c r="L244" t="inlineStr">
        <x:is>
          <x:t>Codex engineering; independent engineering review; qualified QA/language pending</x:t>
        </x:is>
      </x:c>
      <x:c r="M244" t="inlineStr">
        <x:is>
          <x:t>GA-10 / GA-43</x:t>
        </x:is>
      </x:c>
      <x:c r="N244" t="inlineStr">
        <x:is>
          <x:t>Historical malformed null-route records, DE profile schema and residual EN/ES labels remain actively owned; no finding or state closure.</x:t>
        </x:is>
      </x:c>
    </x:row>
    <x:row r="245">
      <x:c r="A245" t="inlineStr">
        <x:is>
          <x:t>DE-PUBLIC-DATE-SCHEMA-20261013</x:t>
        </x:is>
      </x:c>
      <x:c r="B245" t="inlineStr">
        <x:is>
          <x:t>P03-09</x:t>
        </x:is>
      </x:c>
      <x:c r="C245" t="inlineStr">
        <x:is>
          <x:t>DE</x:t>
        </x:is>
      </x:c>
      <x:c r="D245" t="inlineStr">
        <x:is>
          <x:t>Existing adult-conviction screening</x:t>
        </x:is>
      </x:c>
      <x:c r="E245" t="inlineStr">
        <x:is>
          <x:t>Four conditional date controls; known/unknown values</x:t>
        </x:is>
      </x:c>
      <x:c r="F245" t="inlineStr">
        <x:is>
          <x:t>Public</x:t>
        </x:is>
      </x:c>
      <x:c r="G245" t="inlineStr">
        <x:is>
          <x:t>BOTH</x:t>
        </x:is>
      </x:c>
      <x:c r="H245" t="inlineStr">
        <x:is>
          <x:t>PR268 after46116aa19</x:t>
        </x:is>
      </x:c>
      <x:c r="I245" t="inlineStr">
        <x:is>
          <x:t>IN PROGRESS</x:t>
        </x:is>
      </x:c>
      <x:c r="J245" t="inlineStr">
        <x:is>
          <x:t>Actual HTTP profile and strict frontend schema now load;30 root checks,16 real browser input cases, existing2687 predicate checks preserved.</x:t>
        </x:is>
      </x:c>
      <x:c r="K245" t="inlineStr">
        <x:is>
          <x:t>de-timing-exclusions-20261012/PROFILE-DATES-CHECKPOINT-v1.json</x:t>
        </x:is>
      </x:c>
      <x:c r="L245" t="inlineStr">
        <x:is>
          <x:t>Codex engineering; independent source/runtime review; qualified acceptance pending</x:t>
        </x:is>
      </x:c>
      <x:c r="M245" t="inlineStr">
        <x:is>
          <x:t>GA-20 / GA-43</x:t>
        </x:is>
      </x:c>
      <x:c r="N245" t="inlineStr">
        <x:is>
          <x:t>Four options:null descriptor additions only. Remaining97 downstream appearances and source/documents/journeys remain owned.</x:t>
        </x:is>
      </x:c>
    </x:row>
    <x:row r="246">
      <x:c r="A246" t="inlineStr">
        <x:is>
          <x:t>IL-GA-FACTUAL-EXCLUSION-RECOVERY-20261013</x:t>
        </x:is>
      </x:c>
      <x:c r="B246" t="inlineStr">
        <x:is>
          <x:t>P03-09</x:t>
        </x:is>
      </x:c>
      <x:c r="C246" t="inlineStr">
        <x:is>
          <x:t>IL / GA</x:t>
        </x:is>
      </x:c>
      <x:c r="D246" t="inlineStr">
        <x:is>
          <x:t>Cannabis and original First Offender exclusions</x:t>
        </x:is>
      </x:c>
      <x:c r="E246" t="inlineStr">
        <x:is>
          <x:t>Exact negative facts; historical protected ownership and explicit correction</x:t>
        </x:is>
      </x:c>
      <x:c r="F246" t="inlineStr">
        <x:is>
          <x:t>Public / owner Briefcase</x:t>
        </x:is>
      </x:c>
      <x:c r="G246" t="inlineStr">
        <x:is>
          <x:t>BOTH</x:t>
        </x:is>
      </x:c>
      <x:c r="H246" t="inlineStr">
        <x:is>
          <x:t>PR268 afterbd4f9715b</x:t>
        </x:is>
      </x:c>
      <x:c r="I246" t="inlineStr">
        <x:is>
          <x:t>IN PROGRESS</x:t>
        </x:is>
      </x:c>
      <x:c r="J246" t="inlineStr">
        <x:is>
          <x:t>Contradicted optional hints no longer select excluded procedures. Genuine old held rows remain readable without current packet authority; explicit owner corrections and conditional continuation pass local browser/DB/CAS.</x:t>
        </x:is>
      </x:c>
      <x:c r="K246" t="inlineStr">
        <x:is>
          <x:t>ga21-independent-residual-20261013/IL-GA-CHECKPOINT-v1.json</x:t>
        </x:is>
      </x:c>
      <x:c r="L246" t="inlineStr">
        <x:is>
          <x:t>Codex engineering; independent evidence review; qualified acceptance pending</x:t>
        </x:is>
      </x:c>
      <x:c r="M246" t="inlineStr">
        <x:is>
          <x:t>GA-21 / GA-43</x:t>
        </x:is>
      </x:c>
      <x:c r="N246" t="inlineStr">
        <x:is>
          <x:t>Truthful alternative requests, empty-hint conviction/nonconviction fallback, MS date reachability and all original16 findings remain actively owned; no route/financial/release approval.</x:t>
        </x:is>
      </x:c>
    </x:row>
    <x:row r="247">
      <x:c r="A247" t="inlineStr">
        <x:is>
          <x:t>MS-EXACT-TIMING-RECOVERY-20261013</x:t>
        </x:is>
      </x:c>
      <x:c r="B247" t="inlineStr">
        <x:is>
          <x:t>P03-09</x:t>
        </x:is>
      </x:c>
      <x:c r="C247" t="inlineStr">
        <x:is>
          <x:t>MS</x:t>
        </x:is>
      </x:c>
      <x:c r="D247" t="inlineStr">
        <x:is>
          <x:t>Six existing timing facts and calendar recovery</x:t>
        </x:is>
      </x:c>
      <x:c r="E247" t="inlineStr">
        <x:is>
          <x:t>Source-required controls; exact dates; saved and verified record correction</x:t>
        </x:is>
      </x:c>
      <x:c r="F247" t="inlineStr">
        <x:is>
          <x:t>Public / owner Briefcase / RCAP draft</x:t>
        </x:is>
      </x:c>
      <x:c r="G247" t="inlineStr">
        <x:is>
          <x:t>BOTH</x:t>
        </x:is>
      </x:c>
      <x:c r="H247" t="inlineStr">
        <x:is>
          <x:t>PR268 after8fcb4f7b</x:t>
        </x:is>
      </x:c>
      <x:c r="I247" t="inlineStr">
        <x:is>
          <x:t>IN PROGRESS</x:t>
        </x:is>
      </x:c>
      <x:c r="J247" t="inlineStr">
        <x:is>
          <x:t>Six existing controls reachable; invalid calendar dates hold; historical unverified and genuinely old-engine verified records readable/correctable with no inherited readiness. Deadline crossing uses isolated historical full-tuple proof.</x:t>
        </x:is>
      </x:c>
      <x:c r="K247" t="inlineStr">
        <x:is>
          <x:t>ms-exact-timing-20261013/MS-TIMING-CHECKPOINT-v1.json</x:t>
        </x:is>
      </x:c>
      <x:c r="L247" t="inlineStr">
        <x:is>
          <x:t>Codex engineering; independent evidence review; qualified acceptance pending</x:t>
        </x:is>
      </x:c>
      <x:c r="M247" t="inlineStr">
        <x:is>
          <x:t>GA-21 / GA-43</x:t>
        </x:is>
      </x:c>
      <x:c r="N247" t="inlineStr">
        <x:is>
          <x:t>Current-primary/language review, real hosted/offered journeys, MS residual routing and all original16 remain actively owned; no financial/release approval.</x:t>
        </x:is>
      </x:c>
    </x:row>
    <x:row r="248">
      <x:c r="A248" t="inlineStr">
        <x:is>
          <x:t>NY-TYPED-COMPLETION-20261013</x:t>
        </x:is>
      </x:c>
      <x:c r="B248" t="inlineStr">
        <x:is>
          <x:t>P03-09</x:t>
        </x:is>
      </x:c>
      <x:c r="C248" t="inlineStr">
        <x:is>
          <x:t>NY</x:t>
        </x:is>
      </x:c>
      <x:c r="D248" t="inlineStr">
        <x:is>
          <x:t>Exact source conditions and completion actors</x:t>
        </x:is>
      </x:c>
      <x:c r="E248" t="inlineStr">
        <x:is>
          <x:t>68 retained form obligations; preserve known facts and all fields</x:t>
        </x:is>
      </x:c>
      <x:c r="F248" t="inlineStr">
        <x:is>
          <x:t>Held CPL160.59 review family</x:t>
        </x:is>
      </x:c>
      <x:c r="G248" t="inlineStr">
        <x:is>
          <x:t>EN source instructions</x:t>
        </x:is>
      </x:c>
      <x:c r="H248" t="inlineStr">
        <x:is>
          <x:t>PR268 afterb7955164c</x:t>
        </x:is>
      </x:c>
      <x:c r="I248" t="inlineStr">
        <x:is>
          <x:t>IN PROGRESS</x:t>
        </x:is>
      </x:c>
      <x:c r="J248" t="inlineStr">
        <x:is>
          <x:t>66 blanket-required rows and two actor errors corrected with typed declarations. Reader rejects absent source, forged proof and untrusted applicability; actual audit retains68 unresolved blanks.</x:t>
        </x:is>
      </x:c>
      <x:c r="K248" t="inlineStr">
        <x:is>
          <x:t>ny-residual-20261012/NY-TYPED-CHECKPOINT-v1.json</x:t>
        </x:is>
      </x:c>
      <x:c r="L248" t="inlineStr">
        <x:is>
          <x:t>Codex engineering; independent review; qualified acceptance pending</x:t>
        </x:is>
      </x:c>
      <x:c r="M248" t="inlineStr">
        <x:is>
          <x:t>GA-49</x:t>
        </x:is>
      </x:c>
      <x:c r="N248" t="inlineStr">
        <x:is>
          <x:t>Original and current source custody, trusted protected facts, positive source-bound tests, current form renderer/delivery and legal/language/QA approvals remain owned.</x:t>
        </x:is>
      </x:c>
    </x:row>
    <x:row r="249">
      <x:c r="A249" t="inlineStr">
        <x:is>
          <x:t>CA-PROTECTED-CAPTION-20261013</x:t>
        </x:is>
      </x:c>
      <x:c r="B249" t="inlineStr">
        <x:is>
          <x:t>P03-09</x:t>
        </x:is>
      </x:c>
      <x:c r="C249" t="inlineStr">
        <x:is>
          <x:t>CA</x:t>
        </x:is>
      </x:c>
      <x:c r="D249" t="inlineStr">
        <x:is>
          <x:t>Protected caption collection and source rendering</x:t>
        </x:is>
      </x:c>
      <x:c r="E249" t="inlineStr">
        <x:is>
          <x:t>Defendant name, exact court case, filing county and actual filer</x:t>
        </x:is>
      </x:c>
      <x:c r="F249" t="inlineStr">
        <x:is>
          <x:t>Ordinary owner ENES / official adult review PDFs</x:t>
        </x:is>
      </x:c>
      <x:c r="G249" t="inlineStr">
        <x:is>
          <x:t>BOTH</x:t>
        </x:is>
      </x:c>
      <x:c r="H249" t="inlineStr">
        <x:is>
          <x:t>PR268 afterf898a765f</x:t>
        </x:is>
      </x:c>
      <x:c r="I249" t="inlineStr">
        <x:is>
          <x:t>IN PROGRESS</x:t>
        </x:is>
      </x:c>
      <x:c r="J249" t="inlineStr">
        <x:is>
          <x:t>Four packet-only facts; strict prior/current source context; actual owner saves bind official source captions. Prior verification is held until required facts are supplied and explicitly reviewed.</x:t>
        </x:is>
      </x:c>
      <x:c r="K249" t="inlineStr">
        <x:is>
          <x:t>ca-prop64-facts-20261012/CAPTION-COLLECTION-CHECKPOINT-v1.json</x:t>
        </x:is>
      </x:c>
      <x:c r="L249" t="inlineStr">
        <x:is>
          <x:t>Codex engineering; independent evidence review; qualified acceptance pending</x:t>
        </x:is>
      </x:c>
      <x:c r="M249" t="inlineStr">
        <x:is>
          <x:t>GA-49 / GA-43</x:t>
        </x:is>
      </x:c>
      <x:c r="N249" t="inlineStr">
        <x:is>
          <x:t>Remaining30contact/address obligations, service/judicial/signature completion, juvenile/current-source/qualified acceptance and authorized fulfillment/delivery remain active.</x:t>
        </x:is>
      </x:c>
    </x:row>
    <x:row r="250">
      <x:c r="A250" t="inlineStr">
        <x:is>
          <x:t>CONVICTION-REQUEST-20261013</x:t>
        </x:is>
      </x:c>
      <x:c r="B250" t="inlineStr">
        <x:is>
          <x:t>P03-09</x:t>
        </x:is>
      </x:c>
      <x:c r="C250" t="inlineStr">
        <x:is>
          <x:t>MS / GA / IL</x:t>
        </x:is>
      </x:c>
      <x:c r="D250" t="inlineStr">
        <x:is>
          <x:t>Actual requested relief and conviction-safe fallback</x:t>
        </x:is>
      </x:c>
      <x:c r="E250" t="inlineStr">
        <x:is>
          <x:t>No optional hint or compiled singleton establishes a nonconviction</x:t>
        </x:is>
      </x:c>
      <x:c r="F250" t="inlineStr">
        <x:is>
          <x:t>Public ENES and authenticated protected correction</x:t>
        </x:is>
      </x:c>
      <x:c r="G250" t="inlineStr">
        <x:is>
          <x:t>BOTH</x:t>
        </x:is>
      </x:c>
      <x:c r="H250" t="inlineStr">
        <x:is>
          <x:t>PR268 after706dfe818</x:t>
        </x:is>
      </x:c>
      <x:c r="I250" t="inlineStr">
        <x:is>
          <x:t>IN PROGRESS</x:t>
        </x:is>
      </x:c>
      <x:c r="J250" t="inlineStr">
        <x:is>
          <x:t>Ten explicit request/fact questions preserve original facts and select only supported candidates; 81 genuine predecessors remain readable and correctable without inherited readiness.</x:t>
        </x:is>
      </x:c>
      <x:c r="K250" t="inlineStr">
        <x:is>
          <x:t>ga21-independent-residual-20261013/FALLBACK-CHECKPOINT-v1.json</x:t>
        </x:is>
      </x:c>
      <x:c r="L250" t="inlineStr">
        <x:is>
          <x:t>Codex engineering; independent review; qualified decision pending</x:t>
        </x:is>
      </x:c>
      <x:c r="M250" t="inlineStr">
        <x:is>
          <x:t>GA-21 / GA-43</x:t>
        </x:is>
      </x:c>
      <x:c r="N250" t="inlineStr">
        <x:is>
          <x:t>Program/mixed/later event predicates, all source eligibility/authority, legal/bilingual acceptance and all 16 findings remain actively owned.</x:t>
        </x:is>
      </x:c>
    </x:row>
    <x:row r="251">
      <x:c r="A251" t="inlineStr">
        <x:is>
          <x:t>NY-PACKET-PREPARATION-20261013</x:t>
        </x:is>
      </x:c>
      <x:c r="B251" t="inlineStr">
        <x:is>
          <x:t>P03-09 / P04</x:t>
        </x:is>
      </x:c>
      <x:c r="C251" t="inlineStr">
        <x:is>
          <x:t>NY</x:t>
        </x:is>
      </x:c>
      <x:c r="D251" t="inlineStr">
        <x:is>
          <x:t>CPL160.59 owned packet facts and current logical components</x:t>
        </x:is>
      </x:c>
      <x:c r="E251" t="inlineStr">
        <x:is>
          <x:t>Exact owner facts do not establish source custody or later acts</x:t>
        </x:is>
      </x:c>
      <x:c r="F251" t="inlineStr">
        <x:is>
          <x:t>Packet Information ENES and authenticated preparation projection</x:t>
        </x:is>
      </x:c>
      <x:c r="G251" t="inlineStr">
        <x:is>
          <x:t>BOTH</x:t>
        </x:is>
      </x:c>
      <x:c r="H251" t="inlineStr">
        <x:is>
          <x:t>PR268 after fafc82a40</x:t>
        </x:is>
      </x:c>
      <x:c r="I251" t="inlineStr">
        <x:is>
          <x:t>IN PROGRESS</x:t>
        </x:is>
      </x:c>
      <x:c r="J251" t="inlineStr">
        <x:is>
          <x:t>Ten packet-only controls preserve actual identifiers, raw maps and semantic history; four narrow conditions derive only from valid owned answers.</x:t>
        </x:is>
      </x:c>
      <x:c r="K251" t="inlineStr">
        <x:is>
          <x:t>ny-residual-20261012/PACKET-PREPARATION-CHECKPOINT-v1.json</x:t>
        </x:is>
      </x:c>
      <x:c r="L251" t="inlineStr">
        <x:is>
          <x:t>Codex engineering; independent review; qualified decisions pending</x:t>
        </x:is>
      </x:c>
      <x:c r="M251" t="inlineStr">
        <x:is>
          <x:t>GA-49 / GA-43</x:t>
        </x:is>
      </x:c>
      <x:c r="N251" t="inlineStr">
        <x:is>
          <x:t>Source bytes, 68-row consumer acceptance, remaining court/case/statement/attachment requirements, qualified reviews and delivery remain active.</x:t>
        </x:is>
      </x:c>
    </x:row>
    <x:row r="252">
      <x:c r="A252" t="inlineStr">
        <x:is>
          <x:t>NY-OWNED-CONSUMER-20261013</x:t>
        </x:is>
      </x:c>
      <x:c r="B252" t="inlineStr">
        <x:is>
          <x:t>P03-09 / P04</x:t>
        </x:is>
      </x:c>
      <x:c r="C252" t="inlineStr">
        <x:is>
          <x:t>NY</x:t>
        </x:is>
      </x:c>
      <x:c r="D252" t="inlineStr">
        <x:is>
          <x:t>Authenticated owner facts in typed completeness consumer</x:t>
        </x:is>
      </x:c>
      <x:c r="E252" t="inlineStr">
        <x:is>
          <x:t>Serialized flags and fixture PDFs confer no owner/source authority</x:t>
        </x:is>
      </x:c>
      <x:c r="F252" t="inlineStr">
        <x:is>
          <x:t>Owned read, ENES, exact68-row diagnostics</x:t>
        </x:is>
      </x:c>
      <x:c r="G252" t="inlineStr">
        <x:is>
          <x:t>BOTH</x:t>
        </x:is>
      </x:c>
      <x:c r="H252" t="inlineStr">
        <x:is>
          <x:t>PR268 after7838f1e91</x:t>
        </x:is>
      </x:c>
      <x:c r="I252" t="inlineStr">
        <x:is>
          <x:t>IN PROGRESS</x:t>
        </x:is>
      </x:c>
      <x:c r="J252" t="inlineStr">
        <x:is>
          <x:t>Private server resolver after existing owner read;17 narrow applicability rows and5 known-value gaps,51 untouched.</x:t>
        </x:is>
      </x:c>
      <x:c r="K252" t="inlineStr">
        <x:is>
          <x:t>ny-residual-20261012/OWNED-CONSUMER-CHECKPOINT-v1.json</x:t>
        </x:is>
      </x:c>
      <x:c r="L252" t="inlineStr">
        <x:is>
          <x:t>Codex engineering; independent review; source/qualified pending</x:t>
        </x:is>
      </x:c>
      <x:c r="M252" t="inlineStr">
        <x:is>
          <x:t>GA-49 / GA-43</x:t>
        </x:is>
      </x:c>
      <x:c r="N252" t="inlineStr">
        <x:is>
          <x:t>Authentic source positive acceptance, actual per-case associations, court/statement/attachments, approvals and protected delivery remain active.</x:t>
        </x:is>
      </x:c>
    </x:row>
    <x:row r="253">
      <x:c r="A253" t="inlineStr">
        <x:is>
          <x:t>NY-CASE-COLLECTION-20261013</x:t>
        </x:is>
      </x:c>
      <x:c r="B253" t="inlineStr">
        <x:is>
          <x:t>P03-09 / P04</x:t>
        </x:is>
      </x:c>
      <x:c r="C253" t="inlineStr">
        <x:is>
          <x:t>NY</x:t>
        </x:is>
      </x:c>
      <x:c r="D253" t="inlineStr">
        <x:is>
          <x:t>Actual per-case records, filing destination and applicant statement</x:t>
        </x:is>
      </x:c>
      <x:c r="E253" t="inlineStr">
        <x:is>
          <x:t>No flattening, automatic grouping, or inherited verification</x:t>
        </x:is>
      </x:c>
      <x:c r="F253" t="inlineStr">
        <x:is>
          <x:t>Old verified recovery, ENES save/review/history/CAS, per-case clock conflicts</x:t>
        </x:is>
      </x:c>
      <x:c r="G253" t="inlineStr">
        <x:is>
          <x:t>BOTH</x:t>
        </x:is>
      </x:c>
      <x:c r="H253" t="inlineStr">
        <x:is>
          <x:t>PR268 afterf330ca64a</x:t>
        </x:is>
      </x:c>
      <x:c r="I253" t="inlineStr">
        <x:is>
          <x:t>IN PROGRESS</x:t>
        </x:is>
      </x:c>
      <x:c r="J253" t="inlineStr">
        <x:is>
          <x:t>Six packet-only controls; stable case/offense/sentence/release identity, exact inventory confirmation and readable recovery.</x:t>
        </x:is>
      </x:c>
      <x:c r="K253" t="inlineStr">
        <x:is>
          <x:t>ny-residual-20261012/CASE-COLLECTION-CHECKPOINT-v1.json</x:t>
        </x:is>
      </x:c>
      <x:c r="L253" t="inlineStr">
        <x:is>
          <x:t>Codex engineering; independent review; qualified source/language pending</x:t>
        </x:is>
      </x:c>
      <x:c r="M253" t="inlineStr">
        <x:is>
          <x:t>GA-49 / GA-43 / GA-19</x:t>
        </x:is>
      </x:c>
      <x:c r="N253" t="inlineStr">
        <x:is>
          <x:t>Source-bound class/statute/count/venue/prosecutor/attachment interpretation, exact sources/output, approval and protected delivery remain actively owned.</x:t>
        </x:is>
      </x:c>
    </x:row>
  </x:sheetData>
  <x:mergeCells>
    <x:mergeCell ref="A1:N1"/>
    <x:mergeCell ref="A2:N2"/>
  </x:mergeCells>
  <x:conditionalFormatting sqref="I5:I1000">
    <x:cfRule type="expression" dxfId="10" priority="1">
      <x:formula>I5="PASS"</x:formula>
    </x:cfRule>
    <x:cfRule type="expression" dxfId="11" priority="2">
      <x:formula>I5="FAIL"</x:formula>
    </x:cfRule>
    <x:cfRule type="expression" dxfId="12" priority="3">
      <x:formula>I5="BLOCKED"</x:formula>
    </x:cfRule>
    <x:cfRule type="expression" dxfId="13" priority="4">
      <x:formula>I5="STALE"</x:formula>
    </x:cfRule>
    <x:cfRule type="expression" dxfId="14" priority="5">
      <x:formula>I5="IN PROGRESS"</x:formula>
    </x:cfRule>
  </x:conditionalFormatting>
  <x:dataValidations count="3">
    <x:dataValidation type="list" sqref="I5:I1000">
      <x:formula1>"NOT RUN,IN PROGRESS,PASS,FAIL,BLOCKED,NOT APPLICABLE,STALE"</x:formula1>
    </x:dataValidation>
    <x:dataValidation type="list" sqref="F5:F1000">
      <x:formula1>"DTC,RCAP,Standard Clinic,Legal Aid Clinic,Public,Internal,Shared"</x:formula1>
    </x:dataValidation>
    <x:dataValidation type="list" sqref="G5:G1000">
      <x:formula1>"EN,ES,BOTH,N/A"</x:formula1>
    </x:dataValidation>
  </x:dataValidations>
  <x:pageMargins left="0.7" right="0.7" top="0.75" bottom="0.75" header="0.3" footer="0.3"/>
  <x:tableParts count="1">
    <x:tablePart ns1:id="R9f81d841fff147e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40" hidden="0" customWidth="1"/>
  </x:cols>
  <x:sheetData>
    <x:row r="1" ht="32" customHeight="1">
      <x:c r="A1" s="3" t="str">
        <x:v>FINAL QA / ALL 51 JURISDICTIONS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4" customHeight="1">
      <x:c r="A2" s="7" t="str">
        <x:v>All jurisdictions are listed; actual route and expected-case counts are intentionally blank until P00. Case results below are counts of checks, not counts of routes or cleared records.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8" t="str">
        <x:v>Code</x:v>
      </x:c>
      <x:c r="B4" s="18" t="str">
        <x:v>Jurisdiction</x:v>
      </x:c>
      <x:c r="C4" s="18" t="str">
        <x:v>Intended route count</x:v>
      </x:c>
      <x:c r="D4" s="18" t="str">
        <x:v>Expected case count</x:v>
      </x:c>
      <x:c r="E4" s="18" t="str">
        <x:v>Cases logged</x:v>
      </x:c>
      <x:c r="F4" s="18" t="str">
        <x:v>PASS cases</x:v>
      </x:c>
      <x:c r="G4" s="18" t="str">
        <x:v>FAIL cases</x:v>
      </x:c>
      <x:c r="H4" s="18" t="str">
        <x:v>BLOCKED cases</x:v>
      </x:c>
      <x:c r="I4" s="18" t="str">
        <x:v>STALE cases</x:v>
      </x:c>
      <x:c r="J4" s="18" t="str">
        <x:v>Jurisdiction review</x:v>
      </x:c>
      <x:c r="K4" s="18" t="str">
        <x:v>Scope / evidence / local coverage</x:v>
      </x:c>
    </x:row>
    <x:row r="5" ht="46" customHeight="1">
      <x:c r="A5" s="12" t="str">
        <x:v>AL</x:v>
      </x:c>
      <x:c r="B5" s="12" t="str">
        <x:v>Alabama</x:v>
      </x:c>
      <x:c r="C5" s="12"/>
      <x:c r="D5" s="12"/>
      <x:c r="E5" s="12" t="n">
        <x:f>COUNTIF(QACases[Jurisdiction],A5)</x:f>
        <x:v>0</x:v>
      </x:c>
      <x:c r="F5" s="12" t="n">
        <x:f>COUNTIFS(QACases[Jurisdiction],A5,QACases[Status],"PASS")</x:f>
        <x:v>0</x:v>
      </x:c>
      <x:c r="G5" s="12" t="n">
        <x:f>COUNTIFS(QACases[Jurisdiction],A5,QACases[Status],"FAIL")</x:f>
        <x:v>0</x:v>
      </x:c>
      <x:c r="H5" s="12" t="n">
        <x:f>COUNTIFS(QACases[Jurisdiction],A5,QACases[Status],"BLOCKED")</x:f>
        <x:v>0</x:v>
      </x:c>
      <x:c r="I5" s="12" t="n">
        <x:f>COUNTIFS(QACases[Jurisdiction],A5,QACases[Status],"STALE")</x:f>
        <x:v>0</x:v>
      </x:c>
      <x:c r="J5" s="12" t="str">
        <x:v>SCOPE NOT LOADED</x:v>
      </x:c>
      <x:c r="K5" s="12" t="str"/>
    </x:row>
    <x:row r="6" ht="46" customHeight="1">
      <x:c r="A6" s="12" t="str">
        <x:v>AK</x:v>
      </x:c>
      <x:c r="B6" s="12" t="str">
        <x:v>Alaska</x:v>
      </x:c>
      <x:c r="C6" s="12"/>
      <x:c r="D6" s="12"/>
      <x:c r="E6" s="12" t="n">
        <x:f>COUNTIF(QACases[Jurisdiction],A6)</x:f>
        <x:v>0</x:v>
      </x:c>
      <x:c r="F6" s="12" t="n">
        <x:f>COUNTIFS(QACases[Jurisdiction],A6,QACases[Status],"PASS")</x:f>
        <x:v>0</x:v>
      </x:c>
      <x:c r="G6" s="12" t="n">
        <x:f>COUNTIFS(QACases[Jurisdiction],A6,QACases[Status],"FAIL")</x:f>
        <x:v>0</x:v>
      </x:c>
      <x:c r="H6" s="12" t="n">
        <x:f>COUNTIFS(QACases[Jurisdiction],A6,QACases[Status],"BLOCKED")</x:f>
        <x:v>0</x:v>
      </x:c>
      <x:c r="I6" s="12" t="n">
        <x:f>COUNTIFS(QACases[Jurisdiction],A6,QACases[Status],"STALE")</x:f>
        <x:v>0</x:v>
      </x:c>
      <x:c r="J6" s="12" t="str">
        <x:v>SCOPE NOT LOADED</x:v>
      </x:c>
      <x:c r="K6" s="12" t="str"/>
    </x:row>
    <x:row r="7" ht="46" customHeight="1">
      <x:c r="A7" s="12" t="str">
        <x:v>AZ</x:v>
      </x:c>
      <x:c r="B7" s="12" t="str">
        <x:v>Arizona</x:v>
      </x:c>
      <x:c r="C7" s="12"/>
      <x:c r="D7" s="12"/>
      <x:c r="E7" s="12" t="n">
        <x:f>COUNTIF(QACases[Jurisdiction],A7)</x:f>
        <x:v>0</x:v>
      </x:c>
      <x:c r="F7" s="12" t="n">
        <x:f>COUNTIFS(QACases[Jurisdiction],A7,QACases[Status],"PASS")</x:f>
        <x:v>0</x:v>
      </x:c>
      <x:c r="G7" s="12" t="n">
        <x:f>COUNTIFS(QACases[Jurisdiction],A7,QACases[Status],"FAIL")</x:f>
        <x:v>0</x:v>
      </x:c>
      <x:c r="H7" s="12" t="n">
        <x:f>COUNTIFS(QACases[Jurisdiction],A7,QACases[Status],"BLOCKED")</x:f>
        <x:v>0</x:v>
      </x:c>
      <x:c r="I7" s="12" t="n">
        <x:f>COUNTIFS(QACases[Jurisdiction],A7,QACases[Status],"STALE")</x:f>
        <x:v>0</x:v>
      </x:c>
      <x:c r="J7" s="12" t="str">
        <x:v>SCOPE NOT LOADED</x:v>
      </x:c>
      <x:c r="K7" s="12" t="str"/>
    </x:row>
    <x:row r="8" ht="46" customHeight="1">
      <x:c r="A8" s="12" t="str">
        <x:v>AR</x:v>
      </x:c>
      <x:c r="B8" s="12" t="str">
        <x:v>Arkansas</x:v>
      </x:c>
      <x:c r="C8" s="12"/>
      <x:c r="D8" s="12"/>
      <x:c r="E8" s="12" t="n">
        <x:f>COUNTIF(QACases[Jurisdiction],A8)</x:f>
        <x:v>0</x:v>
      </x:c>
      <x:c r="F8" s="12" t="n">
        <x:f>COUNTIFS(QACases[Jurisdiction],A8,QACases[Status],"PASS")</x:f>
        <x:v>0</x:v>
      </x:c>
      <x:c r="G8" s="12" t="n">
        <x:f>COUNTIFS(QACases[Jurisdiction],A8,QACases[Status],"FAIL")</x:f>
        <x:v>0</x:v>
      </x:c>
      <x:c r="H8" s="12" t="n">
        <x:f>COUNTIFS(QACases[Jurisdiction],A8,QACases[Status],"BLOCKED")</x:f>
        <x:v>0</x:v>
      </x:c>
      <x:c r="I8" s="12" t="n">
        <x:f>COUNTIFS(QACases[Jurisdiction],A8,QACases[Status],"STALE")</x:f>
        <x:v>0</x:v>
      </x:c>
      <x:c r="J8" s="12" t="str">
        <x:v>SCOPE NOT LOADED</x:v>
      </x:c>
      <x:c r="K8" s="12" t="str"/>
    </x:row>
    <x:row r="9" ht="46" customHeight="1">
      <x:c r="A9" s="12" t="str">
        <x:v>CA</x:v>
      </x:c>
      <x:c r="B9" s="12" t="str">
        <x:v>California</x:v>
      </x:c>
      <x:c r="C9" s="12"/>
      <x:c r="D9" s="12"/>
      <x:c r="E9" s="12" t="n">
        <x:f>COUNTIF(QACases[Jurisdiction],A9)</x:f>
        <x:v>0</x:v>
      </x:c>
      <x:c r="F9" s="12" t="n">
        <x:f>COUNTIFS(QACases[Jurisdiction],A9,QACases[Status],"PASS")</x:f>
        <x:v>0</x:v>
      </x:c>
      <x:c r="G9" s="12" t="n">
        <x:f>COUNTIFS(QACases[Jurisdiction],A9,QACases[Status],"FAIL")</x:f>
        <x:v>0</x:v>
      </x:c>
      <x:c r="H9" s="12" t="n">
        <x:f>COUNTIFS(QACases[Jurisdiction],A9,QACases[Status],"BLOCKED")</x:f>
        <x:v>0</x:v>
      </x:c>
      <x:c r="I9" s="12" t="n">
        <x:f>COUNTIFS(QACases[Jurisdiction],A9,QACases[Status],"STALE")</x:f>
        <x:v>0</x:v>
      </x:c>
      <x:c r="J9" s="12" t="str">
        <x:v>SCOPE NOT LOADED</x:v>
      </x:c>
      <x:c r="K9" s="12" t="str"/>
    </x:row>
    <x:row r="10" ht="46" customHeight="1">
      <x:c r="A10" s="12" t="str">
        <x:v>CO</x:v>
      </x:c>
      <x:c r="B10" s="12" t="str">
        <x:v>Colorado</x:v>
      </x:c>
      <x:c r="C10" s="12"/>
      <x:c r="D10" s="12"/>
      <x:c r="E10" s="12" t="n">
        <x:f>COUNTIF(QACases[Jurisdiction],A10)</x:f>
        <x:v>0</x:v>
      </x:c>
      <x:c r="F10" s="12" t="n">
        <x:f>COUNTIFS(QACases[Jurisdiction],A10,QACases[Status],"PASS")</x:f>
        <x:v>0</x:v>
      </x:c>
      <x:c r="G10" s="12" t="n">
        <x:f>COUNTIFS(QACases[Jurisdiction],A10,QACases[Status],"FAIL")</x:f>
        <x:v>0</x:v>
      </x:c>
      <x:c r="H10" s="12" t="n">
        <x:f>COUNTIFS(QACases[Jurisdiction],A10,QACases[Status],"BLOCKED")</x:f>
        <x:v>0</x:v>
      </x:c>
      <x:c r="I10" s="12" t="n">
        <x:f>COUNTIFS(QACases[Jurisdiction],A10,QACases[Status],"STALE")</x:f>
        <x:v>0</x:v>
      </x:c>
      <x:c r="J10" s="12" t="str">
        <x:v>SCOPE NOT LOADED</x:v>
      </x:c>
      <x:c r="K10" s="12" t="str"/>
    </x:row>
    <x:row r="11" ht="46" customHeight="1">
      <x:c r="A11" s="12" t="str">
        <x:v>CT</x:v>
      </x:c>
      <x:c r="B11" s="12" t="str">
        <x:v>Connecticut</x:v>
      </x:c>
      <x:c r="C11" s="12"/>
      <x:c r="D11" s="12"/>
      <x:c r="E11" s="12" t="n">
        <x:f>COUNTIF(QACases[Jurisdiction],A11)</x:f>
        <x:v>0</x:v>
      </x:c>
      <x:c r="F11" s="12" t="n">
        <x:f>COUNTIFS(QACases[Jurisdiction],A11,QACases[Status],"PASS")</x:f>
        <x:v>0</x:v>
      </x:c>
      <x:c r="G11" s="12" t="n">
        <x:f>COUNTIFS(QACases[Jurisdiction],A11,QACases[Status],"FAIL")</x:f>
        <x:v>0</x:v>
      </x:c>
      <x:c r="H11" s="12" t="n">
        <x:f>COUNTIFS(QACases[Jurisdiction],A11,QACases[Status],"BLOCKED")</x:f>
        <x:v>0</x:v>
      </x:c>
      <x:c r="I11" s="12" t="n">
        <x:f>COUNTIFS(QACases[Jurisdiction],A11,QACases[Status],"STALE")</x:f>
        <x:v>0</x:v>
      </x:c>
      <x:c r="J11" s="12" t="str">
        <x:v>SCOPE NOT LOADED</x:v>
      </x:c>
      <x:c r="K11" s="12" t="str"/>
    </x:row>
    <x:row r="12" ht="46" customHeight="1">
      <x:c r="A12" s="12" t="str">
        <x:v>DE</x:v>
      </x:c>
      <x:c r="B12" s="12" t="str">
        <x:v>Delaware</x:v>
      </x:c>
      <x:c r="C12" s="12"/>
      <x:c r="D12" s="12"/>
      <x:c r="E12" s="12" t="n">
        <x:f>COUNTIF(QACases[Jurisdiction],A12)</x:f>
        <x:v>0</x:v>
      </x:c>
      <x:c r="F12" s="12" t="n">
        <x:f>COUNTIFS(QACases[Jurisdiction],A12,QACases[Status],"PASS")</x:f>
        <x:v>0</x:v>
      </x:c>
      <x:c r="G12" s="12" t="n">
        <x:f>COUNTIFS(QACases[Jurisdiction],A12,QACases[Status],"FAIL")</x:f>
        <x:v>0</x:v>
      </x:c>
      <x:c r="H12" s="12" t="n">
        <x:f>COUNTIFS(QACases[Jurisdiction],A12,QACases[Status],"BLOCKED")</x:f>
        <x:v>0</x:v>
      </x:c>
      <x:c r="I12" s="12" t="n">
        <x:f>COUNTIFS(QACases[Jurisdiction],A12,QACases[Status],"STALE")</x:f>
        <x:v>0</x:v>
      </x:c>
      <x:c r="J12" s="12" t="str">
        <x:v>SCOPE NOT LOADED</x:v>
      </x:c>
      <x:c r="K12" s="12" t="str"/>
    </x:row>
    <x:row r="13" ht="46" customHeight="1">
      <x:c r="A13" s="12" t="str">
        <x:v>DC</x:v>
      </x:c>
      <x:c r="B13" s="12" t="str">
        <x:v>District of Columbia</x:v>
      </x:c>
      <x:c r="C13" s="12"/>
      <x:c r="D13" s="12"/>
      <x:c r="E13" s="12" t="n">
        <x:f>COUNTIF(QACases[Jurisdiction],A13)</x:f>
        <x:v>0</x:v>
      </x:c>
      <x:c r="F13" s="12" t="n">
        <x:f>COUNTIFS(QACases[Jurisdiction],A13,QACases[Status],"PASS")</x:f>
        <x:v>0</x:v>
      </x:c>
      <x:c r="G13" s="12" t="n">
        <x:f>COUNTIFS(QACases[Jurisdiction],A13,QACases[Status],"FAIL")</x:f>
        <x:v>0</x:v>
      </x:c>
      <x:c r="H13" s="12" t="n">
        <x:f>COUNTIFS(QACases[Jurisdiction],A13,QACases[Status],"BLOCKED")</x:f>
        <x:v>0</x:v>
      </x:c>
      <x:c r="I13" s="12" t="n">
        <x:f>COUNTIFS(QACases[Jurisdiction],A13,QACases[Status],"STALE")</x:f>
        <x:v>0</x:v>
      </x:c>
      <x:c r="J13" s="12" t="str">
        <x:v>SCOPE NOT LOADED</x:v>
      </x:c>
      <x:c r="K13" s="12" t="str"/>
    </x:row>
    <x:row r="14" ht="46" customHeight="1">
      <x:c r="A14" s="12" t="str">
        <x:v>FL</x:v>
      </x:c>
      <x:c r="B14" s="12" t="str">
        <x:v>Florida</x:v>
      </x:c>
      <x:c r="C14" s="12"/>
      <x:c r="D14" s="12"/>
      <x:c r="E14" s="12" t="n">
        <x:f>COUNTIF(QACases[Jurisdiction],A14)</x:f>
        <x:v>0</x:v>
      </x:c>
      <x:c r="F14" s="12" t="n">
        <x:f>COUNTIFS(QACases[Jurisdiction],A14,QACases[Status],"PASS")</x:f>
        <x:v>0</x:v>
      </x:c>
      <x:c r="G14" s="12" t="n">
        <x:f>COUNTIFS(QACases[Jurisdiction],A14,QACases[Status],"FAIL")</x:f>
        <x:v>0</x:v>
      </x:c>
      <x:c r="H14" s="12" t="n">
        <x:f>COUNTIFS(QACases[Jurisdiction],A14,QACases[Status],"BLOCKED")</x:f>
        <x:v>0</x:v>
      </x:c>
      <x:c r="I14" s="12" t="n">
        <x:f>COUNTIFS(QACases[Jurisdiction],A14,QACases[Status],"STALE")</x:f>
        <x:v>0</x:v>
      </x:c>
      <x:c r="J14" s="12" t="str">
        <x:v>SCOPE NOT LOADED</x:v>
      </x:c>
      <x:c r="K14" s="12" t="str"/>
    </x:row>
    <x:row r="15" ht="46" customHeight="1">
      <x:c r="A15" s="12" t="str">
        <x:v>GA</x:v>
      </x:c>
      <x:c r="B15" s="12" t="str">
        <x:v>Georgia</x:v>
      </x:c>
      <x:c r="C15" s="12"/>
      <x:c r="D15" s="12"/>
      <x:c r="E15" s="12" t="n">
        <x:f>COUNTIF(QACases[Jurisdiction],A15)</x:f>
        <x:v>0</x:v>
      </x:c>
      <x:c r="F15" s="12" t="n">
        <x:f>COUNTIFS(QACases[Jurisdiction],A15,QACases[Status],"PASS")</x:f>
        <x:v>0</x:v>
      </x:c>
      <x:c r="G15" s="12" t="n">
        <x:f>COUNTIFS(QACases[Jurisdiction],A15,QACases[Status],"FAIL")</x:f>
        <x:v>0</x:v>
      </x:c>
      <x:c r="H15" s="12" t="n">
        <x:f>COUNTIFS(QACases[Jurisdiction],A15,QACases[Status],"BLOCKED")</x:f>
        <x:v>0</x:v>
      </x:c>
      <x:c r="I15" s="12" t="n">
        <x:f>COUNTIFS(QACases[Jurisdiction],A15,QACases[Status],"STALE")</x:f>
        <x:v>0</x:v>
      </x:c>
      <x:c r="J15" s="12" t="str">
        <x:v>SCOPE NOT LOADED</x:v>
      </x:c>
      <x:c r="K15" s="12" t="str"/>
    </x:row>
    <x:row r="16" ht="46" customHeight="1">
      <x:c r="A16" s="12" t="str">
        <x:v>HI</x:v>
      </x:c>
      <x:c r="B16" s="12" t="str">
        <x:v>Hawaii</x:v>
      </x:c>
      <x:c r="C16" s="12"/>
      <x:c r="D16" s="12"/>
      <x:c r="E16" s="12" t="n">
        <x:f>COUNTIF(QACases[Jurisdiction],A16)</x:f>
        <x:v>0</x:v>
      </x:c>
      <x:c r="F16" s="12" t="n">
        <x:f>COUNTIFS(QACases[Jurisdiction],A16,QACases[Status],"PASS")</x:f>
        <x:v>0</x:v>
      </x:c>
      <x:c r="G16" s="12" t="n">
        <x:f>COUNTIFS(QACases[Jurisdiction],A16,QACases[Status],"FAIL")</x:f>
        <x:v>0</x:v>
      </x:c>
      <x:c r="H16" s="12" t="n">
        <x:f>COUNTIFS(QACases[Jurisdiction],A16,QACases[Status],"BLOCKED")</x:f>
        <x:v>0</x:v>
      </x:c>
      <x:c r="I16" s="12" t="n">
        <x:f>COUNTIFS(QACases[Jurisdiction],A16,QACases[Status],"STALE")</x:f>
        <x:v>0</x:v>
      </x:c>
      <x:c r="J16" s="12" t="str">
        <x:v>SCOPE NOT LOADED</x:v>
      </x:c>
      <x:c r="K16" s="12" t="str"/>
    </x:row>
    <x:row r="17" ht="46" customHeight="1">
      <x:c r="A17" s="12" t="str">
        <x:v>ID</x:v>
      </x:c>
      <x:c r="B17" s="12" t="str">
        <x:v>Idaho</x:v>
      </x:c>
      <x:c r="C17" s="12"/>
      <x:c r="D17" s="12"/>
      <x:c r="E17" s="12" t="n">
        <x:f>COUNTIF(QACases[Jurisdiction],A17)</x:f>
        <x:v>0</x:v>
      </x:c>
      <x:c r="F17" s="12" t="n">
        <x:f>COUNTIFS(QACases[Jurisdiction],A17,QACases[Status],"PASS")</x:f>
        <x:v>0</x:v>
      </x:c>
      <x:c r="G17" s="12" t="n">
        <x:f>COUNTIFS(QACases[Jurisdiction],A17,QACases[Status],"FAIL")</x:f>
        <x:v>0</x:v>
      </x:c>
      <x:c r="H17" s="12" t="n">
        <x:f>COUNTIFS(QACases[Jurisdiction],A17,QACases[Status],"BLOCKED")</x:f>
        <x:v>0</x:v>
      </x:c>
      <x:c r="I17" s="12" t="n">
        <x:f>COUNTIFS(QACases[Jurisdiction],A17,QACases[Status],"STALE")</x:f>
        <x:v>0</x:v>
      </x:c>
      <x:c r="J17" s="12" t="str">
        <x:v>SCOPE NOT LOADED</x:v>
      </x:c>
      <x:c r="K17" s="12" t="str"/>
    </x:row>
    <x:row r="18" ht="46" customHeight="1">
      <x:c r="A18" s="12" t="str">
        <x:v>IL</x:v>
      </x:c>
      <x:c r="B18" s="12" t="str">
        <x:v>Illinois</x:v>
      </x:c>
      <x:c r="C18" s="12"/>
      <x:c r="D18" s="12"/>
      <x:c r="E18" s="12" t="n">
        <x:f>COUNTIF(QACases[Jurisdiction],A18)</x:f>
        <x:v>0</x:v>
      </x:c>
      <x:c r="F18" s="12" t="n">
        <x:f>COUNTIFS(QACases[Jurisdiction],A18,QACases[Status],"PASS")</x:f>
        <x:v>0</x:v>
      </x:c>
      <x:c r="G18" s="12" t="n">
        <x:f>COUNTIFS(QACases[Jurisdiction],A18,QACases[Status],"FAIL")</x:f>
        <x:v>0</x:v>
      </x:c>
      <x:c r="H18" s="12" t="n">
        <x:f>COUNTIFS(QACases[Jurisdiction],A18,QACases[Status],"BLOCKED")</x:f>
        <x:v>0</x:v>
      </x:c>
      <x:c r="I18" s="12" t="n">
        <x:f>COUNTIFS(QACases[Jurisdiction],A18,QACases[Status],"STALE")</x:f>
        <x:v>0</x:v>
      </x:c>
      <x:c r="J18" s="12" t="str">
        <x:v>SCOPE NOT LOADED</x:v>
      </x:c>
      <x:c r="K18" s="12" t="str"/>
    </x:row>
    <x:row r="19" ht="46" customHeight="1">
      <x:c r="A19" s="12" t="str">
        <x:v>IN</x:v>
      </x:c>
      <x:c r="B19" s="12" t="str">
        <x:v>Indiana</x:v>
      </x:c>
      <x:c r="C19" s="12"/>
      <x:c r="D19" s="12"/>
      <x:c r="E19" s="12" t="n">
        <x:f>COUNTIF(QACases[Jurisdiction],A19)</x:f>
        <x:v>0</x:v>
      </x:c>
      <x:c r="F19" s="12" t="n">
        <x:f>COUNTIFS(QACases[Jurisdiction],A19,QACases[Status],"PASS")</x:f>
        <x:v>0</x:v>
      </x:c>
      <x:c r="G19" s="12" t="n">
        <x:f>COUNTIFS(QACases[Jurisdiction],A19,QACases[Status],"FAIL")</x:f>
        <x:v>0</x:v>
      </x:c>
      <x:c r="H19" s="12" t="n">
        <x:f>COUNTIFS(QACases[Jurisdiction],A19,QACases[Status],"BLOCKED")</x:f>
        <x:v>0</x:v>
      </x:c>
      <x:c r="I19" s="12" t="n">
        <x:f>COUNTIFS(QACases[Jurisdiction],A19,QACases[Status],"STALE")</x:f>
        <x:v>0</x:v>
      </x:c>
      <x:c r="J19" s="12" t="str">
        <x:v>SCOPE NOT LOADED</x:v>
      </x:c>
      <x:c r="K19" s="12" t="str"/>
    </x:row>
    <x:row r="20" ht="46" customHeight="1">
      <x:c r="A20" s="12" t="str">
        <x:v>IA</x:v>
      </x:c>
      <x:c r="B20" s="12" t="str">
        <x:v>Iowa</x:v>
      </x:c>
      <x:c r="C20" s="12"/>
      <x:c r="D20" s="12"/>
      <x:c r="E20" s="12" t="n">
        <x:f>COUNTIF(QACases[Jurisdiction],A20)</x:f>
        <x:v>0</x:v>
      </x:c>
      <x:c r="F20" s="12" t="n">
        <x:f>COUNTIFS(QACases[Jurisdiction],A20,QACases[Status],"PASS")</x:f>
        <x:v>0</x:v>
      </x:c>
      <x:c r="G20" s="12" t="n">
        <x:f>COUNTIFS(QACases[Jurisdiction],A20,QACases[Status],"FAIL")</x:f>
        <x:v>0</x:v>
      </x:c>
      <x:c r="H20" s="12" t="n">
        <x:f>COUNTIFS(QACases[Jurisdiction],A20,QACases[Status],"BLOCKED")</x:f>
        <x:v>0</x:v>
      </x:c>
      <x:c r="I20" s="12" t="n">
        <x:f>COUNTIFS(QACases[Jurisdiction],A20,QACases[Status],"STALE")</x:f>
        <x:v>0</x:v>
      </x:c>
      <x:c r="J20" s="12" t="str">
        <x:v>SCOPE NOT LOADED</x:v>
      </x:c>
      <x:c r="K20" s="12" t="str"/>
    </x:row>
    <x:row r="21" ht="46" customHeight="1">
      <x:c r="A21" s="12" t="str">
        <x:v>KS</x:v>
      </x:c>
      <x:c r="B21" s="12" t="str">
        <x:v>Kansas</x:v>
      </x:c>
      <x:c r="C21" s="12"/>
      <x:c r="D21" s="12"/>
      <x:c r="E21" s="12" t="n">
        <x:f>COUNTIF(QACases[Jurisdiction],A21)</x:f>
        <x:v>0</x:v>
      </x:c>
      <x:c r="F21" s="12" t="n">
        <x:f>COUNTIFS(QACases[Jurisdiction],A21,QACases[Status],"PASS")</x:f>
        <x:v>0</x:v>
      </x:c>
      <x:c r="G21" s="12" t="n">
        <x:f>COUNTIFS(QACases[Jurisdiction],A21,QACases[Status],"FAIL")</x:f>
        <x:v>0</x:v>
      </x:c>
      <x:c r="H21" s="12" t="n">
        <x:f>COUNTIFS(QACases[Jurisdiction],A21,QACases[Status],"BLOCKED")</x:f>
        <x:v>0</x:v>
      </x:c>
      <x:c r="I21" s="12" t="n">
        <x:f>COUNTIFS(QACases[Jurisdiction],A21,QACases[Status],"STALE")</x:f>
        <x:v>0</x:v>
      </x:c>
      <x:c r="J21" s="12" t="str">
        <x:v>SCOPE NOT LOADED</x:v>
      </x:c>
      <x:c r="K21" s="12" t="str"/>
    </x:row>
    <x:row r="22" ht="46" customHeight="1">
      <x:c r="A22" s="12" t="str">
        <x:v>KY</x:v>
      </x:c>
      <x:c r="B22" s="12" t="str">
        <x:v>Kentucky</x:v>
      </x:c>
      <x:c r="C22" s="12"/>
      <x:c r="D22" s="12"/>
      <x:c r="E22" s="12" t="n">
        <x:f>COUNTIF(QACases[Jurisdiction],A22)</x:f>
        <x:v>0</x:v>
      </x:c>
      <x:c r="F22" s="12" t="n">
        <x:f>COUNTIFS(QACases[Jurisdiction],A22,QACases[Status],"PASS")</x:f>
        <x:v>0</x:v>
      </x:c>
      <x:c r="G22" s="12" t="n">
        <x:f>COUNTIFS(QACases[Jurisdiction],A22,QACases[Status],"FAIL")</x:f>
        <x:v>0</x:v>
      </x:c>
      <x:c r="H22" s="12" t="n">
        <x:f>COUNTIFS(QACases[Jurisdiction],A22,QACases[Status],"BLOCKED")</x:f>
        <x:v>0</x:v>
      </x:c>
      <x:c r="I22" s="12" t="n">
        <x:f>COUNTIFS(QACases[Jurisdiction],A22,QACases[Status],"STALE")</x:f>
        <x:v>0</x:v>
      </x:c>
      <x:c r="J22" s="12" t="str">
        <x:v>SCOPE NOT LOADED</x:v>
      </x:c>
      <x:c r="K22" s="12" t="str"/>
    </x:row>
    <x:row r="23" ht="46" customHeight="1">
      <x:c r="A23" s="12" t="str">
        <x:v>LA</x:v>
      </x:c>
      <x:c r="B23" s="12" t="str">
        <x:v>Louisiana</x:v>
      </x:c>
      <x:c r="C23" s="12"/>
      <x:c r="D23" s="12"/>
      <x:c r="E23" s="12" t="n">
        <x:f>COUNTIF(QACases[Jurisdiction],A23)</x:f>
        <x:v>0</x:v>
      </x:c>
      <x:c r="F23" s="12" t="n">
        <x:f>COUNTIFS(QACases[Jurisdiction],A23,QACases[Status],"PASS")</x:f>
        <x:v>0</x:v>
      </x:c>
      <x:c r="G23" s="12" t="n">
        <x:f>COUNTIFS(QACases[Jurisdiction],A23,QACases[Status],"FAIL")</x:f>
        <x:v>0</x:v>
      </x:c>
      <x:c r="H23" s="12" t="n">
        <x:f>COUNTIFS(QACases[Jurisdiction],A23,QACases[Status],"BLOCKED")</x:f>
        <x:v>0</x:v>
      </x:c>
      <x:c r="I23" s="12" t="n">
        <x:f>COUNTIFS(QACases[Jurisdiction],A23,QACases[Status],"STALE")</x:f>
        <x:v>0</x:v>
      </x:c>
      <x:c r="J23" s="12" t="str">
        <x:v>SCOPE NOT LOADED</x:v>
      </x:c>
      <x:c r="K23" s="12" t="str"/>
    </x:row>
    <x:row r="24" ht="46" customHeight="1">
      <x:c r="A24" s="12" t="str">
        <x:v>ME</x:v>
      </x:c>
      <x:c r="B24" s="12" t="str">
        <x:v>Maine</x:v>
      </x:c>
      <x:c r="C24" s="12"/>
      <x:c r="D24" s="12"/>
      <x:c r="E24" s="12" t="n">
        <x:f>COUNTIF(QACases[Jurisdiction],A24)</x:f>
        <x:v>0</x:v>
      </x:c>
      <x:c r="F24" s="12" t="n">
        <x:f>COUNTIFS(QACases[Jurisdiction],A24,QACases[Status],"PASS")</x:f>
        <x:v>0</x:v>
      </x:c>
      <x:c r="G24" s="12" t="n">
        <x:f>COUNTIFS(QACases[Jurisdiction],A24,QACases[Status],"FAIL")</x:f>
        <x:v>0</x:v>
      </x:c>
      <x:c r="H24" s="12" t="n">
        <x:f>COUNTIFS(QACases[Jurisdiction],A24,QACases[Status],"BLOCKED")</x:f>
        <x:v>0</x:v>
      </x:c>
      <x:c r="I24" s="12" t="n">
        <x:f>COUNTIFS(QACases[Jurisdiction],A24,QACases[Status],"STALE")</x:f>
        <x:v>0</x:v>
      </x:c>
      <x:c r="J24" s="12" t="str">
        <x:v>SCOPE NOT LOADED</x:v>
      </x:c>
      <x:c r="K24" s="12" t="str"/>
    </x:row>
    <x:row r="25" ht="46" customHeight="1">
      <x:c r="A25" s="12" t="str">
        <x:v>MD</x:v>
      </x:c>
      <x:c r="B25" s="12" t="str">
        <x:v>Maryland</x:v>
      </x:c>
      <x:c r="C25" s="12"/>
      <x:c r="D25" s="12"/>
      <x:c r="E25" s="12" t="n">
        <x:f>COUNTIF(QACases[Jurisdiction],A25)</x:f>
        <x:v>0</x:v>
      </x:c>
      <x:c r="F25" s="12" t="n">
        <x:f>COUNTIFS(QACases[Jurisdiction],A25,QACases[Status],"PASS")</x:f>
        <x:v>0</x:v>
      </x:c>
      <x:c r="G25" s="12" t="n">
        <x:f>COUNTIFS(QACases[Jurisdiction],A25,QACases[Status],"FAIL")</x:f>
        <x:v>0</x:v>
      </x:c>
      <x:c r="H25" s="12" t="n">
        <x:f>COUNTIFS(QACases[Jurisdiction],A25,QACases[Status],"BLOCKED")</x:f>
        <x:v>0</x:v>
      </x:c>
      <x:c r="I25" s="12" t="n">
        <x:f>COUNTIFS(QACases[Jurisdiction],A25,QACases[Status],"STALE")</x:f>
        <x:v>0</x:v>
      </x:c>
      <x:c r="J25" s="12" t="str">
        <x:v>SCOPE NOT LOADED</x:v>
      </x:c>
      <x:c r="K25" s="12" t="str"/>
    </x:row>
    <x:row r="26" ht="46" customHeight="1">
      <x:c r="A26" s="12" t="str">
        <x:v>MA</x:v>
      </x:c>
      <x:c r="B26" s="12" t="str">
        <x:v>Massachusetts</x:v>
      </x:c>
      <x:c r="C26" s="12"/>
      <x:c r="D26" s="12"/>
      <x:c r="E26" s="12" t="n">
        <x:f>COUNTIF(QACases[Jurisdiction],A26)</x:f>
        <x:v>0</x:v>
      </x:c>
      <x:c r="F26" s="12" t="n">
        <x:f>COUNTIFS(QACases[Jurisdiction],A26,QACases[Status],"PASS")</x:f>
        <x:v>0</x:v>
      </x:c>
      <x:c r="G26" s="12" t="n">
        <x:f>COUNTIFS(QACases[Jurisdiction],A26,QACases[Status],"FAIL")</x:f>
        <x:v>0</x:v>
      </x:c>
      <x:c r="H26" s="12" t="n">
        <x:f>COUNTIFS(QACases[Jurisdiction],A26,QACases[Status],"BLOCKED")</x:f>
        <x:v>0</x:v>
      </x:c>
      <x:c r="I26" s="12" t="n">
        <x:f>COUNTIFS(QACases[Jurisdiction],A26,QACases[Status],"STALE")</x:f>
        <x:v>0</x:v>
      </x:c>
      <x:c r="J26" s="12" t="str">
        <x:v>SCOPE NOT LOADED</x:v>
      </x:c>
      <x:c r="K26" s="12" t="str"/>
    </x:row>
    <x:row r="27" ht="46" customHeight="1">
      <x:c r="A27" s="12" t="str">
        <x:v>MI</x:v>
      </x:c>
      <x:c r="B27" s="12" t="str">
        <x:v>Michigan</x:v>
      </x:c>
      <x:c r="C27" s="12"/>
      <x:c r="D27" s="12"/>
      <x:c r="E27" s="12" t="n">
        <x:f>COUNTIF(QACases[Jurisdiction],A27)</x:f>
        <x:v>0</x:v>
      </x:c>
      <x:c r="F27" s="12" t="n">
        <x:f>COUNTIFS(QACases[Jurisdiction],A27,QACases[Status],"PASS")</x:f>
        <x:v>0</x:v>
      </x:c>
      <x:c r="G27" s="12" t="n">
        <x:f>COUNTIFS(QACases[Jurisdiction],A27,QACases[Status],"FAIL")</x:f>
        <x:v>0</x:v>
      </x:c>
      <x:c r="H27" s="12" t="n">
        <x:f>COUNTIFS(QACases[Jurisdiction],A27,QACases[Status],"BLOCKED")</x:f>
        <x:v>0</x:v>
      </x:c>
      <x:c r="I27" s="12" t="n">
        <x:f>COUNTIFS(QACases[Jurisdiction],A27,QACases[Status],"STALE")</x:f>
        <x:v>0</x:v>
      </x:c>
      <x:c r="J27" s="12" t="str">
        <x:v>SCOPE NOT LOADED</x:v>
      </x:c>
      <x:c r="K27" s="12" t="str"/>
    </x:row>
    <x:row r="28" ht="46" customHeight="1">
      <x:c r="A28" s="12" t="str">
        <x:v>MN</x:v>
      </x:c>
      <x:c r="B28" s="12" t="str">
        <x:v>Minnesota</x:v>
      </x:c>
      <x:c r="C28" s="12"/>
      <x:c r="D28" s="12"/>
      <x:c r="E28" s="12" t="n">
        <x:f>COUNTIF(QACases[Jurisdiction],A28)</x:f>
        <x:v>0</x:v>
      </x:c>
      <x:c r="F28" s="12" t="n">
        <x:f>COUNTIFS(QACases[Jurisdiction],A28,QACases[Status],"PASS")</x:f>
        <x:v>0</x:v>
      </x:c>
      <x:c r="G28" s="12" t="n">
        <x:f>COUNTIFS(QACases[Jurisdiction],A28,QACases[Status],"FAIL")</x:f>
        <x:v>0</x:v>
      </x:c>
      <x:c r="H28" s="12" t="n">
        <x:f>COUNTIFS(QACases[Jurisdiction],A28,QACases[Status],"BLOCKED")</x:f>
        <x:v>0</x:v>
      </x:c>
      <x:c r="I28" s="12" t="n">
        <x:f>COUNTIFS(QACases[Jurisdiction],A28,QACases[Status],"STALE")</x:f>
        <x:v>0</x:v>
      </x:c>
      <x:c r="J28" s="12" t="str">
        <x:v>SCOPE NOT LOADED</x:v>
      </x:c>
      <x:c r="K28" s="12" t="str"/>
    </x:row>
    <x:row r="29" ht="46" customHeight="1">
      <x:c r="A29" s="12" t="str">
        <x:v>MS</x:v>
      </x:c>
      <x:c r="B29" s="12" t="str">
        <x:v>Mississippi</x:v>
      </x:c>
      <x:c r="C29" s="12"/>
      <x:c r="D29" s="12"/>
      <x:c r="E29" s="12" t="n">
        <x:f>COUNTIF(QACases[Jurisdiction],A29)</x:f>
        <x:v>0</x:v>
      </x:c>
      <x:c r="F29" s="12" t="n">
        <x:f>COUNTIFS(QACases[Jurisdiction],A29,QACases[Status],"PASS")</x:f>
        <x:v>0</x:v>
      </x:c>
      <x:c r="G29" s="12" t="n">
        <x:f>COUNTIFS(QACases[Jurisdiction],A29,QACases[Status],"FAIL")</x:f>
        <x:v>0</x:v>
      </x:c>
      <x:c r="H29" s="12" t="n">
        <x:f>COUNTIFS(QACases[Jurisdiction],A29,QACases[Status],"BLOCKED")</x:f>
        <x:v>0</x:v>
      </x:c>
      <x:c r="I29" s="12" t="n">
        <x:f>COUNTIFS(QACases[Jurisdiction],A29,QACases[Status],"STALE")</x:f>
        <x:v>0</x:v>
      </x:c>
      <x:c r="J29" s="12" t="str">
        <x:v>SCOPE NOT LOADED</x:v>
      </x:c>
      <x:c r="K29" s="12" t="str"/>
    </x:row>
    <x:row r="30" ht="46" customHeight="1">
      <x:c r="A30" s="12" t="str">
        <x:v>MO</x:v>
      </x:c>
      <x:c r="B30" s="12" t="str">
        <x:v>Missouri</x:v>
      </x:c>
      <x:c r="C30" s="12"/>
      <x:c r="D30" s="12"/>
      <x:c r="E30" s="12" t="n">
        <x:f>COUNTIF(QACases[Jurisdiction],A30)</x:f>
        <x:v>0</x:v>
      </x:c>
      <x:c r="F30" s="12" t="n">
        <x:f>COUNTIFS(QACases[Jurisdiction],A30,QACases[Status],"PASS")</x:f>
        <x:v>0</x:v>
      </x:c>
      <x:c r="G30" s="12" t="n">
        <x:f>COUNTIFS(QACases[Jurisdiction],A30,QACases[Status],"FAIL")</x:f>
        <x:v>0</x:v>
      </x:c>
      <x:c r="H30" s="12" t="n">
        <x:f>COUNTIFS(QACases[Jurisdiction],A30,QACases[Status],"BLOCKED")</x:f>
        <x:v>0</x:v>
      </x:c>
      <x:c r="I30" s="12" t="n">
        <x:f>COUNTIFS(QACases[Jurisdiction],A30,QACases[Status],"STALE")</x:f>
        <x:v>0</x:v>
      </x:c>
      <x:c r="J30" s="12" t="str">
        <x:v>SCOPE NOT LOADED</x:v>
      </x:c>
      <x:c r="K30" s="12" t="str"/>
    </x:row>
    <x:row r="31" ht="46" customHeight="1">
      <x:c r="A31" s="12" t="str">
        <x:v>MT</x:v>
      </x:c>
      <x:c r="B31" s="12" t="str">
        <x:v>Montana</x:v>
      </x:c>
      <x:c r="C31" s="12"/>
      <x:c r="D31" s="12"/>
      <x:c r="E31" s="12" t="n">
        <x:f>COUNTIF(QACases[Jurisdiction],A31)</x:f>
        <x:v>0</x:v>
      </x:c>
      <x:c r="F31" s="12" t="n">
        <x:f>COUNTIFS(QACases[Jurisdiction],A31,QACases[Status],"PASS")</x:f>
        <x:v>0</x:v>
      </x:c>
      <x:c r="G31" s="12" t="n">
        <x:f>COUNTIFS(QACases[Jurisdiction],A31,QACases[Status],"FAIL")</x:f>
        <x:v>0</x:v>
      </x:c>
      <x:c r="H31" s="12" t="n">
        <x:f>COUNTIFS(QACases[Jurisdiction],A31,QACases[Status],"BLOCKED")</x:f>
        <x:v>0</x:v>
      </x:c>
      <x:c r="I31" s="12" t="n">
        <x:f>COUNTIFS(QACases[Jurisdiction],A31,QACases[Status],"STALE")</x:f>
        <x:v>0</x:v>
      </x:c>
      <x:c r="J31" s="12" t="str">
        <x:v>SCOPE NOT LOADED</x:v>
      </x:c>
      <x:c r="K31" s="12" t="str"/>
    </x:row>
    <x:row r="32" ht="46" customHeight="1">
      <x:c r="A32" s="12" t="str">
        <x:v>NE</x:v>
      </x:c>
      <x:c r="B32" s="12" t="str">
        <x:v>Nebraska</x:v>
      </x:c>
      <x:c r="C32" s="12"/>
      <x:c r="D32" s="12"/>
      <x:c r="E32" s="12" t="n">
        <x:f>COUNTIF(QACases[Jurisdiction],A32)</x:f>
        <x:v>0</x:v>
      </x:c>
      <x:c r="F32" s="12" t="n">
        <x:f>COUNTIFS(QACases[Jurisdiction],A32,QACases[Status],"PASS")</x:f>
        <x:v>0</x:v>
      </x:c>
      <x:c r="G32" s="12" t="n">
        <x:f>COUNTIFS(QACases[Jurisdiction],A32,QACases[Status],"FAIL")</x:f>
        <x:v>0</x:v>
      </x:c>
      <x:c r="H32" s="12" t="n">
        <x:f>COUNTIFS(QACases[Jurisdiction],A32,QACases[Status],"BLOCKED")</x:f>
        <x:v>0</x:v>
      </x:c>
      <x:c r="I32" s="12" t="n">
        <x:f>COUNTIFS(QACases[Jurisdiction],A32,QACases[Status],"STALE")</x:f>
        <x:v>0</x:v>
      </x:c>
      <x:c r="J32" s="12" t="str">
        <x:v>SCOPE NOT LOADED</x:v>
      </x:c>
      <x:c r="K32" s="12" t="str"/>
    </x:row>
    <x:row r="33" ht="46" customHeight="1">
      <x:c r="A33" s="12" t="str">
        <x:v>NV</x:v>
      </x:c>
      <x:c r="B33" s="12" t="str">
        <x:v>Nevada</x:v>
      </x:c>
      <x:c r="C33" s="12"/>
      <x:c r="D33" s="12"/>
      <x:c r="E33" s="12" t="n">
        <x:f>COUNTIF(QACases[Jurisdiction],A33)</x:f>
        <x:v>0</x:v>
      </x:c>
      <x:c r="F33" s="12" t="n">
        <x:f>COUNTIFS(QACases[Jurisdiction],A33,QACases[Status],"PASS")</x:f>
        <x:v>0</x:v>
      </x:c>
      <x:c r="G33" s="12" t="n">
        <x:f>COUNTIFS(QACases[Jurisdiction],A33,QACases[Status],"FAIL")</x:f>
        <x:v>0</x:v>
      </x:c>
      <x:c r="H33" s="12" t="n">
        <x:f>COUNTIFS(QACases[Jurisdiction],A33,QACases[Status],"BLOCKED")</x:f>
        <x:v>0</x:v>
      </x:c>
      <x:c r="I33" s="12" t="n">
        <x:f>COUNTIFS(QACases[Jurisdiction],A33,QACases[Status],"STALE")</x:f>
        <x:v>0</x:v>
      </x:c>
      <x:c r="J33" s="12" t="str">
        <x:v>SCOPE NOT LOADED</x:v>
      </x:c>
      <x:c r="K33" s="12" t="str"/>
    </x:row>
    <x:row r="34" ht="46" customHeight="1">
      <x:c r="A34" s="12" t="str">
        <x:v>NH</x:v>
      </x:c>
      <x:c r="B34" s="12" t="str">
        <x:v>New Hampshire</x:v>
      </x:c>
      <x:c r="C34" s="12"/>
      <x:c r="D34" s="12"/>
      <x:c r="E34" s="12" t="n">
        <x:f>COUNTIF(QACases[Jurisdiction],A34)</x:f>
        <x:v>0</x:v>
      </x:c>
      <x:c r="F34" s="12" t="n">
        <x:f>COUNTIFS(QACases[Jurisdiction],A34,QACases[Status],"PASS")</x:f>
        <x:v>0</x:v>
      </x:c>
      <x:c r="G34" s="12" t="n">
        <x:f>COUNTIFS(QACases[Jurisdiction],A34,QACases[Status],"FAIL")</x:f>
        <x:v>0</x:v>
      </x:c>
      <x:c r="H34" s="12" t="n">
        <x:f>COUNTIFS(QACases[Jurisdiction],A34,QACases[Status],"BLOCKED")</x:f>
        <x:v>0</x:v>
      </x:c>
      <x:c r="I34" s="12" t="n">
        <x:f>COUNTIFS(QACases[Jurisdiction],A34,QACases[Status],"STALE")</x:f>
        <x:v>0</x:v>
      </x:c>
      <x:c r="J34" s="12" t="str">
        <x:v>SCOPE NOT LOADED</x:v>
      </x:c>
      <x:c r="K34" s="12" t="str"/>
    </x:row>
    <x:row r="35" ht="46" customHeight="1">
      <x:c r="A35" s="12" t="str">
        <x:v>NJ</x:v>
      </x:c>
      <x:c r="B35" s="12" t="str">
        <x:v>New Jersey</x:v>
      </x:c>
      <x:c r="C35" s="12"/>
      <x:c r="D35" s="12"/>
      <x:c r="E35" s="12" t="n">
        <x:f>COUNTIF(QACases[Jurisdiction],A35)</x:f>
        <x:v>0</x:v>
      </x:c>
      <x:c r="F35" s="12" t="n">
        <x:f>COUNTIFS(QACases[Jurisdiction],A35,QACases[Status],"PASS")</x:f>
        <x:v>0</x:v>
      </x:c>
      <x:c r="G35" s="12" t="n">
        <x:f>COUNTIFS(QACases[Jurisdiction],A35,QACases[Status],"FAIL")</x:f>
        <x:v>0</x:v>
      </x:c>
      <x:c r="H35" s="12" t="n">
        <x:f>COUNTIFS(QACases[Jurisdiction],A35,QACases[Status],"BLOCKED")</x:f>
        <x:v>0</x:v>
      </x:c>
      <x:c r="I35" s="12" t="n">
        <x:f>COUNTIFS(QACases[Jurisdiction],A35,QACases[Status],"STALE")</x:f>
        <x:v>0</x:v>
      </x:c>
      <x:c r="J35" s="12" t="str">
        <x:v>SCOPE NOT LOADED</x:v>
      </x:c>
      <x:c r="K35" s="12" t="str"/>
    </x:row>
    <x:row r="36" ht="46" customHeight="1">
      <x:c r="A36" s="12" t="str">
        <x:v>NM</x:v>
      </x:c>
      <x:c r="B36" s="12" t="str">
        <x:v>New Mexico</x:v>
      </x:c>
      <x:c r="C36" s="12"/>
      <x:c r="D36" s="12"/>
      <x:c r="E36" s="12" t="n">
        <x:f>COUNTIF(QACases[Jurisdiction],A36)</x:f>
        <x:v>0</x:v>
      </x:c>
      <x:c r="F36" s="12" t="n">
        <x:f>COUNTIFS(QACases[Jurisdiction],A36,QACases[Status],"PASS")</x:f>
        <x:v>0</x:v>
      </x:c>
      <x:c r="G36" s="12" t="n">
        <x:f>COUNTIFS(QACases[Jurisdiction],A36,QACases[Status],"FAIL")</x:f>
        <x:v>0</x:v>
      </x:c>
      <x:c r="H36" s="12" t="n">
        <x:f>COUNTIFS(QACases[Jurisdiction],A36,QACases[Status],"BLOCKED")</x:f>
        <x:v>0</x:v>
      </x:c>
      <x:c r="I36" s="12" t="n">
        <x:f>COUNTIFS(QACases[Jurisdiction],A36,QACases[Status],"STALE")</x:f>
        <x:v>0</x:v>
      </x:c>
      <x:c r="J36" s="12" t="str">
        <x:v>SCOPE NOT LOADED</x:v>
      </x:c>
      <x:c r="K36" s="12" t="str"/>
    </x:row>
    <x:row r="37" ht="46" customHeight="1">
      <x:c r="A37" s="12" t="str">
        <x:v>NY</x:v>
      </x:c>
      <x:c r="B37" s="12" t="str">
        <x:v>New York</x:v>
      </x:c>
      <x:c r="C37" s="12"/>
      <x:c r="D37" s="12"/>
      <x:c r="E37" s="12" t="n">
        <x:f>COUNTIF(QACases[Jurisdiction],A37)</x:f>
        <x:v>0</x:v>
      </x:c>
      <x:c r="F37" s="12" t="n">
        <x:f>COUNTIFS(QACases[Jurisdiction],A37,QACases[Status],"PASS")</x:f>
        <x:v>0</x:v>
      </x:c>
      <x:c r="G37" s="12" t="n">
        <x:f>COUNTIFS(QACases[Jurisdiction],A37,QACases[Status],"FAIL")</x:f>
        <x:v>0</x:v>
      </x:c>
      <x:c r="H37" s="12" t="n">
        <x:f>COUNTIFS(QACases[Jurisdiction],A37,QACases[Status],"BLOCKED")</x:f>
        <x:v>0</x:v>
      </x:c>
      <x:c r="I37" s="12" t="n">
        <x:f>COUNTIFS(QACases[Jurisdiction],A37,QACases[Status],"STALE")</x:f>
        <x:v>0</x:v>
      </x:c>
      <x:c r="J37" s="12" t="str">
        <x:v>SCOPE NOT LOADED</x:v>
      </x:c>
      <x:c r="K37" s="12" t="str"/>
    </x:row>
    <x:row r="38" ht="46" customHeight="1">
      <x:c r="A38" s="12" t="str">
        <x:v>NC</x:v>
      </x:c>
      <x:c r="B38" s="12" t="str">
        <x:v>North Carolina</x:v>
      </x:c>
      <x:c r="C38" s="12"/>
      <x:c r="D38" s="12"/>
      <x:c r="E38" s="12" t="n">
        <x:f>COUNTIF(QACases[Jurisdiction],A38)</x:f>
        <x:v>0</x:v>
      </x:c>
      <x:c r="F38" s="12" t="n">
        <x:f>COUNTIFS(QACases[Jurisdiction],A38,QACases[Status],"PASS")</x:f>
        <x:v>0</x:v>
      </x:c>
      <x:c r="G38" s="12" t="n">
        <x:f>COUNTIFS(QACases[Jurisdiction],A38,QACases[Status],"FAIL")</x:f>
        <x:v>0</x:v>
      </x:c>
      <x:c r="H38" s="12" t="n">
        <x:f>COUNTIFS(QACases[Jurisdiction],A38,QACases[Status],"BLOCKED")</x:f>
        <x:v>0</x:v>
      </x:c>
      <x:c r="I38" s="12" t="n">
        <x:f>COUNTIFS(QACases[Jurisdiction],A38,QACases[Status],"STALE")</x:f>
        <x:v>0</x:v>
      </x:c>
      <x:c r="J38" s="12" t="str">
        <x:v>SCOPE NOT LOADED</x:v>
      </x:c>
      <x:c r="K38" s="12" t="str"/>
    </x:row>
    <x:row r="39" ht="46" customHeight="1">
      <x:c r="A39" s="12" t="str">
        <x:v>ND</x:v>
      </x:c>
      <x:c r="B39" s="12" t="str">
        <x:v>North Dakota</x:v>
      </x:c>
      <x:c r="C39" s="12"/>
      <x:c r="D39" s="12"/>
      <x:c r="E39" s="12" t="n">
        <x:f>COUNTIF(QACases[Jurisdiction],A39)</x:f>
        <x:v>0</x:v>
      </x:c>
      <x:c r="F39" s="12" t="n">
        <x:f>COUNTIFS(QACases[Jurisdiction],A39,QACases[Status],"PASS")</x:f>
        <x:v>0</x:v>
      </x:c>
      <x:c r="G39" s="12" t="n">
        <x:f>COUNTIFS(QACases[Jurisdiction],A39,QACases[Status],"FAIL")</x:f>
        <x:v>0</x:v>
      </x:c>
      <x:c r="H39" s="12" t="n">
        <x:f>COUNTIFS(QACases[Jurisdiction],A39,QACases[Status],"BLOCKED")</x:f>
        <x:v>0</x:v>
      </x:c>
      <x:c r="I39" s="12" t="n">
        <x:f>COUNTIFS(QACases[Jurisdiction],A39,QACases[Status],"STALE")</x:f>
        <x:v>0</x:v>
      </x:c>
      <x:c r="J39" s="12" t="str">
        <x:v>SCOPE NOT LOADED</x:v>
      </x:c>
      <x:c r="K39" s="12" t="str"/>
    </x:row>
    <x:row r="40" ht="46" customHeight="1">
      <x:c r="A40" s="12" t="str">
        <x:v>OH</x:v>
      </x:c>
      <x:c r="B40" s="12" t="str">
        <x:v>Ohio</x:v>
      </x:c>
      <x:c r="C40" s="12"/>
      <x:c r="D40" s="12"/>
      <x:c r="E40" s="12" t="n">
        <x:f>COUNTIF(QACases[Jurisdiction],A40)</x:f>
        <x:v>0</x:v>
      </x:c>
      <x:c r="F40" s="12" t="n">
        <x:f>COUNTIFS(QACases[Jurisdiction],A40,QACases[Status],"PASS")</x:f>
        <x:v>0</x:v>
      </x:c>
      <x:c r="G40" s="12" t="n">
        <x:f>COUNTIFS(QACases[Jurisdiction],A40,QACases[Status],"FAIL")</x:f>
        <x:v>0</x:v>
      </x:c>
      <x:c r="H40" s="12" t="n">
        <x:f>COUNTIFS(QACases[Jurisdiction],A40,QACases[Status],"BLOCKED")</x:f>
        <x:v>0</x:v>
      </x:c>
      <x:c r="I40" s="12" t="n">
        <x:f>COUNTIFS(QACases[Jurisdiction],A40,QACases[Status],"STALE")</x:f>
        <x:v>0</x:v>
      </x:c>
      <x:c r="J40" s="12" t="str">
        <x:v>SCOPE NOT LOADED</x:v>
      </x:c>
      <x:c r="K40" s="12" t="str"/>
    </x:row>
    <x:row r="41" ht="46" customHeight="1">
      <x:c r="A41" s="12" t="str">
        <x:v>OK</x:v>
      </x:c>
      <x:c r="B41" s="12" t="str">
        <x:v>Oklahoma</x:v>
      </x:c>
      <x:c r="C41" s="12"/>
      <x:c r="D41" s="12"/>
      <x:c r="E41" s="12" t="n">
        <x:f>COUNTIF(QACases[Jurisdiction],A41)</x:f>
        <x:v>0</x:v>
      </x:c>
      <x:c r="F41" s="12" t="n">
        <x:f>COUNTIFS(QACases[Jurisdiction],A41,QACases[Status],"PASS")</x:f>
        <x:v>0</x:v>
      </x:c>
      <x:c r="G41" s="12" t="n">
        <x:f>COUNTIFS(QACases[Jurisdiction],A41,QACases[Status],"FAIL")</x:f>
        <x:v>0</x:v>
      </x:c>
      <x:c r="H41" s="12" t="n">
        <x:f>COUNTIFS(QACases[Jurisdiction],A41,QACases[Status],"BLOCKED")</x:f>
        <x:v>0</x:v>
      </x:c>
      <x:c r="I41" s="12" t="n">
        <x:f>COUNTIFS(QACases[Jurisdiction],A41,QACases[Status],"STALE")</x:f>
        <x:v>0</x:v>
      </x:c>
      <x:c r="J41" s="12" t="str">
        <x:v>SCOPE NOT LOADED</x:v>
      </x:c>
      <x:c r="K41" s="12" t="str"/>
    </x:row>
    <x:row r="42" ht="46" customHeight="1">
      <x:c r="A42" s="12" t="str">
        <x:v>OR</x:v>
      </x:c>
      <x:c r="B42" s="12" t="str">
        <x:v>Oregon</x:v>
      </x:c>
      <x:c r="C42" s="12"/>
      <x:c r="D42" s="12"/>
      <x:c r="E42" s="12" t="n">
        <x:f>COUNTIF(QACases[Jurisdiction],A42)</x:f>
        <x:v>0</x:v>
      </x:c>
      <x:c r="F42" s="12" t="n">
        <x:f>COUNTIFS(QACases[Jurisdiction],A42,QACases[Status],"PASS")</x:f>
        <x:v>0</x:v>
      </x:c>
      <x:c r="G42" s="12" t="n">
        <x:f>COUNTIFS(QACases[Jurisdiction],A42,QACases[Status],"FAIL")</x:f>
        <x:v>0</x:v>
      </x:c>
      <x:c r="H42" s="12" t="n">
        <x:f>COUNTIFS(QACases[Jurisdiction],A42,QACases[Status],"BLOCKED")</x:f>
        <x:v>0</x:v>
      </x:c>
      <x:c r="I42" s="12" t="n">
        <x:f>COUNTIFS(QACases[Jurisdiction],A42,QACases[Status],"STALE")</x:f>
        <x:v>0</x:v>
      </x:c>
      <x:c r="J42" s="12" t="str">
        <x:v>SCOPE NOT LOADED</x:v>
      </x:c>
      <x:c r="K42" s="12" t="str"/>
    </x:row>
    <x:row r="43" ht="46" customHeight="1">
      <x:c r="A43" s="12" t="str">
        <x:v>PA</x:v>
      </x:c>
      <x:c r="B43" s="12" t="str">
        <x:v>Pennsylvania</x:v>
      </x:c>
      <x:c r="C43" s="12"/>
      <x:c r="D43" s="12"/>
      <x:c r="E43" s="12" t="n">
        <x:f>COUNTIF(QACases[Jurisdiction],A43)</x:f>
        <x:v>0</x:v>
      </x:c>
      <x:c r="F43" s="12" t="n">
        <x:f>COUNTIFS(QACases[Jurisdiction],A43,QACases[Status],"PASS")</x:f>
        <x:v>0</x:v>
      </x:c>
      <x:c r="G43" s="12" t="n">
        <x:f>COUNTIFS(QACases[Jurisdiction],A43,QACases[Status],"FAIL")</x:f>
        <x:v>0</x:v>
      </x:c>
      <x:c r="H43" s="12" t="n">
        <x:f>COUNTIFS(QACases[Jurisdiction],A43,QACases[Status],"BLOCKED")</x:f>
        <x:v>0</x:v>
      </x:c>
      <x:c r="I43" s="12" t="n">
        <x:f>COUNTIFS(QACases[Jurisdiction],A43,QACases[Status],"STALE")</x:f>
        <x:v>0</x:v>
      </x:c>
      <x:c r="J43" s="12" t="str">
        <x:v>SCOPE NOT LOADED</x:v>
      </x:c>
      <x:c r="K43" s="12" t="str"/>
    </x:row>
    <x:row r="44" ht="46" customHeight="1">
      <x:c r="A44" s="12" t="str">
        <x:v>RI</x:v>
      </x:c>
      <x:c r="B44" s="12" t="str">
        <x:v>Rhode Island</x:v>
      </x:c>
      <x:c r="C44" s="12"/>
      <x:c r="D44" s="12"/>
      <x:c r="E44" s="12" t="n">
        <x:f>COUNTIF(QACases[Jurisdiction],A44)</x:f>
        <x:v>0</x:v>
      </x:c>
      <x:c r="F44" s="12" t="n">
        <x:f>COUNTIFS(QACases[Jurisdiction],A44,QACases[Status],"PASS")</x:f>
        <x:v>0</x:v>
      </x:c>
      <x:c r="G44" s="12" t="n">
        <x:f>COUNTIFS(QACases[Jurisdiction],A44,QACases[Status],"FAIL")</x:f>
        <x:v>0</x:v>
      </x:c>
      <x:c r="H44" s="12" t="n">
        <x:f>COUNTIFS(QACases[Jurisdiction],A44,QACases[Status],"BLOCKED")</x:f>
        <x:v>0</x:v>
      </x:c>
      <x:c r="I44" s="12" t="n">
        <x:f>COUNTIFS(QACases[Jurisdiction],A44,QACases[Status],"STALE")</x:f>
        <x:v>0</x:v>
      </x:c>
      <x:c r="J44" s="12" t="str">
        <x:v>SCOPE NOT LOADED</x:v>
      </x:c>
      <x:c r="K44" s="12" t="str"/>
    </x:row>
    <x:row r="45" ht="46" customHeight="1">
      <x:c r="A45" s="12" t="str">
        <x:v>SC</x:v>
      </x:c>
      <x:c r="B45" s="12" t="str">
        <x:v>South Carolina</x:v>
      </x:c>
      <x:c r="C45" s="12"/>
      <x:c r="D45" s="12"/>
      <x:c r="E45" s="12" t="n">
        <x:f>COUNTIF(QACases[Jurisdiction],A45)</x:f>
        <x:v>0</x:v>
      </x:c>
      <x:c r="F45" s="12" t="n">
        <x:f>COUNTIFS(QACases[Jurisdiction],A45,QACases[Status],"PASS")</x:f>
        <x:v>0</x:v>
      </x:c>
      <x:c r="G45" s="12" t="n">
        <x:f>COUNTIFS(QACases[Jurisdiction],A45,QACases[Status],"FAIL")</x:f>
        <x:v>0</x:v>
      </x:c>
      <x:c r="H45" s="12" t="n">
        <x:f>COUNTIFS(QACases[Jurisdiction],A45,QACases[Status],"BLOCKED")</x:f>
        <x:v>0</x:v>
      </x:c>
      <x:c r="I45" s="12" t="n">
        <x:f>COUNTIFS(QACases[Jurisdiction],A45,QACases[Status],"STALE")</x:f>
        <x:v>0</x:v>
      </x:c>
      <x:c r="J45" s="12" t="str">
        <x:v>SCOPE NOT LOADED</x:v>
      </x:c>
      <x:c r="K45" s="12" t="str"/>
    </x:row>
    <x:row r="46" ht="46" customHeight="1">
      <x:c r="A46" s="12" t="str">
        <x:v>SD</x:v>
      </x:c>
      <x:c r="B46" s="12" t="str">
        <x:v>South Dakota</x:v>
      </x:c>
      <x:c r="C46" s="12"/>
      <x:c r="D46" s="12"/>
      <x:c r="E46" s="12" t="n">
        <x:f>COUNTIF(QACases[Jurisdiction],A46)</x:f>
        <x:v>0</x:v>
      </x:c>
      <x:c r="F46" s="12" t="n">
        <x:f>COUNTIFS(QACases[Jurisdiction],A46,QACases[Status],"PASS")</x:f>
        <x:v>0</x:v>
      </x:c>
      <x:c r="G46" s="12" t="n">
        <x:f>COUNTIFS(QACases[Jurisdiction],A46,QACases[Status],"FAIL")</x:f>
        <x:v>0</x:v>
      </x:c>
      <x:c r="H46" s="12" t="n">
        <x:f>COUNTIFS(QACases[Jurisdiction],A46,QACases[Status],"BLOCKED")</x:f>
        <x:v>0</x:v>
      </x:c>
      <x:c r="I46" s="12" t="n">
        <x:f>COUNTIFS(QACases[Jurisdiction],A46,QACases[Status],"STALE")</x:f>
        <x:v>0</x:v>
      </x:c>
      <x:c r="J46" s="12" t="str">
        <x:v>SCOPE NOT LOADED</x:v>
      </x:c>
      <x:c r="K46" s="12" t="str"/>
    </x:row>
    <x:row r="47" ht="46" customHeight="1">
      <x:c r="A47" s="12" t="str">
        <x:v>TN</x:v>
      </x:c>
      <x:c r="B47" s="12" t="str">
        <x:v>Tennessee</x:v>
      </x:c>
      <x:c r="C47" s="12"/>
      <x:c r="D47" s="12"/>
      <x:c r="E47" s="12" t="n">
        <x:f>COUNTIF(QACases[Jurisdiction],A47)</x:f>
        <x:v>0</x:v>
      </x:c>
      <x:c r="F47" s="12" t="n">
        <x:f>COUNTIFS(QACases[Jurisdiction],A47,QACases[Status],"PASS")</x:f>
        <x:v>0</x:v>
      </x:c>
      <x:c r="G47" s="12" t="n">
        <x:f>COUNTIFS(QACases[Jurisdiction],A47,QACases[Status],"FAIL")</x:f>
        <x:v>0</x:v>
      </x:c>
      <x:c r="H47" s="12" t="n">
        <x:f>COUNTIFS(QACases[Jurisdiction],A47,QACases[Status],"BLOCKED")</x:f>
        <x:v>0</x:v>
      </x:c>
      <x:c r="I47" s="12" t="n">
        <x:f>COUNTIFS(QACases[Jurisdiction],A47,QACases[Status],"STALE")</x:f>
        <x:v>0</x:v>
      </x:c>
      <x:c r="J47" s="12" t="str">
        <x:v>SCOPE NOT LOADED</x:v>
      </x:c>
      <x:c r="K47" s="12" t="str"/>
    </x:row>
    <x:row r="48" ht="46" customHeight="1">
      <x:c r="A48" s="12" t="str">
        <x:v>TX</x:v>
      </x:c>
      <x:c r="B48" s="12" t="str">
        <x:v>Texas</x:v>
      </x:c>
      <x:c r="C48" s="12"/>
      <x:c r="D48" s="12"/>
      <x:c r="E48" s="12" t="n">
        <x:f>COUNTIF(QACases[Jurisdiction],A48)</x:f>
        <x:v>0</x:v>
      </x:c>
      <x:c r="F48" s="12" t="n">
        <x:f>COUNTIFS(QACases[Jurisdiction],A48,QACases[Status],"PASS")</x:f>
        <x:v>0</x:v>
      </x:c>
      <x:c r="G48" s="12" t="n">
        <x:f>COUNTIFS(QACases[Jurisdiction],A48,QACases[Status],"FAIL")</x:f>
        <x:v>0</x:v>
      </x:c>
      <x:c r="H48" s="12" t="n">
        <x:f>COUNTIFS(QACases[Jurisdiction],A48,QACases[Status],"BLOCKED")</x:f>
        <x:v>0</x:v>
      </x:c>
      <x:c r="I48" s="12" t="n">
        <x:f>COUNTIFS(QACases[Jurisdiction],A48,QACases[Status],"STALE")</x:f>
        <x:v>0</x:v>
      </x:c>
      <x:c r="J48" s="12" t="str">
        <x:v>SCOPE NOT LOADED</x:v>
      </x:c>
      <x:c r="K48" s="12" t="str"/>
    </x:row>
    <x:row r="49" ht="46" customHeight="1">
      <x:c r="A49" s="12" t="str">
        <x:v>UT</x:v>
      </x:c>
      <x:c r="B49" s="12" t="str">
        <x:v>Utah</x:v>
      </x:c>
      <x:c r="C49" s="12"/>
      <x:c r="D49" s="12"/>
      <x:c r="E49" s="12" t="n">
        <x:f>COUNTIF(QACases[Jurisdiction],A49)</x:f>
        <x:v>0</x:v>
      </x:c>
      <x:c r="F49" s="12" t="n">
        <x:f>COUNTIFS(QACases[Jurisdiction],A49,QACases[Status],"PASS")</x:f>
        <x:v>0</x:v>
      </x:c>
      <x:c r="G49" s="12" t="n">
        <x:f>COUNTIFS(QACases[Jurisdiction],A49,QACases[Status],"FAIL")</x:f>
        <x:v>0</x:v>
      </x:c>
      <x:c r="H49" s="12" t="n">
        <x:f>COUNTIFS(QACases[Jurisdiction],A49,QACases[Status],"BLOCKED")</x:f>
        <x:v>0</x:v>
      </x:c>
      <x:c r="I49" s="12" t="n">
        <x:f>COUNTIFS(QACases[Jurisdiction],A49,QACases[Status],"STALE")</x:f>
        <x:v>0</x:v>
      </x:c>
      <x:c r="J49" s="12" t="str">
        <x:v>SCOPE NOT LOADED</x:v>
      </x:c>
      <x:c r="K49" s="12" t="str"/>
    </x:row>
    <x:row r="50" ht="46" customHeight="1">
      <x:c r="A50" s="12" t="str">
        <x:v>VT</x:v>
      </x:c>
      <x:c r="B50" s="12" t="str">
        <x:v>Vermont</x:v>
      </x:c>
      <x:c r="C50" s="12"/>
      <x:c r="D50" s="12"/>
      <x:c r="E50" s="12" t="n">
        <x:f>COUNTIF(QACases[Jurisdiction],A50)</x:f>
        <x:v>0</x:v>
      </x:c>
      <x:c r="F50" s="12" t="n">
        <x:f>COUNTIFS(QACases[Jurisdiction],A50,QACases[Status],"PASS")</x:f>
        <x:v>0</x:v>
      </x:c>
      <x:c r="G50" s="12" t="n">
        <x:f>COUNTIFS(QACases[Jurisdiction],A50,QACases[Status],"FAIL")</x:f>
        <x:v>0</x:v>
      </x:c>
      <x:c r="H50" s="12" t="n">
        <x:f>COUNTIFS(QACases[Jurisdiction],A50,QACases[Status],"BLOCKED")</x:f>
        <x:v>0</x:v>
      </x:c>
      <x:c r="I50" s="12" t="n">
        <x:f>COUNTIFS(QACases[Jurisdiction],A50,QACases[Status],"STALE")</x:f>
        <x:v>0</x:v>
      </x:c>
      <x:c r="J50" s="12" t="str">
        <x:v>SCOPE NOT LOADED</x:v>
      </x:c>
      <x:c r="K50" s="12" t="str"/>
    </x:row>
    <x:row r="51" ht="46" customHeight="1">
      <x:c r="A51" s="12" t="str">
        <x:v>VA</x:v>
      </x:c>
      <x:c r="B51" s="12" t="str">
        <x:v>Virginia</x:v>
      </x:c>
      <x:c r="C51" s="12"/>
      <x:c r="D51" s="12"/>
      <x:c r="E51" s="12" t="n">
        <x:f>COUNTIF(QACases[Jurisdiction],A51)</x:f>
        <x:v>0</x:v>
      </x:c>
      <x:c r="F51" s="12" t="n">
        <x:f>COUNTIFS(QACases[Jurisdiction],A51,QACases[Status],"PASS")</x:f>
        <x:v>0</x:v>
      </x:c>
      <x:c r="G51" s="12" t="n">
        <x:f>COUNTIFS(QACases[Jurisdiction],A51,QACases[Status],"FAIL")</x:f>
        <x:v>0</x:v>
      </x:c>
      <x:c r="H51" s="12" t="n">
        <x:f>COUNTIFS(QACases[Jurisdiction],A51,QACases[Status],"BLOCKED")</x:f>
        <x:v>0</x:v>
      </x:c>
      <x:c r="I51" s="12" t="n">
        <x:f>COUNTIFS(QACases[Jurisdiction],A51,QACases[Status],"STALE")</x:f>
        <x:v>0</x:v>
      </x:c>
      <x:c r="J51" s="12" t="str">
        <x:v>SCOPE NOT LOADED</x:v>
      </x:c>
      <x:c r="K51" s="12" t="str"/>
    </x:row>
    <x:row r="52" ht="46" customHeight="1">
      <x:c r="A52" s="12" t="str">
        <x:v>WA</x:v>
      </x:c>
      <x:c r="B52" s="12" t="str">
        <x:v>Washington</x:v>
      </x:c>
      <x:c r="C52" s="12"/>
      <x:c r="D52" s="12"/>
      <x:c r="E52" s="12" t="n">
        <x:f>COUNTIF(QACases[Jurisdiction],A52)</x:f>
        <x:v>0</x:v>
      </x:c>
      <x:c r="F52" s="12" t="n">
        <x:f>COUNTIFS(QACases[Jurisdiction],A52,QACases[Status],"PASS")</x:f>
        <x:v>0</x:v>
      </x:c>
      <x:c r="G52" s="12" t="n">
        <x:f>COUNTIFS(QACases[Jurisdiction],A52,QACases[Status],"FAIL")</x:f>
        <x:v>0</x:v>
      </x:c>
      <x:c r="H52" s="12" t="n">
        <x:f>COUNTIFS(QACases[Jurisdiction],A52,QACases[Status],"BLOCKED")</x:f>
        <x:v>0</x:v>
      </x:c>
      <x:c r="I52" s="12" t="n">
        <x:f>COUNTIFS(QACases[Jurisdiction],A52,QACases[Status],"STALE")</x:f>
        <x:v>0</x:v>
      </x:c>
      <x:c r="J52" s="12" t="str">
        <x:v>SCOPE NOT LOADED</x:v>
      </x:c>
      <x:c r="K52" s="12" t="str"/>
    </x:row>
    <x:row r="53" ht="46" customHeight="1">
      <x:c r="A53" s="12" t="str">
        <x:v>WV</x:v>
      </x:c>
      <x:c r="B53" s="12" t="str">
        <x:v>West Virginia</x:v>
      </x:c>
      <x:c r="C53" s="12"/>
      <x:c r="D53" s="12"/>
      <x:c r="E53" s="12" t="n">
        <x:f>COUNTIF(QACases[Jurisdiction],A53)</x:f>
        <x:v>0</x:v>
      </x:c>
      <x:c r="F53" s="12" t="n">
        <x:f>COUNTIFS(QACases[Jurisdiction],A53,QACases[Status],"PASS")</x:f>
        <x:v>0</x:v>
      </x:c>
      <x:c r="G53" s="12" t="n">
        <x:f>COUNTIFS(QACases[Jurisdiction],A53,QACases[Status],"FAIL")</x:f>
        <x:v>0</x:v>
      </x:c>
      <x:c r="H53" s="12" t="n">
        <x:f>COUNTIFS(QACases[Jurisdiction],A53,QACases[Status],"BLOCKED")</x:f>
        <x:v>0</x:v>
      </x:c>
      <x:c r="I53" s="12" t="n">
        <x:f>COUNTIFS(QACases[Jurisdiction],A53,QACases[Status],"STALE")</x:f>
        <x:v>0</x:v>
      </x:c>
      <x:c r="J53" s="12" t="str">
        <x:v>SCOPE NOT LOADED</x:v>
      </x:c>
      <x:c r="K53" s="12" t="str"/>
    </x:row>
    <x:row r="54" ht="46" customHeight="1">
      <x:c r="A54" s="12" t="str">
        <x:v>WI</x:v>
      </x:c>
      <x:c r="B54" s="12" t="str">
        <x:v>Wisconsin</x:v>
      </x:c>
      <x:c r="C54" s="12"/>
      <x:c r="D54" s="12"/>
      <x:c r="E54" s="12" t="n">
        <x:f>COUNTIF(QACases[Jurisdiction],A54)</x:f>
        <x:v>0</x:v>
      </x:c>
      <x:c r="F54" s="12" t="n">
        <x:f>COUNTIFS(QACases[Jurisdiction],A54,QACases[Status],"PASS")</x:f>
        <x:v>0</x:v>
      </x:c>
      <x:c r="G54" s="12" t="n">
        <x:f>COUNTIFS(QACases[Jurisdiction],A54,QACases[Status],"FAIL")</x:f>
        <x:v>0</x:v>
      </x:c>
      <x:c r="H54" s="12" t="n">
        <x:f>COUNTIFS(QACases[Jurisdiction],A54,QACases[Status],"BLOCKED")</x:f>
        <x:v>0</x:v>
      </x:c>
      <x:c r="I54" s="12" t="n">
        <x:f>COUNTIFS(QACases[Jurisdiction],A54,QACases[Status],"STALE")</x:f>
        <x:v>0</x:v>
      </x:c>
      <x:c r="J54" s="12" t="str">
        <x:v>SCOPE NOT LOADED</x:v>
      </x:c>
      <x:c r="K54" s="12" t="str"/>
    </x:row>
    <x:row r="55" ht="46" customHeight="1">
      <x:c r="A55" s="12" t="str">
        <x:v>WY</x:v>
      </x:c>
      <x:c r="B55" s="12" t="str">
        <x:v>Wyoming</x:v>
      </x:c>
      <x:c r="C55" s="12"/>
      <x:c r="D55" s="12"/>
      <x:c r="E55" s="12" t="n">
        <x:f>COUNTIF(QACases[Jurisdiction],A55)</x:f>
        <x:v>0</x:v>
      </x:c>
      <x:c r="F55" s="12" t="n">
        <x:f>COUNTIFS(QACases[Jurisdiction],A55,QACases[Status],"PASS")</x:f>
        <x:v>0</x:v>
      </x:c>
      <x:c r="G55" s="12" t="n">
        <x:f>COUNTIFS(QACases[Jurisdiction],A55,QACases[Status],"FAIL")</x:f>
        <x:v>0</x:v>
      </x:c>
      <x:c r="H55" s="12" t="n">
        <x:f>COUNTIFS(QACases[Jurisdiction],A55,QACases[Status],"BLOCKED")</x:f>
        <x:v>0</x:v>
      </x:c>
      <x:c r="I55" s="12" t="n">
        <x:f>COUNTIFS(QACases[Jurisdiction],A55,QACases[Status],"STALE")</x:f>
        <x:v>0</x:v>
      </x:c>
      <x:c r="J55" s="12" t="str">
        <x:v>SCOPE NOT LOADED</x:v>
      </x:c>
      <x:c r="K55" s="12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4a17af79f4e47f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32" hidden="0" customWidth="1"/>
    <x:col min="4" max="4" width="40" hidden="0" customWidth="1"/>
    <x:col min="5" max="5" width="14" hidden="0" customWidth="1"/>
    <x:col min="6" max="6" width="16" hidden="0" customWidth="1"/>
    <x:col min="7" max="7" width="40" hidden="0" customWidth="1"/>
    <x:col min="8" max="8" width="20" hidden="0" customWidth="1"/>
    <x:col min="9" max="9" width="20" hidden="0" customWidth="1"/>
    <x:col min="10" max="10" width="36" hidden="0" customWidth="1"/>
    <x:col min="11" max="11" width="40" hidden="0" customWidth="1"/>
    <x:col min="12" max="12" width="20" hidden="0" customWidth="1"/>
    <x:col min="13" max="13" width="16" hidden="0" customWidth="1"/>
  </x:cols>
  <x:sheetData>
    <x:row r="1" ht="32" customHeight="1">
      <x:c r="A1" s="3" t="str">
        <x:v>FINAL QA / DOCUMENT AND PAGE COVERAGE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44" customHeight="1">
      <x:c r="A2" s="7" t="str">
        <x:v>Track every unique required artifact and all pages. Exact hash reuse requires an explicit coverage mapping. A thumbnail/contact sheet or page-count total is not visual review.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8" t="str">
        <x:v>Artifact ID</x:v>
      </x:c>
      <x:c r="B4" s="18" t="str">
        <x:v>Route / component</x:v>
      </x:c>
      <x:c r="C4" s="18" t="str">
        <x:v>Variant / locale / mode</x:v>
      </x:c>
      <x:c r="D4" s="18" t="str">
        <x:v>SHA-256</x:v>
      </x:c>
      <x:c r="E4" s="18" t="str">
        <x:v>Total pages</x:v>
      </x:c>
      <x:c r="F4" s="18" t="str">
        <x:v>Pages reviewed</x:v>
      </x:c>
      <x:c r="G4" s="18" t="str">
        <x:v>Page-range review evidence</x:v>
      </x:c>
      <x:c r="H4" s="18" t="str">
        <x:v>Semantic status</x:v>
      </x:c>
      <x:c r="I4" s="18" t="str">
        <x:v>Visual status</x:v>
      </x:c>
      <x:c r="J4" s="18" t="str">
        <x:v>Candidate / template version</x:v>
      </x:c>
      <x:c r="K4" s="18" t="str">
        <x:v>Source / approval evidence</x:v>
      </x:c>
      <x:c r="L4" s="18" t="str">
        <x:v>Reviewer</x:v>
      </x:c>
      <x:c r="M4" s="18" t="str">
        <x:v>Defect ID</x:v>
      </x:c>
    </x:row>
    <x:row r="5" ht="82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</x:row>
  </x:sheetData>
  <x:mergeCells>
    <x:mergeCell ref="A1:M1"/>
    <x:mergeCell ref="A2:M2"/>
  </x:mergeCells>
  <x:conditionalFormatting sqref="H5:H1000">
    <x:cfRule type="expression" dxfId="15" priority="1">
      <x:formula>H5="PASS"</x:formula>
    </x:cfRule>
    <x:cfRule type="expression" dxfId="16" priority="2">
      <x:formula>H5="FAIL"</x:formula>
    </x:cfRule>
    <x:cfRule type="expression" dxfId="17" priority="3">
      <x:formula>H5="BLOCKED"</x:formula>
    </x:cfRule>
    <x:cfRule type="expression" dxfId="18" priority="4">
      <x:formula>H5="STALE"</x:formula>
    </x:cfRule>
    <x:cfRule type="expression" dxfId="19" priority="5">
      <x:formula>H5="IN PROGRESS"</x:formula>
    </x:cfRule>
  </x:conditionalFormatting>
  <x:conditionalFormatting sqref="I5:I1000">
    <x:cfRule type="expression" dxfId="20" priority="6">
      <x:formula>I5="PASS"</x:formula>
    </x:cfRule>
    <x:cfRule type="expression" dxfId="21" priority="7">
      <x:formula>I5="FAIL"</x:formula>
    </x:cfRule>
    <x:cfRule type="expression" dxfId="22" priority="8">
      <x:formula>I5="BLOCKED"</x:formula>
    </x:cfRule>
    <x:cfRule type="expression" dxfId="23" priority="9">
      <x:formula>I5="STALE"</x:formula>
    </x:cfRule>
    <x:cfRule type="expression" dxfId="24" priority="10">
      <x:formula>I5="IN PROGRESS"</x:formula>
    </x:cfRule>
  </x:conditionalFormatting>
  <x:dataValidations count="2">
    <x:dataValidation type="list" sqref="H5:H1000">
      <x:formula1>"NOT RUN,IN PROGRESS,PASS,FAIL,BLOCKED,NOT APPLICABLE,STALE"</x:formula1>
    </x:dataValidation>
    <x:dataValidation type="list" sqref="I5:I1000">
      <x:formula1>"NOT RUN,IN PROGRESS,PASS,FAIL,BLOCKED,NOT APPLICABLE,STALE"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bd988fafad4902"/>
  </x:tableParts>
</x:worksheet>
</file>

<file path=xl/worksheets/sheet7.xml><?xml version="1.0" encoding="utf-8"?>
<ns0:worksheet xmlns:ns0="http://schemas.openxmlformats.org/spreadsheetml/2006/main" xmlns:ns1="http://schemas.openxmlformats.org/officeDocument/2006/relationships">
  <ns0:sheetFormatPr defaultRowHeight="15"/>
  <ns0:cols>
    <ns0:col min="1" max="1" width="18" hidden="0" customWidth="1"/>
    <ns0:col min="2" max="2" width="14" hidden="0" customWidth="1"/>
    <ns0:col min="3" max="3" width="34" hidden="0" customWidth="1"/>
    <ns0:col min="4" max="4" width="40" hidden="0" customWidth="1"/>
    <ns0:col min="5" max="5" width="40" hidden="0" customWidth="1"/>
    <ns0:col min="6" max="6" width="32" hidden="0" customWidth="1"/>
    <ns0:col min="7" max="7" width="22" hidden="0" customWidth="1"/>
    <ns0:col min="8" max="8" width="32" hidden="0" customWidth="1"/>
    <ns0:col min="9" max="9" width="40" hidden="0" customWidth="1"/>
    <ns0:col min="10" max="10" width="40" hidden="0" customWidth="1"/>
    <ns0:col min="11" max="11" width="40" hidden="0" customWidth="1"/>
  </ns0:cols>
  <ns0:sheetData>
    <ns0:row r="1" ht="32" customHeight="1">
      <ns0:c r="A1" s="3" t="str">
        <ns0:v>FINAL QA / DEFECTS AND RETEST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</ns0:row>
    <ns0:row r="2" ht="44" customHeight="1">
      <ns0:c r="A2" s="7" t="str">
        <ns0:v>Link to the existing build issue where available. Severity never waives a required check. One root may affect many cases; every affected instance remains visible until retested.</ns0:v>
      </ns0:c>
      <ns0:c r="B2" s="7"/>
      <ns0:c r="C2" s="7"/>
      <ns0:c r="D2" s="7"/>
      <ns0:c r="E2" s="7"/>
      <ns0:c r="F2" s="7"/>
      <ns0:c r="G2" s="7"/>
      <ns0:c r="H2" s="7"/>
      <ns0:c r="I2" s="7"/>
      <ns0:c r="J2" s="7"/>
      <ns0:c r="K2" s="7"/>
    </ns0:row>
    <ns0:row r="4" ht="32" customHeight="1">
      <ns0:c r="A4" s="18" t="str">
        <ns0:v>Defect ID</ns0:v>
      </ns0:c>
      <ns0:c r="B4" s="18" t="str">
        <ns0:v>Severity</ns0:v>
      </ns0:c>
      <ns0:c r="C4" s="18" t="str">
        <ns0:v>Affected case IDs</ns0:v>
      </ns0:c>
      <ns0:c r="D4" s="18" t="str">
        <ns0:v>Expected vs actual</ns0:v>
      </ns0:c>
      <ns0:c r="E4" s="18" t="str">
        <ns0:v>Reproduction / evidence</ns0:v>
      </ns0:c>
      <ns0:c r="F4" s="18" t="str">
        <ns0:v>Existing issue / owner</ns0:v>
      </ns0:c>
      <ns0:c r="G4" s="18" t="str">
        <ns0:v>State</ns0:v>
      </ns0:c>
      <ns0:c r="H4" s="18" t="str">
        <ns0:v>Fix candidate</ns0:v>
      </ns0:c>
      <ns0:c r="I4" s="18" t="str">
        <ns0:v>Retest evidence</ns0:v>
      </ns0:c>
      <ns0:c r="J4" s="18" t="str">
        <ns0:v>Shared blast radius</ns0:v>
      </ns0:c>
      <ns0:c r="K4" s="18" t="str">
        <ns0:v>Scope / decision notes</ns0:v>
      </ns0:c>
    </ns0:row>
    <ns0:row r="5">
      <ns0:c r="A5" t="inlineStr">
        <ns0:is>
          <ns0:t>CLAUDE-4723-F1-F2</ns0:t>
        </ns0:is>
      </ns0:c>
      <ns0:c r="B5" t="inlineStr">
        <ns0:is>
          <ns0:t>S1</ns0:t>
        </ns0:is>
      </ns0:c>
      <ns0:c r="C5" t="inlineStr">
        <ns0:is>
          <ns0:t>D4-RECOVERY-F1F2</ns0:t>
        </ns0:is>
      </ns0:c>
      <ns0:c r="D5" t="inlineStr">
        <ns0:is>
          <ns0:t>Failed preparation and expiry must preserve authorized completion</ns0:t>
        </ns0:is>
      </ns0:c>
      <ns0:c r="E5" t="inlineStr">
        <ns0:is>
          <ns0:t>CLAUDE_PRODUCT_REVIEW_4723f603 and readiness addendum</ns0:t>
        </ns0:is>
      </ns0:c>
      <ns0:c r="F5" t="inlineStr">
        <ns0:is>
          <ns0:t>Existing productSuccessor work item / Codex</ns0:t>
        </ns0:is>
      </ns0:c>
      <ns0:c r="G5" t="inlineStr">
        <ns0:is>
          <ns0:t>FIXED AWAITING RETEST</ns0:t>
        </ns0:is>
      </ns0:c>
      <ns0:c r="H5" t="inlineStr">
        <ns0:is>
          <ns0:t>Amendment commit containing this record</ns0:t>
        </ns0:is>
      </ns0:c>
      <ns0:c r="I5" t="inlineStr">
        <ns0:is>
          <ns0:t>CODEX_D3_D4_PRODUCT_SUCCESSOR_REVISION/REVIEW.md</ns0:t>
        </ns0:is>
      </ns0:c>
      <ns0:c r="J5" t="inlineStr">
        <ns0:is>
          <ns0:t>Shared Clinic / dependent controls</ns0:t>
        </ns0:is>
      </ns0:c>
      <ns0:c r="K5" t="inlineStr">
        <ns0:is>
          <ns0:t>Independent review and hosted acceptance not waived</ns0:t>
        </ns0:is>
      </ns0:c>
    </ns0:row>
    <ns0:row r="6">
      <ns0:c r="A6" t="inlineStr">
        <ns0:is>
          <ns0:t>CLAUDE-4723-F3</ns0:t>
        </ns0:is>
      </ns0:c>
      <ns0:c r="B6" t="inlineStr">
        <ns0:is>
          <ns0:t>S2</ns0:t>
        </ns0:is>
      </ns0:c>
      <ns0:c r="C6" t="inlineStr">
        <ns0:is>
          <ns0:t>D4-CONNECTED-F3</ns0:t>
        </ns0:is>
      </ns0:c>
      <ns0:c r="D6" t="inlineStr">
        <ns0:is>
          <ns0:t>Successor connected proof must exercise current lifecycle</ns0:t>
        </ns0:is>
      </ns0:c>
      <ns0:c r="E6" t="inlineStr">
        <ns0:is>
          <ns0:t>CLAUDE_PRODUCT_REVIEW_4723f603 and readiness addendum</ns0:t>
        </ns0:is>
      </ns0:c>
      <ns0:c r="F6" t="inlineStr">
        <ns0:is>
          <ns0:t>Existing productSuccessor work item / Codex</ns0:t>
        </ns0:is>
      </ns0:c>
      <ns0:c r="G6" t="inlineStr">
        <ns0:is>
          <ns0:t>FIXED AWAITING RETEST</ns0:t>
        </ns0:is>
      </ns0:c>
      <ns0:c r="H6" t="inlineStr">
        <ns0:is>
          <ns0:t>Amendment commit containing this record</ns0:t>
        </ns0:is>
      </ns0:c>
      <ns0:c r="I6" t="inlineStr">
        <ns0:is>
          <ns0:t>CODEX_D3_D4_PRODUCT_SUCCESSOR_REVISION/REVIEW.md</ns0:t>
        </ns0:is>
      </ns0:c>
      <ns0:c r="J6" t="inlineStr">
        <ns0:is>
          <ns0:t>Shared Clinic / dependent controls</ns0:t>
        </ns0:is>
      </ns0:c>
      <ns0:c r="K6" t="inlineStr">
        <ns0:is>
          <ns0:t>Independent review and hosted acceptance not waived</ns0:t>
        </ns0:is>
      </ns0:c>
    </ns0:row>
    <ns0:row r="7">
      <ns0:c r="A7" t="inlineStr">
        <ns0:is>
          <ns0:t>CLAUDE-4723-F4</ns0:t>
        </ns0:is>
      </ns0:c>
      <ns0:c r="B7" t="inlineStr">
        <ns0:is>
          <ns0:t>S2</ns0:t>
        </ns0:is>
      </ns0:c>
      <ns0:c r="C7" t="inlineStr">
        <ns0:is>
          <ns0:t>D4-ENTRY-F4</ns0:t>
        </ns0:is>
      </ns0:c>
      <ns0:c r="D7" t="inlineStr">
        <ns0:is>
          <ns0:t>Reload recovery must retain original event and reach actual entry</ns0:t>
        </ns0:is>
      </ns0:c>
      <ns0:c r="E7" t="inlineStr">
        <ns0:is>
          <ns0:t>CLAUDE_PRODUCT_REVIEW_4723f603 and readiness addendum</ns0:t>
        </ns0:is>
      </ns0:c>
      <ns0:c r="F7" t="inlineStr">
        <ns0:is>
          <ns0:t>Existing productSuccessor work item / Codex</ns0:t>
        </ns0:is>
      </ns0:c>
      <ns0:c r="G7" t="inlineStr">
        <ns0:is>
          <ns0:t>FIXED AWAITING RETEST</ns0:t>
        </ns0:is>
      </ns0:c>
      <ns0:c r="H7" t="inlineStr">
        <ns0:is>
          <ns0:t>Amendment commit containing this record</ns0:t>
        </ns0:is>
      </ns0:c>
      <ns0:c r="I7" t="inlineStr">
        <ns0:is>
          <ns0:t>CODEX_D3_D4_PRODUCT_SUCCESSOR_REVISION/REVIEW.md</ns0:t>
        </ns0:is>
      </ns0:c>
      <ns0:c r="J7" t="inlineStr">
        <ns0:is>
          <ns0:t>Shared Clinic / dependent controls</ns0:t>
        </ns0:is>
      </ns0:c>
      <ns0:c r="K7" t="inlineStr">
        <ns0:is>
          <ns0:t>Independent review and hosted acceptance not waived</ns0:t>
        </ns0:is>
      </ns0:c>
    </ns0:row>
    <ns0:row r="8">
      <ns0:c r="A8" t="inlineStr">
        <ns0:is>
          <ns0:t>CLAUDE-4723-O3</ns0:t>
        </ns0:is>
      </ns0:c>
      <ns0:c r="B8" t="inlineStr">
        <ns0:is>
          <ns0:t>S1</ns0:t>
        </ns0:is>
      </ns0:c>
      <ns0:c r="C8" t="inlineStr">
        <ns0:is>
          <ns0:t>D4-BOUNDARY-O3</ns0:t>
        </ns0:is>
      </ns0:c>
      <ns0:c r="D8" t="inlineStr">
        <ns0:is>
          <ns0:t>Proxy/server must withhold locked response data</ns0:t>
        </ns0:is>
      </ns0:c>
      <ns0:c r="E8" t="inlineStr">
        <ns0:is>
          <ns0:t>CLAUDE_PRODUCT_REVIEW_4723f603 and readiness addendum</ns0:t>
        </ns0:is>
      </ns0:c>
      <ns0:c r="F8" t="inlineStr">
        <ns0:is>
          <ns0:t>Existing productSuccessor work item / Codex</ns0:t>
        </ns0:is>
      </ns0:c>
      <ns0:c r="G8" t="inlineStr">
        <ns0:is>
          <ns0:t>FIXED AWAITING RETEST</ns0:t>
        </ns0:is>
      </ns0:c>
      <ns0:c r="H8" t="inlineStr">
        <ns0:is>
          <ns0:t>Amendment commit containing this record</ns0:t>
        </ns0:is>
      </ns0:c>
      <ns0:c r="I8" t="inlineStr">
        <ns0:is>
          <ns0:t>CODEX_D3_D4_PRODUCT_SUCCESSOR_REVISION/REVIEW.md</ns0:t>
        </ns0:is>
      </ns0:c>
      <ns0:c r="J8" t="inlineStr">
        <ns0:is>
          <ns0:t>Shared Clinic / dependent controls</ns0:t>
        </ns0:is>
      </ns0:c>
      <ns0:c r="K8" t="inlineStr">
        <ns0:is>
          <ns0:t>Independent review and hosted acceptance not waived</ns0:t>
        </ns0:is>
      </ns0:c>
    </ns0:row>
    <ns0:row r="9">
      <ns0:c r="A9" t="inlineStr">
        <ns0:is>
          <ns0:t>CLAUDE-4723-O1</ns0:t>
        </ns0:is>
      </ns0:c>
      <ns0:c r="B9" t="inlineStr">
        <ns0:is>
          <ns0:t>S2</ns0:t>
        </ns0:is>
      </ns0:c>
      <ns0:c r="C9" t="inlineStr">
        <ns0:is>
          <ns0:t>P10-06 instances pending</ns0:t>
        </ns0:is>
      </ns0:c>
      <ns0:c r="D9" t="inlineStr">
        <ns0:is>
          <ns0:t>JS-enabled hydration failure needs explanatory feedback</ns0:t>
        </ns0:is>
      </ns0:c>
      <ns0:c r="E9" t="inlineStr">
        <ns0:is>
          <ns0:t>CLAUDE_PRODUCT_REVIEW_4723f603 O1</ns0:t>
        </ns0:is>
      </ns0:c>
      <ns0:c r="F9" t="inlineStr">
        <ns0:is>
          <ns0:t>Existing productSuccessor work item / Codex</ns0:t>
        </ns0:is>
      </ns0:c>
      <ns0:c r="G9" t="inlineStr">
        <ns0:is>
          <ns0:t>OPEN</ns0:t>
        </ns0:is>
      </ns0:c>
      <ns0:c r="H9" t="inlineStr">
        <ns0:is>
          <ns0:t>4723 D3 unchanged</ns0:t>
        </ns0:is>
      </ns0:c>
      <ns0:c r="I9" t="inlineStr">
        <ns0:is>
          <ns0:t>Existing security evidence only</ns0:t>
        </ns0:is>
      </ns0:c>
      <ns0:c r="J9" t="inlineStr">
        <ns0:is>
          <ns0:t>Auth usability</ns0:t>
        </ns0:is>
      </ns0:c>
      <ns0:c r="K9" t="inlineStr">
        <ns0:is>
          <ns0:t>Security PASS does not waive usability, EN/ES, assistive-tech or real-device acceptance</ns0:t>
        </ns0:is>
      </ns0:c>
    </ns0:row>
  </ns0:sheetData>
  <ns0:mergeCells>
    <ns0:mergeCell ref="A1:K1"/>
    <ns0:mergeCell ref="A2:K2"/>
  </ns0:mergeCells>
  <ns0:dataValidations count="2">
    <ns0:dataValidation type="list" sqref="B5:B1000">
      <ns0:formula1>"S0,S1,S2,S3"</ns0:formula1>
    </ns0:dataValidation>
    <ns0:dataValidation type="list" sqref="G5:G1000">
      <ns0:formula1>"OPEN,ASSIGNED,FIXED AWAITING RETEST,CLOSED,BLOCKED"</ns0:formula1>
    </ns0:dataValidation>
  </ns0:dataValidations>
  <ns0:pageMargins left="0.7" right="0.7" top="0.75" bottom="0.75" header="0.3" footer="0.3"/>
  <ns0:tableParts count="1">
    <ns0:tablePart ns1:id="R087daac7a3394538"/>
  </ns0:tableParts>
</ns0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</x:cols>
  <x:sheetData>
    <x:row r="1" ht="32" customHeight="1">
      <x:c r="A1" s="3" t="str">
        <x:v>FINAL QA / CAPABILITIES AND HANDOFFS</x:v>
      </x:c>
      <x:c r="B1" s="3"/>
      <x:c r="C1" s="3"/>
      <x:c r="D1" s="3"/>
      <x:c r="E1" s="3"/>
      <x:c r="F1" s="3"/>
      <x:c r="G1" s="3"/>
    </x:row>
    <x:row r="2" ht="44" customHeight="1">
      <x:c r="A2" s="7" t="str">
        <x:v>Discovery as of 2026-09-19. Exposed tool ≠ target-account access proven ≠ a QA run. No product, private DB or payment QA was executed while preparing this package.</x:v>
      </x:c>
      <x:c r="B2" s="7"/>
      <x:c r="C2" s="7"/>
      <x:c r="D2" s="7"/>
      <x:c r="E2" s="7"/>
      <x:c r="F2" s="7"/>
      <x:c r="G2" s="7"/>
    </x:row>
    <x:row r="4" ht="32" customHeight="1">
      <x:c r="A4" s="18" t="str">
        <x:v>Tool / capability</x:v>
      </x:c>
      <x:c r="B4" s="18" t="str">
        <x:v>Discovery state</x:v>
      </x:c>
      <x:c r="C4" s="18" t="str">
        <x:v>Owner</x:v>
      </x:c>
      <x:c r="D4" s="18" t="str">
        <x:v>Can do</x:v>
      </x:c>
      <x:c r="E4" s="18" t="str">
        <x:v>Needs</x:v>
      </x:c>
      <x:c r="F4" s="18" t="str">
        <x:v>Limitation</x:v>
      </x:c>
      <x:c r="G4" s="18" t="str">
        <x:v>Source</x:v>
      </x:c>
    </x:row>
    <x:row r="5" ht="108" customHeight="1">
      <x:c r="A5" s="12" t="str">
        <x:v>Files</x:v>
      </x:c>
      <x:c r="B5" s="12" t="str">
        <x:v>Exposed</x:v>
      </x:c>
      <x:c r="C5" s="12" t="str">
        <x:v>G</x:v>
      </x:c>
      <x:c r="D5" s="12" t="str">
        <x:v>Read supplied/saved source text, files and page images; materialize exact evidence.</x:v>
      </x:c>
      <x:c r="E5" s="12" t="str">
        <x:v>Actual file access/version; use images when text is incomplete.</x:v>
      </x:c>
      <x:c r="F5" s="12" t="str">
        <x:v>Does not make missing/truncated evidence complete.</x:v>
      </x:c>
      <x:c r="G5" s="12" t="str">
        <x:v>Exposed action schemas, 2026-09-19</x:v>
      </x:c>
    </x:row>
    <x:row r="6" ht="108" customHeight="1">
      <x:c r="A6" s="12" t="str">
        <x:v>PDF skill + vision + Python</x:v>
      </x:c>
      <x:c r="B6" s="12" t="str">
        <x:v>Skill inspected</x:v>
      </x:c>
      <x:c r="C6" s="12" t="str">
        <x:v>G</x:v>
      </x:c>
      <x:c r="D6" s="12" t="str">
        <x:v>Render, inspect page images, fields, text, metadata, hashes and renderer differences.</x:v>
      </x:c>
      <x:c r="E6" s="12" t="str">
        <x:v>Exact PDF bytes; PDF renderer/reader support in active runtime.</x:v>
      </x:c>
      <x:c r="F6" s="12" t="str">
        <x:v>No physical printing, legal sign-off or guaranteed court acceptance.</x:v>
      </x:c>
      <x:c r="G6" s="12" t="str">
        <x:v>/home/oai/skills/pdfs/SKILL.md; bundled plan</x:v>
      </x:c>
    </x:row>
    <x:row r="7" ht="108" customHeight="1">
      <x:c r="A7" s="12" t="str">
        <x:v>Spreadsheet skill</x:v>
      </x:c>
      <x:c r="B7" s="12" t="str">
        <x:v>Skill inspected</x:v>
      </x:c>
      <x:c r="C7" s="12" t="str">
        <x:v>G</x:v>
      </x:c>
      <x:c r="D7" s="12" t="str">
        <x:v>Maintain control/instance/page/defect coverage with formulas.</x:v>
      </x:c>
      <x:c r="E7" s="12" t="str">
        <x:v>Actual expanded inventory and reviewed results.</x:v>
      </x:c>
      <x:c r="F7" s="12" t="str">
        <x:v>This workbook starts unexecuted.</x:v>
      </x:c>
      <x:c r="G7" s="12" t="str">
        <x:v>artifact_tool skill/API; bundled plan</x:v>
      </x:c>
    </x:row>
    <x:row r="8" ht="108" customHeight="1">
      <x:c r="A8" s="12" t="str">
        <x:v>GitHub</x:v>
      </x:c>
      <x:c r="B8" s="12" t="str">
        <x:v>Exposed</x:v>
      </x:c>
      <x:c r="C8" s="12" t="str">
        <x:v>G / R</x:v>
      </x:c>
      <x:c r="D8" s="12" t="str">
        <x:v>Read source, jobs, logs, run artifacts; rerun authorized existing jobs.</x:v>
      </x:c>
      <x:c r="E8" s="12" t="str">
        <x:v>Correct repo/ref; run/job IDs; action permission.</x:v>
      </x:c>
      <x:c r="F8" s="12" t="str">
        <x:v>Some wrappers are first-page/PR-only; new dispatch not established by those wrappers.</x:v>
      </x:c>
      <x:c r="G8" s="12" t="str">
        <x:v>Exposed GitHub workflow/fetch schemas</x:v>
      </x:c>
    </x:row>
    <x:row r="9" ht="108" customHeight="1">
      <x:c r="A9" s="12" t="str">
        <x:v>Vercel</x:v>
      </x:c>
      <x:c r="B9" s="12" t="str">
        <x:v>Exposed</x:v>
      </x:c>
      <x:c r="C9" s="12" t="str">
        <x:v>G</x:v>
      </x:c>
      <x:c r="D9" s="12" t="str">
        <x:v>Read deployments, build/runtime errors/logs, protected pages.</x:v>
      </x:c>
      <x:c r="E9" s="12" t="str">
        <x:v>Correct project/team and environment access.</x:v>
      </x:c>
      <x:c r="F9" s="12" t="str">
        <x:v>Share links are secrets; no automatic deploy/promotion; does not prove DB/worker alone.</x:v>
      </x:c>
      <x:c r="G9" s="12" t="str">
        <x:v>Exposed Vercel schemas</x:v>
      </x:c>
    </x:row>
    <x:row r="10" ht="108" customHeight="1">
      <x:c r="A10" s="12" t="str">
        <x:v>Stripe</x:v>
      </x:c>
      <x:c r="B10" s="12" t="str">
        <x:v>Exposed</x:v>
      </x:c>
      <x:c r="C10" s="12" t="str">
        <x:v>G / R</x:v>
      </x:c>
      <x:c r="D10" s="12" t="str">
        <x:v>Select actual sandbox context and inspect provider transaction/event data.</x:v>
      </x:c>
      <x:c r="E10" s="12" t="str">
        <x:v>Account selection, sandbox mode and appropriate permission.</x:v>
      </x:c>
      <x:c r="F10" s="12" t="str">
        <x:v>No live charges by inference; writes may require confirmation; browser/MFA can require human.</x:v>
      </x:c>
      <x:c r="G10" s="12" t="str">
        <x:v>Exposed Stripe schemas; https://docs.stripe.com/testing</x:v>
      </x:c>
    </x:row>
    <x:row r="11" ht="108" customHeight="1">
      <x:c r="A11" s="12" t="str">
        <x:v>TinyFish</x:v>
      </x:c>
      <x:c r="B11" s="12" t="str">
        <x:v>Exposed; metered</x:v>
      </x:c>
      <x:c r="C11" s="12" t="str">
        <x:v>G / B</x:v>
      </x:c>
      <x:c r="D11" s="12" t="str">
        <x:v>Bounded browser navigation/forms/login with screenshots/HTML/recording.</x:v>
      </x:c>
      <x:c r="E11" s="12" t="str">
        <x:v>Authorized target, wallet/access/session; max steps/run time.</x:v>
      </x:c>
      <x:c r="F11" s="12" t="str">
        <x:v>No broad bulk crawling; wait for existing run; low-level races belong in runner.</x:v>
      </x:c>
      <x:c r="G11" s="12" t="str">
        <x:v>Exposed TinyFish schemas</x:v>
      </x:c>
    </x:row>
    <x:row r="12" ht="108" customHeight="1">
      <x:c r="A12" s="12" t="str">
        <x:v>Gmail</x:v>
      </x:c>
      <x:c r="B12" s="12" t="str">
        <x:v>Exposed</x:v>
      </x:c>
      <x:c r="C12" s="12" t="str">
        <x:v>G</x:v>
      </x:c>
      <x:c r="D12" s="12" t="str">
        <x:v>Read controlled test mailbox notifications, content and links.</x:v>
      </x:c>
      <x:c r="E12" s="12" t="str">
        <x:v>Correct connected inbox and authorized QA messages.</x:v>
      </x:c>
      <x:c r="F12" s="12" t="str">
        <x:v>Not every provider/SMS; no new permission for real-user email.</x:v>
      </x:c>
      <x:c r="G12" s="12" t="str">
        <x:v>Exposed Gmail search/read schemas</x:v>
      </x:c>
    </x:row>
    <x:row r="13" ht="108" customHeight="1">
      <x:c r="A13" s="12" t="str">
        <x:v>Supabase</x:v>
      </x:c>
      <x:c r="B13" s="12" t="str">
        <x:v>Found; NOT CONNECTED</x:v>
      </x:c>
      <x:c r="C13" s="12" t="str">
        <x:v>G after connection / R fallback</x:v>
      </x:c>
      <x:c r="D13" s="12" t="str">
        <x:v>Direct SQL/project/log/auth evidence after action discovery.</x:v>
      </x:c>
      <x:c r="E13" s="12" t="str">
        <x:v>Install/connect to correct nonproduction project; scoped permission.</x:v>
      </x:c>
      <x:c r="F13" s="12" t="str">
        <x:v>Not used or proven now; no production schema/auth mutations inferred.</x:v>
      </x:c>
      <x:c r="G13" s="12" t="str">
        <x:v>Plugin directory: plugin_asdk_app_69d3e5ee6a708191baa733f7b8931995</x:v>
      </x:c>
    </x:row>
    <x:row r="14" ht="108" customHeight="1">
      <x:c r="A14" s="12" t="str">
        <x:v>Captain/Codex/CI</x:v>
      </x:c>
      <x:c r="B14" s="12" t="str">
        <x:v>Runner dependency</x:v>
      </x:c>
      <x:c r="C14" s="12" t="str">
        <x:v>R; G reviews</x:v>
      </x:c>
      <x:c r="D14" s="12" t="str">
        <x:v>Bulk Playwright/API/DB/worker/provider/load tests and evidence export.</x:v>
      </x:c>
      <x:c r="E14" s="12" t="str">
        <x:v>Actual runtime, current source, packages and secret-store permissions.</x:v>
      </x:c>
      <x:c r="F14" s="12" t="str">
        <x:v>Not the same as ChatGPT having a remote shell; mock evidence is not hosted proof.</x:v>
      </x:c>
      <x:c r="G14" s="12" t="str">
        <x:v>Existing repo harnesses; https://playwright.dev/docs/test-projects</x:v>
      </x:c>
    </x:row>
    <x:row r="15" ht="108" customHeight="1">
      <x:c r="A15" s="12" t="str">
        <x:v>Official web sources</x:v>
      </x:c>
      <x:c r="B15" s="12" t="str">
        <x:v>Available</x:v>
      </x:c>
      <x:c r="C15" s="12" t="str">
        <x:v>G</x:v>
      </x:c>
      <x:c r="D15" s="12" t="str">
        <x:v>Current statutes/forms/rules/procedure, source dates and technical standards.</x:v>
      </x:c>
      <x:c r="E15" s="12" t="str">
        <x:v>Authoritative accessible exact source; permissions for private portals.</x:v>
      </x:c>
      <x:c r="F15" s="12" t="str">
        <x:v>Do not bypass CAPTCHA/MFA or contact/file with courts without approval.</x:v>
      </x:c>
      <x:c r="G15" s="12" t="str">
        <x:v>Native web; official source URLs per route</x:v>
      </x:c>
    </x:row>
    <x:row r="16" ht="108" customHeight="1">
      <x:c r="A16" s="12" t="str">
        <x:v>BrowserStack</x:v>
      </x:c>
      <x:c r="B16" s="12" t="str">
        <x:v>No matching directory plugin</x:v>
      </x:c>
      <x:c r="C16" s="12" t="str">
        <x:v>R / H-A / H-C</x:v>
      </x:c>
      <x:c r="D16" s="12" t="str">
        <x:v>Existing licensed runtime integration or real devices can cover actual device behavior.</x:v>
      </x:c>
      <x:c r="E16" s="12" t="str">
        <x:v>Existing service account/integration or a physical-device operator.</x:v>
      </x:c>
      <x:c r="F16" s="12" t="str">
        <x:v>No direct BrowserStack plugin claimed; no purchase assumed.</x:v>
      </x:c>
      <x:c r="G16" s="12" t="str">
        <x:v>Exact-name plugin directory search, 2026-09-19</x:v>
      </x:c>
    </x:row>
    <x:row r="17" ht="108" customHeight="1">
      <x:c r="A17" s="12" t="str">
        <x:v>PostHog / Vanta</x:v>
      </x:c>
      <x:c r="B17" s="12" t="str">
        <x:v>Found; NOT INSTALLED; optional</x:v>
      </x:c>
      <x:c r="C17" s="12" t="str">
        <x:v>Not required</x:v>
      </x:c>
      <x:c r="D17" s="12" t="str">
        <x:v>Could supply existing analytics/compliance evidence if already in use later.</x:v>
      </x:c>
      <x:c r="E17" s="12" t="str">
        <x:v>Additional connection only if it fills a real missing need.</x:v>
      </x:c>
      <x:c r="F17" s="12" t="str">
        <x:v>No new analytics/compliance project to perform this QA.</x:v>
      </x:c>
      <x:c r="G17" s="12" t="str">
        <x:v>Plugin directory discovery, 2026-09-19</x:v>
      </x:c>
    </x:row>
    <x:row r="18" ht="108" customHeight="1">
      <x:c r="A18" s="12" t="str">
        <x:v>Qualified humans</x:v>
      </x:c>
      <x:c r="B18" s="12" t="str">
        <x:v>Required where applicable</x:v>
      </x:c>
      <x:c r="C18" s="12" t="str">
        <x:v>H-L / H-A / H-C / H-S / H-O</x:v>
      </x:c>
      <x:c r="D18" s="12" t="str">
        <x:v>Formal legal decisions, actual assistive tech, physical clinic tasks and real production authorization.</x:v>
      </x:c>
      <x:c r="E18" s="12" t="str">
        <x:v>Named reviewer/operator, exact bounded task and evidence.</x:v>
      </x:c>
      <x:c r="F18" s="12" t="str">
        <x:v>AI review does not act as counsel, notary, court or production owner.</x:v>
      </x:c>
      <x:c r="G18" s="12" t="str">
        <x:v>Plan section 7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b33cbd290554d2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0" hidden="0" customWidth="1"/>
    <x:col min="4" max="4" width="40" hidden="0" customWidth="1"/>
    <x:col min="5" max="5" width="34" hidden="0" customWidth="1"/>
    <x:col min="6" max="6" width="40" hidden="0" customWidth="1"/>
  </x:cols>
  <x:sheetData>
    <x:row r="1" ht="32" customHeight="1">
      <x:c r="A1" s="3" t="str">
        <x:v>FINAL QA / SOURCES</x:v>
      </x:c>
      <x:c r="B1" s="3"/>
      <x:c r="C1" s="3"/>
      <x:c r="D1" s="3"/>
      <x:c r="E1" s="3"/>
      <x:c r="F1" s="3"/>
    </x:row>
    <x:row r="2" ht="44" customHeight="1">
      <x:c r="A2" s="7" t="str">
        <x:v>Product requirements and external technical guidance are kept distinct. The plan supplies QA design; it does not replace governing law, source documents or actual human approvals.</x:v>
      </x:c>
      <x:c r="B2" s="7"/>
      <x:c r="C2" s="7"/>
      <x:c r="D2" s="7"/>
      <x:c r="E2" s="7"/>
      <x:c r="F2" s="7"/>
    </x:row>
    <x:row r="4" ht="32" customHeight="1">
      <x:c r="A4" s="18" t="str">
        <x:v>Source ID</x:v>
      </x:c>
      <x:c r="B4" s="18" t="str">
        <x:v>Type</x:v>
      </x:c>
      <x:c r="C4" s="18" t="str">
        <x:v>File / URL</x:v>
      </x:c>
      <x:c r="D4" s="18" t="str">
        <x:v>Use</x:v>
      </x:c>
      <x:c r="E4" s="18" t="str">
        <x:v>Retrieval / location</x:v>
      </x:c>
      <x:c r="F4" s="18" t="str">
        <x:v>Qualification</x:v>
      </x:c>
    </x:row>
    <x:row r="5" ht="84" customHeight="1">
      <x:c r="A5" s="12" t="str">
        <x:v>SRC-01</x:v>
      </x:c>
      <x:c r="B5" s="12" t="str">
        <x:v>Build requirements</x:v>
      </x:c>
      <x:c r="C5" s="12" t="str">
        <x:v>ExpungementAI_Grade_A_Launch_Build_Plan_v2.md</x:v>
      </x:c>
      <x:c r="D5" s="12" t="str">
        <x:v>Integrated product scope, evidence and release boundaries.</x:v>
      </x:c>
      <x:c r="E5" s="12" t="str">
        <x:v>User-provided conversation file; read in this session.</x:v>
      </x:c>
      <x:c r="F5" s="12" t="str">
        <x:v>Historical state only; not current execution.</x:v>
      </x:c>
    </x:row>
    <x:row r="6" ht="84" customHeight="1">
      <x:c r="A6" s="12" t="str">
        <x:v>SRC-02</x:v>
      </x:c>
      <x:c r="B6" s="12" t="str">
        <x:v>Document + guide requirements</x:v>
      </x:c>
      <x:c r="C6" s="12" t="str">
        <x:v>Pasted markdown (2)(20260919-172249).md</x:v>
      </x:c>
      <x:c r="D6" s="12" t="str">
        <x:v>All-route instruments, formatting, source/actor/privacy and supplemental standard.</x:v>
      </x:c>
      <x:c r="E6" s="12" t="str">
        <x:v>User-provided conversation file.</x:v>
      </x:c>
      <x:c r="F6" s="12" t="str">
        <x:v>Old restart prompts subordinate to build v2.</x:v>
      </x:c>
    </x:row>
    <x:row r="7" ht="84" customHeight="1">
      <x:c r="A7" s="12" t="str">
        <x:v>SRC-03</x:v>
      </x:c>
      <x:c r="B7" s="12" t="str">
        <x:v>Original mission</x:v>
      </x:c>
      <x:c r="C7" s="12" t="str">
        <x:v>Pasted text(20260919-165641).txt</x:v>
      </x:c>
      <x:c r="D7" s="12" t="str">
        <x:v>Packet-info continuation, accepted journey, EN/ES, partner preservation.</x:v>
      </x:c>
      <x:c r="E7" s="12" t="str">
        <x:v>Previously retrieved user-provided source.</x:v>
      </x:c>
      <x:c r="F7" s="12" t="str">
        <x:v>Requirements, not proof of implementation.</x:v>
      </x:c>
    </x:row>
    <x:row r="8" ht="84" customHeight="1">
      <x:c r="A8" s="12" t="str">
        <x:v>SRC-04</x:v>
      </x:c>
      <x:c r="B8" s="12" t="str">
        <x:v>Visual reference</x:v>
      </x:c>
      <x:c r="C8" s="12" t="str">
        <x:v>ExpungementAI_Supplemental_Packet_Template(1).pdf; LEGALEASE.png</x:v>
      </x:c>
      <x:c r="D8" s="12" t="str">
        <x:v>All four guide sections, visual layout and do-not-file distinction.</x:v>
      </x:c>
      <x:c r="E8" s="12" t="str">
        <x:v>User-provided assets.</x:v>
      </x:c>
      <x:c r="F8" s="12" t="str">
        <x:v>Template content must be route-specific.</x:v>
      </x:c>
    </x:row>
    <x:row r="9" ht="84" customHeight="1">
      <x:c r="A9" s="12" t="str">
        <x:v>SRC-05</x:v>
      </x:c>
      <x:c r="B9" s="12" t="str">
        <x:v>Historical defect audit</x:v>
      </x:c>
      <x:c r="C9" s="12" t="str">
        <x:v>ExpungementAI_Custom_Pleading_Release_Audit.xlsx</x:v>
      </x:c>
      <x:c r="D9" s="12" t="str">
        <x:v>Exact route/component defects and professional format gates.</x:v>
      </x:c>
      <x:c r="E9" s="12" t="str">
        <x:v>Saved Library; recovered in prior handoff.</x:v>
      </x:c>
      <x:c r="F9" s="12" t="str">
        <x:v>Reconcile to the final candidate once.</x:v>
      </x:c>
    </x:row>
    <x:row r="10" ht="84" customHeight="1">
      <x:c r="A10" s="12" t="str">
        <x:v>SRC-06</x:v>
      </x:c>
      <x:c r="B10" s="12" t="str">
        <x:v>Clinic contract</x:v>
      </x:c>
      <x:c r="C10" s="12" t="str">
        <x:v>RCAP_Clinic_Mode_Audit_and_Codex_Prompt.md</x:v>
      </x:c>
      <x:c r="D10" s="12" t="str">
        <x:v>Roles/consent/reset/follow-up/reporting; ten-user shared-device simulation.</x:v>
      </x:c>
      <x:c r="E10" s="12" t="str">
        <x:v>Saved Library, retrieved 2026-09-19.</x:v>
      </x:c>
      <x:c r="F10" s="12" t="str">
        <x:v>Historical execution instructions not reactivated.</x:v>
      </x:c>
    </x:row>
    <x:row r="11" ht="84" customHeight="1">
      <x:c r="A11" s="12" t="str">
        <x:v>SRC-07</x:v>
      </x:c>
      <x:c r="B11" s="12" t="str">
        <x:v>MVLP/Legal Aid</x:v>
      </x:c>
      <x:c r="C11" s="12" t="str">
        <x:v>MVLP_Onboarding_Runbook.pdf; Pasted markdown(20260916-134617).md</x:v>
      </x:c>
      <x:c r="D11" s="12" t="str">
        <x:v>Configured intake, sensitive roles, execution, export, hosted proof limits.</x:v>
      </x:c>
      <x:c r="E11" s="12" t="str">
        <x:v>Saved Library, retrieved 2026-09-19.</x:v>
      </x:c>
      <x:c r="F11" s="12" t="str">
        <x:v>Actual final profile controls applicability.</x:v>
      </x:c>
    </x:row>
    <x:row r="12" ht="84" customHeight="1">
      <x:c r="A12" s="12" t="str">
        <x:v>SRC-08</x:v>
      </x:c>
      <x:c r="B12" s="12" t="str">
        <x:v>Known prior defects</x:v>
      </x:c>
      <x:c r="C12" s="12" t="str">
        <x:v>Pasted markdown(20260919-181736).md; latest user-pasted renderer update</x:v>
      </x:c>
      <x:c r="D12" s="12" t="str">
        <x:v>132C revert, custody and PA fallback/presentation issues.</x:v>
      </x:c>
      <x:c r="E12" s="12" t="str">
        <x:v>Conversation.</x:v>
      </x:c>
      <x:c r="F12" s="12" t="str">
        <x:v>Status rechecked at audit start; no assumed current passes.</x:v>
      </x:c>
    </x:row>
    <x:row r="13" ht="84" customHeight="1">
      <x:c r="A13" s="12" t="str">
        <x:v>EXT-W3C</x:v>
      </x:c>
      <x:c r="B13" s="12" t="str">
        <x:v>Accessibility method</x:v>
      </x:c>
      <x:c r="C13" s="12" t="str">
        <x:v>https://www.w3.org/WAI/test-evaluate/</x:v>
      </x:c>
      <x:c r="D13" s="12" t="str">
        <x:v>Automated plus knowledgeable human evaluation.</x:v>
      </x:c>
      <x:c r="E13" s="12" t="str">
        <x:v>Fetched 2026-09-19.</x:v>
      </x:c>
      <x:c r="F13" s="12" t="str">
        <x:v>No tool alone determines accessibility.</x:v>
      </x:c>
    </x:row>
    <x:row r="14" ht="84" customHeight="1">
      <x:c r="A14" s="12" t="str">
        <x:v>EXT-WCAG</x:v>
      </x:c>
      <x:c r="B14" s="12" t="str">
        <x:v>Technical target</x:v>
      </x:c>
      <x:c r="C14" s="12" t="str">
        <x:v>https://www.w3.org/WAI/standards-guidelines/wcag/</x:v>
      </x:c>
      <x:c r="D14" s="12" t="str">
        <x:v>WCAG 2.2 framework; proposed A/AA target.</x:v>
      </x:c>
      <x:c r="E14" s="12" t="str">
        <x:v>Fetched 2026-09-19.</x:v>
      </x:c>
      <x:c r="F14" s="12" t="str">
        <x:v>Not a legal compliance certification.</x:v>
      </x:c>
    </x:row>
    <x:row r="15" ht="84" customHeight="1">
      <x:c r="A15" s="12" t="str">
        <x:v>EXT-PW</x:v>
      </x:c>
      <x:c r="B15" s="12" t="str">
        <x:v>Runtime evidence</x:v>
      </x:c>
      <x:c r="C15" s="12" t="str">
        <x:v>https://playwright.dev/docs/test-projects ; https://playwright.dev/docs/trace-viewer ; https://playwright.dev/docs/accessibility-testing</x:v>
      </x:c>
      <x:c r="D15" s="12" t="str">
        <x:v>Browser projects, traces, accessibility limits.</x:v>
      </x:c>
      <x:c r="E15" s="12" t="str">
        <x:v>Fetched 2026-09-19.</x:v>
      </x:c>
      <x:c r="F15" s="12" t="str">
        <x:v>Requires actual execution in authorized environment.</x:v>
      </x:c>
    </x:row>
    <x:row r="16" ht="84" customHeight="1">
      <x:c r="A16" s="12" t="str">
        <x:v>EXT-STRIPE</x:v>
      </x:c>
      <x:c r="B16" s="12" t="str">
        <x:v>Payment test evidence</x:v>
      </x:c>
      <x:c r="C16" s="12" t="str">
        <x:v>https://docs.stripe.com/testing ; https://docs.stripe.com/webhooks</x:v>
      </x:c>
      <x:c r="D16" s="12" t="str">
        <x:v>Sandbox integration and webhook testing.</x:v>
      </x:c>
      <x:c r="E16" s="12" t="str">
        <x:v>Fetched 2026-09-19.</x:v>
      </x:c>
      <x:c r="F16" s="12" t="str">
        <x:v>Provider sandbox proof is not live payment authorization.</x:v>
      </x:c>
    </x:row>
    <x:row r="17" ht="84" customHeight="1">
      <x:c r="A17" s="12" t="str">
        <x:v>EXT-ASVS</x:v>
      </x:c>
      <x:c r="B17" s="12" t="str">
        <x:v>Security reference</x:v>
      </x:c>
      <x:c r="C17" s="12" t="str">
        <x:v>https://github.com/OWASP/ASVS</x:v>
      </x:c>
      <x:c r="D17" s="12" t="str">
        <x:v>Versioned ASVS 5.0.0 requirements for applicable mapping.</x:v>
      </x:c>
      <x:c r="E17" s="12" t="str">
        <x:v>Fetched 2026-09-19.</x:v>
      </x:c>
      <x:c r="F17" s="12" t="str">
        <x:v>Assurance checklist, not a claimed certification.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7b123645baa4fc2"/>
  </x:tableParts>
</x:worksheet>
</file>